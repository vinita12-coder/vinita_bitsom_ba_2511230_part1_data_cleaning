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64989f5fe02b5/Desktop/Naman/New Project/"/>
    </mc:Choice>
  </mc:AlternateContent>
  <xr:revisionPtr revIDLastSave="1" documentId="8_{169B7D03-56B0-4389-80FF-B135B8F78B78}" xr6:coauthVersionLast="47" xr6:coauthVersionMax="47" xr10:uidLastSave="{F162BCBD-2D7C-4710-8034-FD0626EC1825}"/>
  <bookViews>
    <workbookView minimized="1" xWindow="1620" yWindow="1920" windowWidth="10548" windowHeight="10164" tabRatio="597" xr2:uid="{1454A3DD-2209-49D1-A31E-F08C32CBDC36}"/>
  </bookViews>
  <sheets>
    <sheet name="Raw_Data" sheetId="1" r:id="rId1"/>
    <sheet name="Business_Rules" sheetId="4" r:id="rId2"/>
  </sheets>
  <definedNames>
    <definedName name="_xlnm._FilterDatabase" localSheetId="0" hidden="1">Raw_Data!$A$1:$AY$933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2" i="1"/>
  <c r="AE37" i="1"/>
  <c r="AE61" i="1"/>
  <c r="AE119" i="1"/>
  <c r="AE135" i="1"/>
  <c r="AE228" i="1"/>
  <c r="AE231" i="1"/>
  <c r="AE303" i="1"/>
  <c r="AE397" i="1"/>
  <c r="AE398" i="1"/>
  <c r="AE453" i="1"/>
  <c r="AE518" i="1"/>
  <c r="AE558" i="1"/>
  <c r="AE565" i="1"/>
  <c r="AE572" i="1"/>
  <c r="AE730" i="1"/>
  <c r="AE772" i="1"/>
  <c r="AE773" i="1"/>
  <c r="AE836" i="1"/>
  <c r="AE862" i="1"/>
  <c r="AE872" i="1"/>
  <c r="AE873" i="1"/>
  <c r="AE877" i="1"/>
  <c r="S68" i="1"/>
  <c r="S96" i="1"/>
  <c r="S97" i="1"/>
  <c r="S106" i="1"/>
  <c r="S112" i="1"/>
  <c r="S162" i="1"/>
  <c r="S163" i="1"/>
  <c r="S273" i="1"/>
  <c r="S316" i="1"/>
  <c r="S328" i="1"/>
  <c r="S455" i="1"/>
  <c r="S492" i="1"/>
  <c r="S551" i="1"/>
  <c r="S609" i="1"/>
  <c r="S614" i="1"/>
  <c r="S657" i="1"/>
  <c r="S709" i="1"/>
  <c r="S723" i="1"/>
  <c r="S794" i="1"/>
  <c r="S815" i="1"/>
  <c r="S862" i="1"/>
  <c r="S878" i="1"/>
  <c r="S888" i="1"/>
  <c r="S898" i="1"/>
  <c r="S899" i="1"/>
  <c r="S91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2" i="1"/>
  <c r="E78" i="1"/>
  <c r="N78" i="1"/>
  <c r="P78" i="1"/>
  <c r="R78" i="1"/>
  <c r="U78" i="1"/>
  <c r="W78" i="1"/>
  <c r="X78" i="1"/>
  <c r="AA78" i="1"/>
  <c r="AD78" i="1"/>
  <c r="AO78" i="1"/>
  <c r="AR78" i="1"/>
  <c r="E86" i="1"/>
  <c r="N86" i="1"/>
  <c r="P86" i="1"/>
  <c r="R86" i="1"/>
  <c r="U86" i="1"/>
  <c r="W86" i="1"/>
  <c r="X86" i="1"/>
  <c r="AA86" i="1"/>
  <c r="AD86" i="1"/>
  <c r="AO86" i="1"/>
  <c r="AR86" i="1"/>
  <c r="E149" i="1"/>
  <c r="N149" i="1"/>
  <c r="P149" i="1"/>
  <c r="R149" i="1"/>
  <c r="U149" i="1"/>
  <c r="W149" i="1"/>
  <c r="X149" i="1"/>
  <c r="AA149" i="1"/>
  <c r="AD149" i="1"/>
  <c r="AO149" i="1"/>
  <c r="AR149" i="1"/>
  <c r="E163" i="1"/>
  <c r="N163" i="1"/>
  <c r="P163" i="1"/>
  <c r="U163" i="1"/>
  <c r="W163" i="1"/>
  <c r="X163" i="1"/>
  <c r="AA163" i="1"/>
  <c r="AD163" i="1"/>
  <c r="AO163" i="1"/>
  <c r="AR163" i="1"/>
  <c r="E166" i="1"/>
  <c r="N166" i="1"/>
  <c r="P166" i="1"/>
  <c r="R166" i="1"/>
  <c r="U166" i="1"/>
  <c r="W166" i="1"/>
  <c r="X166" i="1"/>
  <c r="AA166" i="1"/>
  <c r="AD166" i="1"/>
  <c r="AO166" i="1"/>
  <c r="AR166" i="1"/>
  <c r="E288" i="1"/>
  <c r="N288" i="1"/>
  <c r="P288" i="1"/>
  <c r="R288" i="1"/>
  <c r="U288" i="1"/>
  <c r="W288" i="1"/>
  <c r="X288" i="1"/>
  <c r="AA288" i="1"/>
  <c r="AD288" i="1"/>
  <c r="AO288" i="1"/>
  <c r="AR288" i="1"/>
  <c r="E341" i="1"/>
  <c r="N341" i="1"/>
  <c r="P341" i="1"/>
  <c r="R341" i="1"/>
  <c r="U341" i="1"/>
  <c r="W341" i="1"/>
  <c r="X341" i="1"/>
  <c r="AA341" i="1"/>
  <c r="AD341" i="1"/>
  <c r="AO341" i="1"/>
  <c r="AR341" i="1"/>
  <c r="E398" i="1"/>
  <c r="N398" i="1"/>
  <c r="P398" i="1"/>
  <c r="R398" i="1"/>
  <c r="U398" i="1"/>
  <c r="W398" i="1"/>
  <c r="X398" i="1"/>
  <c r="AA398" i="1"/>
  <c r="AO398" i="1"/>
  <c r="AR398" i="1"/>
  <c r="E403" i="1"/>
  <c r="N403" i="1"/>
  <c r="P403" i="1"/>
  <c r="R403" i="1"/>
  <c r="U403" i="1"/>
  <c r="W403" i="1"/>
  <c r="X403" i="1"/>
  <c r="AA403" i="1"/>
  <c r="AD403" i="1"/>
  <c r="AO403" i="1"/>
  <c r="AR403" i="1"/>
  <c r="E476" i="1"/>
  <c r="N476" i="1"/>
  <c r="P476" i="1"/>
  <c r="R476" i="1"/>
  <c r="U476" i="1"/>
  <c r="W476" i="1"/>
  <c r="X476" i="1"/>
  <c r="AA476" i="1"/>
  <c r="AD476" i="1"/>
  <c r="AO476" i="1"/>
  <c r="AR476" i="1"/>
  <c r="E505" i="1"/>
  <c r="N505" i="1"/>
  <c r="P505" i="1"/>
  <c r="R505" i="1"/>
  <c r="U505" i="1"/>
  <c r="W505" i="1"/>
  <c r="X505" i="1"/>
  <c r="AA505" i="1"/>
  <c r="AD505" i="1"/>
  <c r="AO505" i="1"/>
  <c r="AR505" i="1"/>
  <c r="E556" i="1"/>
  <c r="N556" i="1"/>
  <c r="P556" i="1"/>
  <c r="R556" i="1"/>
  <c r="U556" i="1"/>
  <c r="W556" i="1"/>
  <c r="X556" i="1"/>
  <c r="AA556" i="1"/>
  <c r="AD556" i="1"/>
  <c r="AO556" i="1"/>
  <c r="AR556" i="1"/>
  <c r="E683" i="1"/>
  <c r="N683" i="1"/>
  <c r="P683" i="1"/>
  <c r="R683" i="1"/>
  <c r="U683" i="1"/>
  <c r="W683" i="1"/>
  <c r="X683" i="1"/>
  <c r="AA683" i="1"/>
  <c r="AD683" i="1"/>
  <c r="AO683" i="1"/>
  <c r="AR683" i="1"/>
  <c r="E695" i="1"/>
  <c r="N695" i="1"/>
  <c r="P695" i="1"/>
  <c r="R695" i="1"/>
  <c r="U695" i="1"/>
  <c r="W695" i="1"/>
  <c r="X695" i="1"/>
  <c r="AA695" i="1"/>
  <c r="AD695" i="1"/>
  <c r="AO695" i="1"/>
  <c r="AR695" i="1"/>
  <c r="E762" i="1"/>
  <c r="N762" i="1"/>
  <c r="P762" i="1"/>
  <c r="R762" i="1"/>
  <c r="U762" i="1"/>
  <c r="W762" i="1"/>
  <c r="X762" i="1"/>
  <c r="AA762" i="1"/>
  <c r="AD762" i="1"/>
  <c r="AO762" i="1"/>
  <c r="AR762" i="1"/>
  <c r="E801" i="1"/>
  <c r="N801" i="1"/>
  <c r="P801" i="1"/>
  <c r="R801" i="1"/>
  <c r="U801" i="1"/>
  <c r="W801" i="1"/>
  <c r="X801" i="1"/>
  <c r="AA801" i="1"/>
  <c r="AD801" i="1"/>
  <c r="AO801" i="1"/>
  <c r="AR801" i="1"/>
  <c r="E824" i="1"/>
  <c r="N824" i="1"/>
  <c r="P824" i="1"/>
  <c r="R824" i="1"/>
  <c r="U824" i="1"/>
  <c r="W824" i="1"/>
  <c r="X824" i="1"/>
  <c r="AA824" i="1"/>
  <c r="AD824" i="1"/>
  <c r="AO824" i="1"/>
  <c r="AR824" i="1"/>
  <c r="E835" i="1"/>
  <c r="N835" i="1"/>
  <c r="P835" i="1"/>
  <c r="R835" i="1"/>
  <c r="U835" i="1"/>
  <c r="W835" i="1"/>
  <c r="X835" i="1"/>
  <c r="AA835" i="1"/>
  <c r="AD835" i="1"/>
  <c r="AO835" i="1"/>
  <c r="AR835" i="1"/>
  <c r="E849" i="1"/>
  <c r="N849" i="1"/>
  <c r="P849" i="1"/>
  <c r="R849" i="1"/>
  <c r="U849" i="1"/>
  <c r="W849" i="1"/>
  <c r="X849" i="1"/>
  <c r="AA849" i="1"/>
  <c r="AD849" i="1"/>
  <c r="AO849" i="1"/>
  <c r="AR849" i="1"/>
  <c r="E854" i="1"/>
  <c r="N854" i="1"/>
  <c r="P854" i="1"/>
  <c r="R854" i="1"/>
  <c r="U854" i="1"/>
  <c r="W854" i="1"/>
  <c r="X854" i="1"/>
  <c r="AA854" i="1"/>
  <c r="AD854" i="1"/>
  <c r="AO854" i="1"/>
  <c r="AR854" i="1"/>
  <c r="E3" i="1"/>
  <c r="E4" i="1"/>
  <c r="E5" i="1"/>
  <c r="E503" i="1"/>
  <c r="E6" i="1"/>
  <c r="E504" i="1"/>
  <c r="E506" i="1"/>
  <c r="E7" i="1"/>
  <c r="E507" i="1"/>
  <c r="E508" i="1"/>
  <c r="E8" i="1"/>
  <c r="E9" i="1"/>
  <c r="E509" i="1"/>
  <c r="E10" i="1"/>
  <c r="E11" i="1"/>
  <c r="E12" i="1"/>
  <c r="E13" i="1"/>
  <c r="E510" i="1"/>
  <c r="E14" i="1"/>
  <c r="E511" i="1"/>
  <c r="E512" i="1"/>
  <c r="E513" i="1"/>
  <c r="E514" i="1"/>
  <c r="E15" i="1"/>
  <c r="E16" i="1"/>
  <c r="E17" i="1"/>
  <c r="E515" i="1"/>
  <c r="E18" i="1"/>
  <c r="E516" i="1"/>
  <c r="E19" i="1"/>
  <c r="E517" i="1"/>
  <c r="E20" i="1"/>
  <c r="E21" i="1"/>
  <c r="E518" i="1"/>
  <c r="E22" i="1"/>
  <c r="E23" i="1"/>
  <c r="E519" i="1"/>
  <c r="E24" i="1"/>
  <c r="E25" i="1"/>
  <c r="E26" i="1"/>
  <c r="E27" i="1"/>
  <c r="E520" i="1"/>
  <c r="E28" i="1"/>
  <c r="E29" i="1"/>
  <c r="E30" i="1"/>
  <c r="E31" i="1"/>
  <c r="E32" i="1"/>
  <c r="E521" i="1"/>
  <c r="E33" i="1"/>
  <c r="E522" i="1"/>
  <c r="E34" i="1"/>
  <c r="E35" i="1"/>
  <c r="E523" i="1"/>
  <c r="E524" i="1"/>
  <c r="E525" i="1"/>
  <c r="E526" i="1"/>
  <c r="E36" i="1"/>
  <c r="E37" i="1"/>
  <c r="E38" i="1"/>
  <c r="E39" i="1"/>
  <c r="E40" i="1"/>
  <c r="E41" i="1"/>
  <c r="E42" i="1"/>
  <c r="E43" i="1"/>
  <c r="E44" i="1"/>
  <c r="E527" i="1"/>
  <c r="E528" i="1"/>
  <c r="E45" i="1"/>
  <c r="E46" i="1"/>
  <c r="E529" i="1"/>
  <c r="E530" i="1"/>
  <c r="E47" i="1"/>
  <c r="E531" i="1"/>
  <c r="E532" i="1"/>
  <c r="E533" i="1"/>
  <c r="E48" i="1"/>
  <c r="E534" i="1"/>
  <c r="E535" i="1"/>
  <c r="E536" i="1"/>
  <c r="E49" i="1"/>
  <c r="E537" i="1"/>
  <c r="E50" i="1"/>
  <c r="E51" i="1"/>
  <c r="E52" i="1"/>
  <c r="E53" i="1"/>
  <c r="E54" i="1"/>
  <c r="E55" i="1"/>
  <c r="E56" i="1"/>
  <c r="E57" i="1"/>
  <c r="E538" i="1"/>
  <c r="E540" i="1"/>
  <c r="E541" i="1"/>
  <c r="E58" i="1"/>
  <c r="E59" i="1"/>
  <c r="E542" i="1"/>
  <c r="E60" i="1"/>
  <c r="E543" i="1"/>
  <c r="E61" i="1"/>
  <c r="E544" i="1"/>
  <c r="E545" i="1"/>
  <c r="E62" i="1"/>
  <c r="E546" i="1"/>
  <c r="E547" i="1"/>
  <c r="E548" i="1"/>
  <c r="E63" i="1"/>
  <c r="E64" i="1"/>
  <c r="E65" i="1"/>
  <c r="E66" i="1"/>
  <c r="E549" i="1"/>
  <c r="E67" i="1"/>
  <c r="E550" i="1"/>
  <c r="E68" i="1"/>
  <c r="E69" i="1"/>
  <c r="E70" i="1"/>
  <c r="E71" i="1"/>
  <c r="E551" i="1"/>
  <c r="E72" i="1"/>
  <c r="E73" i="1"/>
  <c r="E74" i="1"/>
  <c r="E75" i="1"/>
  <c r="E552" i="1"/>
  <c r="E76" i="1"/>
  <c r="E77" i="1"/>
  <c r="E80" i="1"/>
  <c r="E553" i="1"/>
  <c r="E554" i="1"/>
  <c r="E555" i="1"/>
  <c r="E81" i="1"/>
  <c r="E82" i="1"/>
  <c r="E83" i="1"/>
  <c r="E557" i="1"/>
  <c r="E84" i="1"/>
  <c r="E85" i="1"/>
  <c r="E558" i="1"/>
  <c r="E559" i="1"/>
  <c r="E560" i="1"/>
  <c r="E561" i="1"/>
  <c r="E87" i="1"/>
  <c r="E562" i="1"/>
  <c r="E88" i="1"/>
  <c r="E89" i="1"/>
  <c r="E90" i="1"/>
  <c r="E92" i="1"/>
  <c r="E93" i="1"/>
  <c r="E563" i="1"/>
  <c r="E564" i="1"/>
  <c r="E94" i="1"/>
  <c r="E565" i="1"/>
  <c r="E95" i="1"/>
  <c r="E96" i="1"/>
  <c r="E97" i="1"/>
  <c r="E98" i="1"/>
  <c r="E566" i="1"/>
  <c r="E99" i="1"/>
  <c r="E567" i="1"/>
  <c r="E568" i="1"/>
  <c r="E100" i="1"/>
  <c r="E101" i="1"/>
  <c r="E569" i="1"/>
  <c r="E570" i="1"/>
  <c r="E571" i="1"/>
  <c r="E102" i="1"/>
  <c r="E572" i="1"/>
  <c r="E573" i="1"/>
  <c r="E103" i="1"/>
  <c r="E574" i="1"/>
  <c r="E575" i="1"/>
  <c r="E576" i="1"/>
  <c r="E577" i="1"/>
  <c r="E578" i="1"/>
  <c r="E580" i="1"/>
  <c r="E581" i="1"/>
  <c r="E104" i="1"/>
  <c r="E582" i="1"/>
  <c r="E105" i="1"/>
  <c r="E583" i="1"/>
  <c r="E106" i="1"/>
  <c r="E107" i="1"/>
  <c r="E108" i="1"/>
  <c r="E109" i="1"/>
  <c r="E584" i="1"/>
  <c r="E110" i="1"/>
  <c r="E585" i="1"/>
  <c r="E111" i="1"/>
  <c r="E112" i="1"/>
  <c r="E113" i="1"/>
  <c r="E586" i="1"/>
  <c r="E587" i="1"/>
  <c r="E588" i="1"/>
  <c r="E589" i="1"/>
  <c r="E114" i="1"/>
  <c r="E115" i="1"/>
  <c r="E116" i="1"/>
  <c r="E590" i="1"/>
  <c r="E591" i="1"/>
  <c r="E117" i="1"/>
  <c r="E592" i="1"/>
  <c r="E118" i="1"/>
  <c r="E119" i="1"/>
  <c r="E593" i="1"/>
  <c r="E594" i="1"/>
  <c r="E595" i="1"/>
  <c r="E120" i="1"/>
  <c r="E596" i="1"/>
  <c r="E597" i="1"/>
  <c r="E598" i="1"/>
  <c r="E121" i="1"/>
  <c r="E599" i="1"/>
  <c r="E600" i="1"/>
  <c r="E122" i="1"/>
  <c r="E123" i="1"/>
  <c r="E124" i="1"/>
  <c r="E125" i="1"/>
  <c r="E126" i="1"/>
  <c r="E127" i="1"/>
  <c r="E601" i="1"/>
  <c r="E602" i="1"/>
  <c r="E603" i="1"/>
  <c r="E128" i="1"/>
  <c r="E129" i="1"/>
  <c r="E604" i="1"/>
  <c r="E605" i="1"/>
  <c r="E606" i="1"/>
  <c r="E607" i="1"/>
  <c r="E130" i="1"/>
  <c r="E609" i="1"/>
  <c r="E131" i="1"/>
  <c r="E132" i="1"/>
  <c r="E610" i="1"/>
  <c r="E133" i="1"/>
  <c r="E134" i="1"/>
  <c r="E611" i="1"/>
  <c r="E135" i="1"/>
  <c r="E136" i="1"/>
  <c r="E137" i="1"/>
  <c r="E138" i="1"/>
  <c r="E139" i="1"/>
  <c r="E140" i="1"/>
  <c r="E141" i="1"/>
  <c r="E142" i="1"/>
  <c r="E612" i="1"/>
  <c r="E613" i="1"/>
  <c r="E614" i="1"/>
  <c r="E143" i="1"/>
  <c r="E144" i="1"/>
  <c r="E145" i="1"/>
  <c r="E146" i="1"/>
  <c r="E147" i="1"/>
  <c r="E615" i="1"/>
  <c r="E148" i="1"/>
  <c r="E616" i="1"/>
  <c r="E617" i="1"/>
  <c r="E150" i="1"/>
  <c r="E618" i="1"/>
  <c r="E619" i="1"/>
  <c r="E151" i="1"/>
  <c r="E620" i="1"/>
  <c r="E152" i="1"/>
  <c r="E153" i="1"/>
  <c r="E621" i="1"/>
  <c r="E622" i="1"/>
  <c r="E623" i="1"/>
  <c r="E624" i="1"/>
  <c r="E154" i="1"/>
  <c r="E155" i="1"/>
  <c r="E625" i="1"/>
  <c r="E626" i="1"/>
  <c r="E627" i="1"/>
  <c r="E628" i="1"/>
  <c r="E156" i="1"/>
  <c r="E157" i="1"/>
  <c r="E158" i="1"/>
  <c r="E629" i="1"/>
  <c r="E160" i="1"/>
  <c r="E161" i="1"/>
  <c r="E162" i="1"/>
  <c r="E630" i="1"/>
  <c r="E631" i="1"/>
  <c r="E164" i="1"/>
  <c r="E165" i="1"/>
  <c r="E632" i="1"/>
  <c r="E167" i="1"/>
  <c r="E633" i="1"/>
  <c r="E168" i="1"/>
  <c r="E634" i="1"/>
  <c r="E169" i="1"/>
  <c r="E170" i="1"/>
  <c r="E171" i="1"/>
  <c r="E635" i="1"/>
  <c r="E636" i="1"/>
  <c r="E172" i="1"/>
  <c r="E637" i="1"/>
  <c r="E173" i="1"/>
  <c r="E638" i="1"/>
  <c r="E639" i="1"/>
  <c r="E640" i="1"/>
  <c r="E174" i="1"/>
  <c r="E641" i="1"/>
  <c r="E175" i="1"/>
  <c r="E176" i="1"/>
  <c r="E642" i="1"/>
  <c r="E643" i="1"/>
  <c r="E177" i="1"/>
  <c r="E178" i="1"/>
  <c r="E179" i="1"/>
  <c r="E644" i="1"/>
  <c r="E645" i="1"/>
  <c r="E646" i="1"/>
  <c r="E180" i="1"/>
  <c r="E181" i="1"/>
  <c r="E182" i="1"/>
  <c r="E183" i="1"/>
  <c r="E647" i="1"/>
  <c r="E648" i="1"/>
  <c r="E184" i="1"/>
  <c r="E185" i="1"/>
  <c r="E650" i="1"/>
  <c r="E186" i="1"/>
  <c r="E187" i="1"/>
  <c r="E188" i="1"/>
  <c r="E189" i="1"/>
  <c r="E190" i="1"/>
  <c r="E191" i="1"/>
  <c r="E651" i="1"/>
  <c r="E652" i="1"/>
  <c r="E653" i="1"/>
  <c r="E192" i="1"/>
  <c r="E654" i="1"/>
  <c r="E655" i="1"/>
  <c r="E193" i="1"/>
  <c r="E194" i="1"/>
  <c r="E656" i="1"/>
  <c r="E657" i="1"/>
  <c r="E196" i="1"/>
  <c r="E658" i="1"/>
  <c r="E197" i="1"/>
  <c r="E198" i="1"/>
  <c r="E199" i="1"/>
  <c r="E660" i="1"/>
  <c r="E200" i="1"/>
  <c r="E661" i="1"/>
  <c r="E662" i="1"/>
  <c r="E663" i="1"/>
  <c r="E201" i="1"/>
  <c r="E202" i="1"/>
  <c r="E664" i="1"/>
  <c r="E203" i="1"/>
  <c r="E204" i="1"/>
  <c r="E665" i="1"/>
  <c r="E205" i="1"/>
  <c r="E666" i="1"/>
  <c r="E667" i="1"/>
  <c r="E668" i="1"/>
  <c r="E206" i="1"/>
  <c r="E207" i="1"/>
  <c r="E669" i="1"/>
  <c r="E670" i="1"/>
  <c r="E671" i="1"/>
  <c r="E208" i="1"/>
  <c r="E209" i="1"/>
  <c r="E672" i="1"/>
  <c r="E210" i="1"/>
  <c r="E673" i="1"/>
  <c r="E674" i="1"/>
  <c r="E211" i="1"/>
  <c r="E675" i="1"/>
  <c r="E212" i="1"/>
  <c r="E676" i="1"/>
  <c r="E677" i="1"/>
  <c r="E213" i="1"/>
  <c r="E214" i="1"/>
  <c r="E678" i="1"/>
  <c r="E679" i="1"/>
  <c r="E681" i="1"/>
  <c r="E215" i="1"/>
  <c r="E216" i="1"/>
  <c r="E682" i="1"/>
  <c r="E684" i="1"/>
  <c r="E217" i="1"/>
  <c r="E218" i="1"/>
  <c r="E685" i="1"/>
  <c r="E686" i="1"/>
  <c r="E687" i="1"/>
  <c r="E219" i="1"/>
  <c r="E688" i="1"/>
  <c r="E689" i="1"/>
  <c r="E690" i="1"/>
  <c r="E220" i="1"/>
  <c r="E221" i="1"/>
  <c r="E222" i="1"/>
  <c r="E691" i="1"/>
  <c r="E223" i="1"/>
  <c r="E224" i="1"/>
  <c r="E225" i="1"/>
  <c r="E226" i="1"/>
  <c r="E692" i="1"/>
  <c r="E693" i="1"/>
  <c r="E227" i="1"/>
  <c r="E694" i="1"/>
  <c r="E696" i="1"/>
  <c r="E697" i="1"/>
  <c r="E228" i="1"/>
  <c r="E229" i="1"/>
  <c r="E230" i="1"/>
  <c r="E231" i="1"/>
  <c r="E698" i="1"/>
  <c r="E232" i="1"/>
  <c r="E699" i="1"/>
  <c r="E700" i="1"/>
  <c r="E233" i="1"/>
  <c r="E701" i="1"/>
  <c r="E234" i="1"/>
  <c r="E702" i="1"/>
  <c r="E235" i="1"/>
  <c r="E236" i="1"/>
  <c r="E703" i="1"/>
  <c r="E704" i="1"/>
  <c r="E237" i="1"/>
  <c r="E705" i="1"/>
  <c r="E706" i="1"/>
  <c r="E707" i="1"/>
  <c r="E708" i="1"/>
  <c r="E238" i="1"/>
  <c r="E240" i="1"/>
  <c r="E241" i="1"/>
  <c r="E242" i="1"/>
  <c r="E709" i="1"/>
  <c r="E710" i="1"/>
  <c r="E711" i="1"/>
  <c r="E243" i="1"/>
  <c r="E244" i="1"/>
  <c r="E245" i="1"/>
  <c r="E246" i="1"/>
  <c r="E712" i="1"/>
  <c r="E713" i="1"/>
  <c r="E247" i="1"/>
  <c r="E248" i="1"/>
  <c r="E714" i="1"/>
  <c r="E715" i="1"/>
  <c r="E249" i="1"/>
  <c r="E250" i="1"/>
  <c r="E716" i="1"/>
  <c r="E251" i="1"/>
  <c r="E717" i="1"/>
  <c r="E252" i="1"/>
  <c r="E718" i="1"/>
  <c r="E719" i="1"/>
  <c r="E253" i="1"/>
  <c r="E254" i="1"/>
  <c r="E720" i="1"/>
  <c r="E255" i="1"/>
  <c r="E256" i="1"/>
  <c r="E721" i="1"/>
  <c r="E722" i="1"/>
  <c r="E257" i="1"/>
  <c r="E258" i="1"/>
  <c r="E259" i="1"/>
  <c r="E260" i="1"/>
  <c r="E261" i="1"/>
  <c r="E723" i="1"/>
  <c r="E724" i="1"/>
  <c r="E262" i="1"/>
  <c r="E725" i="1"/>
  <c r="E726" i="1"/>
  <c r="E263" i="1"/>
  <c r="E264" i="1"/>
  <c r="E265" i="1"/>
  <c r="E727" i="1"/>
  <c r="E266" i="1"/>
  <c r="E267" i="1"/>
  <c r="E268" i="1"/>
  <c r="E269" i="1"/>
  <c r="E270" i="1"/>
  <c r="E271" i="1"/>
  <c r="E728" i="1"/>
  <c r="E272" i="1"/>
  <c r="E729" i="1"/>
  <c r="E273" i="1"/>
  <c r="E274" i="1"/>
  <c r="E730" i="1"/>
  <c r="E731" i="1"/>
  <c r="E275" i="1"/>
  <c r="E276" i="1"/>
  <c r="E277" i="1"/>
  <c r="E732" i="1"/>
  <c r="E733" i="1"/>
  <c r="E734" i="1"/>
  <c r="E278" i="1"/>
  <c r="E279" i="1"/>
  <c r="E280" i="1"/>
  <c r="E735" i="1"/>
  <c r="E736" i="1"/>
  <c r="E737" i="1"/>
  <c r="E281" i="1"/>
  <c r="E282" i="1"/>
  <c r="E738" i="1"/>
  <c r="E283" i="1"/>
  <c r="E739" i="1"/>
  <c r="E284" i="1"/>
  <c r="E285" i="1"/>
  <c r="E286" i="1"/>
  <c r="E287" i="1"/>
  <c r="E289" i="1"/>
  <c r="E740" i="1"/>
  <c r="E290" i="1"/>
  <c r="E291" i="1"/>
  <c r="E741" i="1"/>
  <c r="E292" i="1"/>
  <c r="E742" i="1"/>
  <c r="E293" i="1"/>
  <c r="E294" i="1"/>
  <c r="E743" i="1"/>
  <c r="E744" i="1"/>
  <c r="E295" i="1"/>
  <c r="E745" i="1"/>
  <c r="E296" i="1"/>
  <c r="E746" i="1"/>
  <c r="E747" i="1"/>
  <c r="E748" i="1"/>
  <c r="E297" i="1"/>
  <c r="E749" i="1"/>
  <c r="E750" i="1"/>
  <c r="E298" i="1"/>
  <c r="E299" i="1"/>
  <c r="E300" i="1"/>
  <c r="E751" i="1"/>
  <c r="E752" i="1"/>
  <c r="E301" i="1"/>
  <c r="E302" i="1"/>
  <c r="E753" i="1"/>
  <c r="E303" i="1"/>
  <c r="E754" i="1"/>
  <c r="E304" i="1"/>
  <c r="E755" i="1"/>
  <c r="E305" i="1"/>
  <c r="E756" i="1"/>
  <c r="E306" i="1"/>
  <c r="E307" i="1"/>
  <c r="E757" i="1"/>
  <c r="E308" i="1"/>
  <c r="E758" i="1"/>
  <c r="E309" i="1"/>
  <c r="E310" i="1"/>
  <c r="E759" i="1"/>
  <c r="E311" i="1"/>
  <c r="E760" i="1"/>
  <c r="E312" i="1"/>
  <c r="E313" i="1"/>
  <c r="E761" i="1"/>
  <c r="E314" i="1"/>
  <c r="E315" i="1"/>
  <c r="E763" i="1"/>
  <c r="E764" i="1"/>
  <c r="E316" i="1"/>
  <c r="E765" i="1"/>
  <c r="E317" i="1"/>
  <c r="E318" i="1"/>
  <c r="E766" i="1"/>
  <c r="E767" i="1"/>
  <c r="E319" i="1"/>
  <c r="E768" i="1"/>
  <c r="E320" i="1"/>
  <c r="E321" i="1"/>
  <c r="E322" i="1"/>
  <c r="E769" i="1"/>
  <c r="E323" i="1"/>
  <c r="E324" i="1"/>
  <c r="E325" i="1"/>
  <c r="E770" i="1"/>
  <c r="E771" i="1"/>
  <c r="E772" i="1"/>
  <c r="E326" i="1"/>
  <c r="E774" i="1"/>
  <c r="E327" i="1"/>
  <c r="E775" i="1"/>
  <c r="E328" i="1"/>
  <c r="E776" i="1"/>
  <c r="E329" i="1"/>
  <c r="E330" i="1"/>
  <c r="E777" i="1"/>
  <c r="E778" i="1"/>
  <c r="E331" i="1"/>
  <c r="E332" i="1"/>
  <c r="E333" i="1"/>
  <c r="E779" i="1"/>
  <c r="E780" i="1"/>
  <c r="E781" i="1"/>
  <c r="E782" i="1"/>
  <c r="E334" i="1"/>
  <c r="E335" i="1"/>
  <c r="E336" i="1"/>
  <c r="E337" i="1"/>
  <c r="E783" i="1"/>
  <c r="E338" i="1"/>
  <c r="E784" i="1"/>
  <c r="E339" i="1"/>
  <c r="E785" i="1"/>
  <c r="E340" i="1"/>
  <c r="E342" i="1"/>
  <c r="E786" i="1"/>
  <c r="E343" i="1"/>
  <c r="E344" i="1"/>
  <c r="E787" i="1"/>
  <c r="E788" i="1"/>
  <c r="E789" i="1"/>
  <c r="E790" i="1"/>
  <c r="E791" i="1"/>
  <c r="E345" i="1"/>
  <c r="E792" i="1"/>
  <c r="E346" i="1"/>
  <c r="E793" i="1"/>
  <c r="E794" i="1"/>
  <c r="E347" i="1"/>
  <c r="E348" i="1"/>
  <c r="E349" i="1"/>
  <c r="E350" i="1"/>
  <c r="E351" i="1"/>
  <c r="E352" i="1"/>
  <c r="E353" i="1"/>
  <c r="E354" i="1"/>
  <c r="E355" i="1"/>
  <c r="E795" i="1"/>
  <c r="E356" i="1"/>
  <c r="E357" i="1"/>
  <c r="E358" i="1"/>
  <c r="E796" i="1"/>
  <c r="E797" i="1"/>
  <c r="E798" i="1"/>
  <c r="E799" i="1"/>
  <c r="E359" i="1"/>
  <c r="E360" i="1"/>
  <c r="E800" i="1"/>
  <c r="E802" i="1"/>
  <c r="E803" i="1"/>
  <c r="E361" i="1"/>
  <c r="E362" i="1"/>
  <c r="E363" i="1"/>
  <c r="E364" i="1"/>
  <c r="E365" i="1"/>
  <c r="E804" i="1"/>
  <c r="E805" i="1"/>
  <c r="E366" i="1"/>
  <c r="E367" i="1"/>
  <c r="E806" i="1"/>
  <c r="E368" i="1"/>
  <c r="E369" i="1"/>
  <c r="E807" i="1"/>
  <c r="E370" i="1"/>
  <c r="E808" i="1"/>
  <c r="E371" i="1"/>
  <c r="E809" i="1"/>
  <c r="E810" i="1"/>
  <c r="E811" i="1"/>
  <c r="E812" i="1"/>
  <c r="E813" i="1"/>
  <c r="E372" i="1"/>
  <c r="E814" i="1"/>
  <c r="E815" i="1"/>
  <c r="E816" i="1"/>
  <c r="E817" i="1"/>
  <c r="E373" i="1"/>
  <c r="E374" i="1"/>
  <c r="E375" i="1"/>
  <c r="E376" i="1"/>
  <c r="E818" i="1"/>
  <c r="E377" i="1"/>
  <c r="E819" i="1"/>
  <c r="E378" i="1"/>
  <c r="E379" i="1"/>
  <c r="E820" i="1"/>
  <c r="E380" i="1"/>
  <c r="E381" i="1"/>
  <c r="E821" i="1"/>
  <c r="E382" i="1"/>
  <c r="E822" i="1"/>
  <c r="E823" i="1"/>
  <c r="E383" i="1"/>
  <c r="E384" i="1"/>
  <c r="E825" i="1"/>
  <c r="E385" i="1"/>
  <c r="E386" i="1"/>
  <c r="E826" i="1"/>
  <c r="E827" i="1"/>
  <c r="E828" i="1"/>
  <c r="E829" i="1"/>
  <c r="E387" i="1"/>
  <c r="E830" i="1"/>
  <c r="E831" i="1"/>
  <c r="E388" i="1"/>
  <c r="E389" i="1"/>
  <c r="E390" i="1"/>
  <c r="E832" i="1"/>
  <c r="E833" i="1"/>
  <c r="E834" i="1"/>
  <c r="E391" i="1"/>
  <c r="E836" i="1"/>
  <c r="E837" i="1"/>
  <c r="E392" i="1"/>
  <c r="E393" i="1"/>
  <c r="E394" i="1"/>
  <c r="E395" i="1"/>
  <c r="E838" i="1"/>
  <c r="E396" i="1"/>
  <c r="E397" i="1"/>
  <c r="E399" i="1"/>
  <c r="E400" i="1"/>
  <c r="E839" i="1"/>
  <c r="E840" i="1"/>
  <c r="E841" i="1"/>
  <c r="E401" i="1"/>
  <c r="E842" i="1"/>
  <c r="E402" i="1"/>
  <c r="E843" i="1"/>
  <c r="E844" i="1"/>
  <c r="E845" i="1"/>
  <c r="E846" i="1"/>
  <c r="E847" i="1"/>
  <c r="E404" i="1"/>
  <c r="E848" i="1"/>
  <c r="E405" i="1"/>
  <c r="E850" i="1"/>
  <c r="E406" i="1"/>
  <c r="E851" i="1"/>
  <c r="E407" i="1"/>
  <c r="E852" i="1"/>
  <c r="E408" i="1"/>
  <c r="E409" i="1"/>
  <c r="E410" i="1"/>
  <c r="E853" i="1"/>
  <c r="E855" i="1"/>
  <c r="E411" i="1"/>
  <c r="E412" i="1"/>
  <c r="E413" i="1"/>
  <c r="E414" i="1"/>
  <c r="E415" i="1"/>
  <c r="E416" i="1"/>
  <c r="E417" i="1"/>
  <c r="E856" i="1"/>
  <c r="E418" i="1"/>
  <c r="E419" i="1"/>
  <c r="E857" i="1"/>
  <c r="E420" i="1"/>
  <c r="E858" i="1"/>
  <c r="E859" i="1"/>
  <c r="E421" i="1"/>
  <c r="E860" i="1"/>
  <c r="E422" i="1"/>
  <c r="E423" i="1"/>
  <c r="E424" i="1"/>
  <c r="E861" i="1"/>
  <c r="E862" i="1"/>
  <c r="E425" i="1"/>
  <c r="E426" i="1"/>
  <c r="E863" i="1"/>
  <c r="E864" i="1"/>
  <c r="E427" i="1"/>
  <c r="E865" i="1"/>
  <c r="E428" i="1"/>
  <c r="E429" i="1"/>
  <c r="E430" i="1"/>
  <c r="E866" i="1"/>
  <c r="E431" i="1"/>
  <c r="E867" i="1"/>
  <c r="E868" i="1"/>
  <c r="E869" i="1"/>
  <c r="E432" i="1"/>
  <c r="E433" i="1"/>
  <c r="E870" i="1"/>
  <c r="E434" i="1"/>
  <c r="E435" i="1"/>
  <c r="E436" i="1"/>
  <c r="E871" i="1"/>
  <c r="E872" i="1"/>
  <c r="E873" i="1"/>
  <c r="E437" i="1"/>
  <c r="E874" i="1"/>
  <c r="E438" i="1"/>
  <c r="E439" i="1"/>
  <c r="E440" i="1"/>
  <c r="E441" i="1"/>
  <c r="E442" i="1"/>
  <c r="E875" i="1"/>
  <c r="E443" i="1"/>
  <c r="E876" i="1"/>
  <c r="E444" i="1"/>
  <c r="E877" i="1"/>
  <c r="E445" i="1"/>
  <c r="E446" i="1"/>
  <c r="E878" i="1"/>
  <c r="E447" i="1"/>
  <c r="E448" i="1"/>
  <c r="E879" i="1"/>
  <c r="E449" i="1"/>
  <c r="E880" i="1"/>
  <c r="E450" i="1"/>
  <c r="E451" i="1"/>
  <c r="E452" i="1"/>
  <c r="E881" i="1"/>
  <c r="E453" i="1"/>
  <c r="E454" i="1"/>
  <c r="E882" i="1"/>
  <c r="E883" i="1"/>
  <c r="E455" i="1"/>
  <c r="E884" i="1"/>
  <c r="E885" i="1"/>
  <c r="E456" i="1"/>
  <c r="E886" i="1"/>
  <c r="E887" i="1"/>
  <c r="E888" i="1"/>
  <c r="E457" i="1"/>
  <c r="E458" i="1"/>
  <c r="E459" i="1"/>
  <c r="E889" i="1"/>
  <c r="E890" i="1"/>
  <c r="E460" i="1"/>
  <c r="E461" i="1"/>
  <c r="E891" i="1"/>
  <c r="E462" i="1"/>
  <c r="E463" i="1"/>
  <c r="E892" i="1"/>
  <c r="E464" i="1"/>
  <c r="E465" i="1"/>
  <c r="E893" i="1"/>
  <c r="E894" i="1"/>
  <c r="E895" i="1"/>
  <c r="E896" i="1"/>
  <c r="E466" i="1"/>
  <c r="E897" i="1"/>
  <c r="E467" i="1"/>
  <c r="E898" i="1"/>
  <c r="E899" i="1"/>
  <c r="E900" i="1"/>
  <c r="E468" i="1"/>
  <c r="E469" i="1"/>
  <c r="E901" i="1"/>
  <c r="E470" i="1"/>
  <c r="E902" i="1"/>
  <c r="E903" i="1"/>
  <c r="E471" i="1"/>
  <c r="E904" i="1"/>
  <c r="E905" i="1"/>
  <c r="E472" i="1"/>
  <c r="E906" i="1"/>
  <c r="E907" i="1"/>
  <c r="E473" i="1"/>
  <c r="E474" i="1"/>
  <c r="E908" i="1"/>
  <c r="E909" i="1"/>
  <c r="E475" i="1"/>
  <c r="E477" i="1"/>
  <c r="E478" i="1"/>
  <c r="E479" i="1"/>
  <c r="E910" i="1"/>
  <c r="E911" i="1"/>
  <c r="E480" i="1"/>
  <c r="E481" i="1"/>
  <c r="E482" i="1"/>
  <c r="E483" i="1"/>
  <c r="E484" i="1"/>
  <c r="E485" i="1"/>
  <c r="E912" i="1"/>
  <c r="E913" i="1"/>
  <c r="E914" i="1"/>
  <c r="E915" i="1"/>
  <c r="E916" i="1"/>
  <c r="E917" i="1"/>
  <c r="E486" i="1"/>
  <c r="E918" i="1"/>
  <c r="E919" i="1"/>
  <c r="E920" i="1"/>
  <c r="E487" i="1"/>
  <c r="E488" i="1"/>
  <c r="E921" i="1"/>
  <c r="E922" i="1"/>
  <c r="E489" i="1"/>
  <c r="E490" i="1"/>
  <c r="E923" i="1"/>
  <c r="E491" i="1"/>
  <c r="E924" i="1"/>
  <c r="E492" i="1"/>
  <c r="E493" i="1"/>
  <c r="E925" i="1"/>
  <c r="E926" i="1"/>
  <c r="E927" i="1"/>
  <c r="E494" i="1"/>
  <c r="E928" i="1"/>
  <c r="E495" i="1"/>
  <c r="E929" i="1"/>
  <c r="E930" i="1"/>
  <c r="E496" i="1"/>
  <c r="E497" i="1"/>
  <c r="E931" i="1"/>
  <c r="E498" i="1"/>
  <c r="E499" i="1"/>
  <c r="E500" i="1"/>
  <c r="E501" i="1"/>
  <c r="E932" i="1"/>
  <c r="E502" i="1"/>
  <c r="E933" i="1"/>
  <c r="E195" i="1"/>
  <c r="E539" i="1"/>
  <c r="E680" i="1"/>
  <c r="E608" i="1"/>
  <c r="E649" i="1"/>
  <c r="E579" i="1"/>
  <c r="E239" i="1"/>
  <c r="E773" i="1"/>
  <c r="E91" i="1"/>
  <c r="E159" i="1"/>
  <c r="E79" i="1"/>
  <c r="E659" i="1"/>
  <c r="E2" i="1"/>
  <c r="AR3" i="1"/>
  <c r="AR4" i="1"/>
  <c r="AR5" i="1"/>
  <c r="AR503" i="1"/>
  <c r="AR6" i="1"/>
  <c r="AR504" i="1"/>
  <c r="AR506" i="1"/>
  <c r="AR7" i="1"/>
  <c r="AR507" i="1"/>
  <c r="AR508" i="1"/>
  <c r="AR8" i="1"/>
  <c r="AR9" i="1"/>
  <c r="AR509" i="1"/>
  <c r="AR10" i="1"/>
  <c r="AR11" i="1"/>
  <c r="AR12" i="1"/>
  <c r="AR13" i="1"/>
  <c r="AR510" i="1"/>
  <c r="AR14" i="1"/>
  <c r="AR511" i="1"/>
  <c r="AR512" i="1"/>
  <c r="AR513" i="1"/>
  <c r="AR514" i="1"/>
  <c r="AR15" i="1"/>
  <c r="AR16" i="1"/>
  <c r="AR17" i="1"/>
  <c r="AR515" i="1"/>
  <c r="AR18" i="1"/>
  <c r="AR516" i="1"/>
  <c r="AR19" i="1"/>
  <c r="AR517" i="1"/>
  <c r="AR20" i="1"/>
  <c r="AR21" i="1"/>
  <c r="AR518" i="1"/>
  <c r="AR22" i="1"/>
  <c r="AR23" i="1"/>
  <c r="AR519" i="1"/>
  <c r="AR24" i="1"/>
  <c r="AR25" i="1"/>
  <c r="AR26" i="1"/>
  <c r="AR27" i="1"/>
  <c r="AR520" i="1"/>
  <c r="AR28" i="1"/>
  <c r="AR29" i="1"/>
  <c r="AR30" i="1"/>
  <c r="AR31" i="1"/>
  <c r="AR32" i="1"/>
  <c r="AR521" i="1"/>
  <c r="AR33" i="1"/>
  <c r="AR522" i="1"/>
  <c r="AR34" i="1"/>
  <c r="AR35" i="1"/>
  <c r="AR523" i="1"/>
  <c r="AR524" i="1"/>
  <c r="AR525" i="1"/>
  <c r="AR526" i="1"/>
  <c r="AR36" i="1"/>
  <c r="AR37" i="1"/>
  <c r="AR38" i="1"/>
  <c r="AR39" i="1"/>
  <c r="AR40" i="1"/>
  <c r="AR41" i="1"/>
  <c r="AR42" i="1"/>
  <c r="AR43" i="1"/>
  <c r="AR44" i="1"/>
  <c r="AR527" i="1"/>
  <c r="AR528" i="1"/>
  <c r="AR45" i="1"/>
  <c r="AR46" i="1"/>
  <c r="AR529" i="1"/>
  <c r="AR530" i="1"/>
  <c r="AR47" i="1"/>
  <c r="AR531" i="1"/>
  <c r="AR532" i="1"/>
  <c r="AR533" i="1"/>
  <c r="AR48" i="1"/>
  <c r="AR534" i="1"/>
  <c r="AR535" i="1"/>
  <c r="AR536" i="1"/>
  <c r="AR49" i="1"/>
  <c r="AR537" i="1"/>
  <c r="AR50" i="1"/>
  <c r="AR51" i="1"/>
  <c r="AR52" i="1"/>
  <c r="AR53" i="1"/>
  <c r="AR54" i="1"/>
  <c r="AR55" i="1"/>
  <c r="AR56" i="1"/>
  <c r="AR57" i="1"/>
  <c r="AR538" i="1"/>
  <c r="AR540" i="1"/>
  <c r="AR541" i="1"/>
  <c r="AR58" i="1"/>
  <c r="AR59" i="1"/>
  <c r="AR542" i="1"/>
  <c r="AR60" i="1"/>
  <c r="AR543" i="1"/>
  <c r="AR61" i="1"/>
  <c r="AR544" i="1"/>
  <c r="AR545" i="1"/>
  <c r="AR62" i="1"/>
  <c r="AR546" i="1"/>
  <c r="AR547" i="1"/>
  <c r="AR548" i="1"/>
  <c r="AR63" i="1"/>
  <c r="AR64" i="1"/>
  <c r="AR65" i="1"/>
  <c r="AR66" i="1"/>
  <c r="AR549" i="1"/>
  <c r="AR67" i="1"/>
  <c r="AR550" i="1"/>
  <c r="AR68" i="1"/>
  <c r="AR69" i="1"/>
  <c r="AR70" i="1"/>
  <c r="AR71" i="1"/>
  <c r="AR551" i="1"/>
  <c r="AR72" i="1"/>
  <c r="AR73" i="1"/>
  <c r="AR74" i="1"/>
  <c r="AR75" i="1"/>
  <c r="AR552" i="1"/>
  <c r="AR76" i="1"/>
  <c r="AR77" i="1"/>
  <c r="AR80" i="1"/>
  <c r="AR553" i="1"/>
  <c r="AR554" i="1"/>
  <c r="AR555" i="1"/>
  <c r="AR81" i="1"/>
  <c r="AR82" i="1"/>
  <c r="AR83" i="1"/>
  <c r="AR557" i="1"/>
  <c r="AR84" i="1"/>
  <c r="AR85" i="1"/>
  <c r="AR558" i="1"/>
  <c r="AR559" i="1"/>
  <c r="AR560" i="1"/>
  <c r="AR561" i="1"/>
  <c r="AR87" i="1"/>
  <c r="AR562" i="1"/>
  <c r="AR88" i="1"/>
  <c r="AR89" i="1"/>
  <c r="AR90" i="1"/>
  <c r="AR92" i="1"/>
  <c r="AR93" i="1"/>
  <c r="AR563" i="1"/>
  <c r="AR564" i="1"/>
  <c r="AR94" i="1"/>
  <c r="AR565" i="1"/>
  <c r="AR95" i="1"/>
  <c r="AR96" i="1"/>
  <c r="AR97" i="1"/>
  <c r="AR98" i="1"/>
  <c r="AR566" i="1"/>
  <c r="AR99" i="1"/>
  <c r="AR567" i="1"/>
  <c r="AR568" i="1"/>
  <c r="AR100" i="1"/>
  <c r="AR101" i="1"/>
  <c r="AR569" i="1"/>
  <c r="AR570" i="1"/>
  <c r="AR571" i="1"/>
  <c r="AR102" i="1"/>
  <c r="AR572" i="1"/>
  <c r="AR573" i="1"/>
  <c r="AR103" i="1"/>
  <c r="AR574" i="1"/>
  <c r="AR575" i="1"/>
  <c r="AR576" i="1"/>
  <c r="AR577" i="1"/>
  <c r="AR578" i="1"/>
  <c r="AR580" i="1"/>
  <c r="AR581" i="1"/>
  <c r="AR104" i="1"/>
  <c r="AR582" i="1"/>
  <c r="AR105" i="1"/>
  <c r="AR583" i="1"/>
  <c r="AR106" i="1"/>
  <c r="AR107" i="1"/>
  <c r="AR108" i="1"/>
  <c r="AR109" i="1"/>
  <c r="AR584" i="1"/>
  <c r="AR110" i="1"/>
  <c r="AR585" i="1"/>
  <c r="AR111" i="1"/>
  <c r="AR112" i="1"/>
  <c r="AR113" i="1"/>
  <c r="AR586" i="1"/>
  <c r="AR587" i="1"/>
  <c r="AR588" i="1"/>
  <c r="AR589" i="1"/>
  <c r="AR114" i="1"/>
  <c r="AR115" i="1"/>
  <c r="AR116" i="1"/>
  <c r="AR590" i="1"/>
  <c r="AR591" i="1"/>
  <c r="AR117" i="1"/>
  <c r="AR592" i="1"/>
  <c r="AR118" i="1"/>
  <c r="AR119" i="1"/>
  <c r="AR593" i="1"/>
  <c r="AR594" i="1"/>
  <c r="AR595" i="1"/>
  <c r="AR120" i="1"/>
  <c r="AR596" i="1"/>
  <c r="AR597" i="1"/>
  <c r="AR598" i="1"/>
  <c r="AR121" i="1"/>
  <c r="AR599" i="1"/>
  <c r="AR600" i="1"/>
  <c r="AR122" i="1"/>
  <c r="AR123" i="1"/>
  <c r="AR124" i="1"/>
  <c r="AR125" i="1"/>
  <c r="AR126" i="1"/>
  <c r="AR127" i="1"/>
  <c r="AR601" i="1"/>
  <c r="AR602" i="1"/>
  <c r="AR603" i="1"/>
  <c r="AR128" i="1"/>
  <c r="AR129" i="1"/>
  <c r="AR604" i="1"/>
  <c r="AR605" i="1"/>
  <c r="AR606" i="1"/>
  <c r="AR607" i="1"/>
  <c r="AR130" i="1"/>
  <c r="AR609" i="1"/>
  <c r="AR131" i="1"/>
  <c r="AR132" i="1"/>
  <c r="AR610" i="1"/>
  <c r="AR133" i="1"/>
  <c r="AR134" i="1"/>
  <c r="AR611" i="1"/>
  <c r="AR135" i="1"/>
  <c r="AR136" i="1"/>
  <c r="AR137" i="1"/>
  <c r="AR138" i="1"/>
  <c r="AR139" i="1"/>
  <c r="AR140" i="1"/>
  <c r="AR141" i="1"/>
  <c r="AR142" i="1"/>
  <c r="AR612" i="1"/>
  <c r="AR613" i="1"/>
  <c r="AR614" i="1"/>
  <c r="AR143" i="1"/>
  <c r="AR144" i="1"/>
  <c r="AR145" i="1"/>
  <c r="AR146" i="1"/>
  <c r="AR147" i="1"/>
  <c r="AR615" i="1"/>
  <c r="AR148" i="1"/>
  <c r="AR616" i="1"/>
  <c r="AR617" i="1"/>
  <c r="AR150" i="1"/>
  <c r="AR618" i="1"/>
  <c r="AR619" i="1"/>
  <c r="AR151" i="1"/>
  <c r="AR620" i="1"/>
  <c r="AR152" i="1"/>
  <c r="AR153" i="1"/>
  <c r="AR621" i="1"/>
  <c r="AR622" i="1"/>
  <c r="AR623" i="1"/>
  <c r="AR624" i="1"/>
  <c r="AR154" i="1"/>
  <c r="AR155" i="1"/>
  <c r="AR625" i="1"/>
  <c r="AR626" i="1"/>
  <c r="AR627" i="1"/>
  <c r="AR628" i="1"/>
  <c r="AR156" i="1"/>
  <c r="AR157" i="1"/>
  <c r="AR158" i="1"/>
  <c r="AR629" i="1"/>
  <c r="AR160" i="1"/>
  <c r="AR161" i="1"/>
  <c r="AR162" i="1"/>
  <c r="AR630" i="1"/>
  <c r="AR631" i="1"/>
  <c r="AR164" i="1"/>
  <c r="AR165" i="1"/>
  <c r="AR632" i="1"/>
  <c r="AR167" i="1"/>
  <c r="AR633" i="1"/>
  <c r="AR168" i="1"/>
  <c r="AR634" i="1"/>
  <c r="AR169" i="1"/>
  <c r="AR170" i="1"/>
  <c r="AR171" i="1"/>
  <c r="AR635" i="1"/>
  <c r="AR636" i="1"/>
  <c r="AR172" i="1"/>
  <c r="AR637" i="1"/>
  <c r="AR173" i="1"/>
  <c r="AR638" i="1"/>
  <c r="AR639" i="1"/>
  <c r="AR640" i="1"/>
  <c r="AR174" i="1"/>
  <c r="AR641" i="1"/>
  <c r="AR175" i="1"/>
  <c r="AR176" i="1"/>
  <c r="AR642" i="1"/>
  <c r="AR643" i="1"/>
  <c r="AR177" i="1"/>
  <c r="AR178" i="1"/>
  <c r="AR179" i="1"/>
  <c r="AR644" i="1"/>
  <c r="AR645" i="1"/>
  <c r="AR646" i="1"/>
  <c r="AR180" i="1"/>
  <c r="AR181" i="1"/>
  <c r="AR182" i="1"/>
  <c r="AR183" i="1"/>
  <c r="AR647" i="1"/>
  <c r="AR648" i="1"/>
  <c r="AR184" i="1"/>
  <c r="AR185" i="1"/>
  <c r="AR650" i="1"/>
  <c r="AR186" i="1"/>
  <c r="AR187" i="1"/>
  <c r="AR188" i="1"/>
  <c r="AR189" i="1"/>
  <c r="AR190" i="1"/>
  <c r="AR191" i="1"/>
  <c r="AR651" i="1"/>
  <c r="AR652" i="1"/>
  <c r="AR653" i="1"/>
  <c r="AR192" i="1"/>
  <c r="AR654" i="1"/>
  <c r="AR655" i="1"/>
  <c r="AR193" i="1"/>
  <c r="AR194" i="1"/>
  <c r="AR656" i="1"/>
  <c r="AR657" i="1"/>
  <c r="AR196" i="1"/>
  <c r="AR658" i="1"/>
  <c r="AR197" i="1"/>
  <c r="AR198" i="1"/>
  <c r="AR199" i="1"/>
  <c r="AR660" i="1"/>
  <c r="AR200" i="1"/>
  <c r="AR661" i="1"/>
  <c r="AR662" i="1"/>
  <c r="AR663" i="1"/>
  <c r="AR201" i="1"/>
  <c r="AR202" i="1"/>
  <c r="AR664" i="1"/>
  <c r="AR203" i="1"/>
  <c r="AR204" i="1"/>
  <c r="AR665" i="1"/>
  <c r="AR205" i="1"/>
  <c r="AR666" i="1"/>
  <c r="AR667" i="1"/>
  <c r="AR668" i="1"/>
  <c r="AR206" i="1"/>
  <c r="AR207" i="1"/>
  <c r="AR669" i="1"/>
  <c r="AR670" i="1"/>
  <c r="AR671" i="1"/>
  <c r="AR208" i="1"/>
  <c r="AR209" i="1"/>
  <c r="AR672" i="1"/>
  <c r="AR210" i="1"/>
  <c r="AR673" i="1"/>
  <c r="AR674" i="1"/>
  <c r="AR211" i="1"/>
  <c r="AR675" i="1"/>
  <c r="AR212" i="1"/>
  <c r="AR676" i="1"/>
  <c r="AR677" i="1"/>
  <c r="AR213" i="1"/>
  <c r="AR214" i="1"/>
  <c r="AR678" i="1"/>
  <c r="AR679" i="1"/>
  <c r="AR681" i="1"/>
  <c r="AR215" i="1"/>
  <c r="AR216" i="1"/>
  <c r="AR682" i="1"/>
  <c r="AR684" i="1"/>
  <c r="AR217" i="1"/>
  <c r="AR218" i="1"/>
  <c r="AR685" i="1"/>
  <c r="AR686" i="1"/>
  <c r="AR687" i="1"/>
  <c r="AR219" i="1"/>
  <c r="AR688" i="1"/>
  <c r="AR689" i="1"/>
  <c r="AR690" i="1"/>
  <c r="AR220" i="1"/>
  <c r="AR221" i="1"/>
  <c r="AR222" i="1"/>
  <c r="AR691" i="1"/>
  <c r="AR223" i="1"/>
  <c r="AR224" i="1"/>
  <c r="AR225" i="1"/>
  <c r="AR226" i="1"/>
  <c r="AR692" i="1"/>
  <c r="AR693" i="1"/>
  <c r="AR227" i="1"/>
  <c r="AR694" i="1"/>
  <c r="AR696" i="1"/>
  <c r="AR697" i="1"/>
  <c r="AR228" i="1"/>
  <c r="AR229" i="1"/>
  <c r="AR230" i="1"/>
  <c r="AR231" i="1"/>
  <c r="AR698" i="1"/>
  <c r="AR232" i="1"/>
  <c r="AR699" i="1"/>
  <c r="AR700" i="1"/>
  <c r="AR233" i="1"/>
  <c r="AR701" i="1"/>
  <c r="AR234" i="1"/>
  <c r="AR702" i="1"/>
  <c r="AR235" i="1"/>
  <c r="AR236" i="1"/>
  <c r="AR703" i="1"/>
  <c r="AR704" i="1"/>
  <c r="AR237" i="1"/>
  <c r="AR705" i="1"/>
  <c r="AR706" i="1"/>
  <c r="AR707" i="1"/>
  <c r="AR708" i="1"/>
  <c r="AR238" i="1"/>
  <c r="AR240" i="1"/>
  <c r="AR241" i="1"/>
  <c r="AR242" i="1"/>
  <c r="AR709" i="1"/>
  <c r="AR710" i="1"/>
  <c r="AR711" i="1"/>
  <c r="AR243" i="1"/>
  <c r="AR244" i="1"/>
  <c r="AR245" i="1"/>
  <c r="AR246" i="1"/>
  <c r="AR712" i="1"/>
  <c r="AR713" i="1"/>
  <c r="AR247" i="1"/>
  <c r="AR248" i="1"/>
  <c r="AR714" i="1"/>
  <c r="AR715" i="1"/>
  <c r="AR249" i="1"/>
  <c r="AR250" i="1"/>
  <c r="AR716" i="1"/>
  <c r="AR251" i="1"/>
  <c r="AR717" i="1"/>
  <c r="AR252" i="1"/>
  <c r="AR718" i="1"/>
  <c r="AR719" i="1"/>
  <c r="AR253" i="1"/>
  <c r="AR254" i="1"/>
  <c r="AR720" i="1"/>
  <c r="AR255" i="1"/>
  <c r="AR256" i="1"/>
  <c r="AR721" i="1"/>
  <c r="AR722" i="1"/>
  <c r="AR257" i="1"/>
  <c r="AR258" i="1"/>
  <c r="AR259" i="1"/>
  <c r="AR260" i="1"/>
  <c r="AR261" i="1"/>
  <c r="AR723" i="1"/>
  <c r="AR724" i="1"/>
  <c r="AR262" i="1"/>
  <c r="AR725" i="1"/>
  <c r="AR726" i="1"/>
  <c r="AR263" i="1"/>
  <c r="AR264" i="1"/>
  <c r="AR265" i="1"/>
  <c r="AR727" i="1"/>
  <c r="AR266" i="1"/>
  <c r="AR267" i="1"/>
  <c r="AR268" i="1"/>
  <c r="AR269" i="1"/>
  <c r="AR270" i="1"/>
  <c r="AR271" i="1"/>
  <c r="AR728" i="1"/>
  <c r="AR272" i="1"/>
  <c r="AR729" i="1"/>
  <c r="AR273" i="1"/>
  <c r="AR274" i="1"/>
  <c r="AR730" i="1"/>
  <c r="AR731" i="1"/>
  <c r="AR275" i="1"/>
  <c r="AR276" i="1"/>
  <c r="AR277" i="1"/>
  <c r="AR732" i="1"/>
  <c r="AR733" i="1"/>
  <c r="AR734" i="1"/>
  <c r="AR278" i="1"/>
  <c r="AR279" i="1"/>
  <c r="AR280" i="1"/>
  <c r="AR735" i="1"/>
  <c r="AR736" i="1"/>
  <c r="AR737" i="1"/>
  <c r="AR281" i="1"/>
  <c r="AR282" i="1"/>
  <c r="AR738" i="1"/>
  <c r="AR283" i="1"/>
  <c r="AR739" i="1"/>
  <c r="AR284" i="1"/>
  <c r="AR285" i="1"/>
  <c r="AR286" i="1"/>
  <c r="AR287" i="1"/>
  <c r="AR289" i="1"/>
  <c r="AR740" i="1"/>
  <c r="AR290" i="1"/>
  <c r="AR291" i="1"/>
  <c r="AR741" i="1"/>
  <c r="AR292" i="1"/>
  <c r="AR742" i="1"/>
  <c r="AR293" i="1"/>
  <c r="AR294" i="1"/>
  <c r="AR743" i="1"/>
  <c r="AR744" i="1"/>
  <c r="AR295" i="1"/>
  <c r="AR745" i="1"/>
  <c r="AR296" i="1"/>
  <c r="AR746" i="1"/>
  <c r="AR747" i="1"/>
  <c r="AR748" i="1"/>
  <c r="AR297" i="1"/>
  <c r="AR749" i="1"/>
  <c r="AR750" i="1"/>
  <c r="AR298" i="1"/>
  <c r="AR299" i="1"/>
  <c r="AR300" i="1"/>
  <c r="AR751" i="1"/>
  <c r="AR752" i="1"/>
  <c r="AR301" i="1"/>
  <c r="AR302" i="1"/>
  <c r="AR753" i="1"/>
  <c r="AR303" i="1"/>
  <c r="AR754" i="1"/>
  <c r="AR304" i="1"/>
  <c r="AR755" i="1"/>
  <c r="AR305" i="1"/>
  <c r="AR756" i="1"/>
  <c r="AR306" i="1"/>
  <c r="AR307" i="1"/>
  <c r="AR757" i="1"/>
  <c r="AR308" i="1"/>
  <c r="AR758" i="1"/>
  <c r="AR309" i="1"/>
  <c r="AR310" i="1"/>
  <c r="AR759" i="1"/>
  <c r="AR311" i="1"/>
  <c r="AR760" i="1"/>
  <c r="AR312" i="1"/>
  <c r="AR313" i="1"/>
  <c r="AR761" i="1"/>
  <c r="AR314" i="1"/>
  <c r="AR315" i="1"/>
  <c r="AR763" i="1"/>
  <c r="AR764" i="1"/>
  <c r="AR316" i="1"/>
  <c r="AR765" i="1"/>
  <c r="AR317" i="1"/>
  <c r="AR318" i="1"/>
  <c r="AR766" i="1"/>
  <c r="AR767" i="1"/>
  <c r="AR319" i="1"/>
  <c r="AR768" i="1"/>
  <c r="AR320" i="1"/>
  <c r="AR321" i="1"/>
  <c r="AR322" i="1"/>
  <c r="AR769" i="1"/>
  <c r="AR323" i="1"/>
  <c r="AR324" i="1"/>
  <c r="AR325" i="1"/>
  <c r="AR770" i="1"/>
  <c r="AR771" i="1"/>
  <c r="AR772" i="1"/>
  <c r="AR326" i="1"/>
  <c r="AR774" i="1"/>
  <c r="AR327" i="1"/>
  <c r="AR775" i="1"/>
  <c r="AR328" i="1"/>
  <c r="AR776" i="1"/>
  <c r="AR329" i="1"/>
  <c r="AR330" i="1"/>
  <c r="AR777" i="1"/>
  <c r="AR778" i="1"/>
  <c r="AR331" i="1"/>
  <c r="AR332" i="1"/>
  <c r="AR333" i="1"/>
  <c r="AR779" i="1"/>
  <c r="AR780" i="1"/>
  <c r="AR781" i="1"/>
  <c r="AR782" i="1"/>
  <c r="AR334" i="1"/>
  <c r="AR335" i="1"/>
  <c r="AR336" i="1"/>
  <c r="AR337" i="1"/>
  <c r="AR783" i="1"/>
  <c r="AR338" i="1"/>
  <c r="AR784" i="1"/>
  <c r="AR339" i="1"/>
  <c r="AR785" i="1"/>
  <c r="AR340" i="1"/>
  <c r="AR342" i="1"/>
  <c r="AR786" i="1"/>
  <c r="AR343" i="1"/>
  <c r="AR344" i="1"/>
  <c r="AR787" i="1"/>
  <c r="AR788" i="1"/>
  <c r="AR789" i="1"/>
  <c r="AR790" i="1"/>
  <c r="AR791" i="1"/>
  <c r="AR345" i="1"/>
  <c r="AR792" i="1"/>
  <c r="AR346" i="1"/>
  <c r="AR793" i="1"/>
  <c r="AR794" i="1"/>
  <c r="AR347" i="1"/>
  <c r="AR348" i="1"/>
  <c r="AR349" i="1"/>
  <c r="AR350" i="1"/>
  <c r="AR351" i="1"/>
  <c r="AR352" i="1"/>
  <c r="AR353" i="1"/>
  <c r="AR354" i="1"/>
  <c r="AR355" i="1"/>
  <c r="AR795" i="1"/>
  <c r="AR356" i="1"/>
  <c r="AR357" i="1"/>
  <c r="AR358" i="1"/>
  <c r="AR796" i="1"/>
  <c r="AR797" i="1"/>
  <c r="AR798" i="1"/>
  <c r="AR799" i="1"/>
  <c r="AR359" i="1"/>
  <c r="AR360" i="1"/>
  <c r="AR800" i="1"/>
  <c r="AR802" i="1"/>
  <c r="AR803" i="1"/>
  <c r="AR361" i="1"/>
  <c r="AR362" i="1"/>
  <c r="AR363" i="1"/>
  <c r="AR364" i="1"/>
  <c r="AR365" i="1"/>
  <c r="AR804" i="1"/>
  <c r="AR805" i="1"/>
  <c r="AR366" i="1"/>
  <c r="AR367" i="1"/>
  <c r="AR806" i="1"/>
  <c r="AR368" i="1"/>
  <c r="AR369" i="1"/>
  <c r="AR807" i="1"/>
  <c r="AR370" i="1"/>
  <c r="AR808" i="1"/>
  <c r="AR371" i="1"/>
  <c r="AR809" i="1"/>
  <c r="AR810" i="1"/>
  <c r="AR811" i="1"/>
  <c r="AR812" i="1"/>
  <c r="AR813" i="1"/>
  <c r="AR372" i="1"/>
  <c r="AR814" i="1"/>
  <c r="AR815" i="1"/>
  <c r="AR816" i="1"/>
  <c r="AR817" i="1"/>
  <c r="AR373" i="1"/>
  <c r="AR374" i="1"/>
  <c r="AR375" i="1"/>
  <c r="AR376" i="1"/>
  <c r="AR818" i="1"/>
  <c r="AR377" i="1"/>
  <c r="AR819" i="1"/>
  <c r="AR378" i="1"/>
  <c r="AR379" i="1"/>
  <c r="AR820" i="1"/>
  <c r="AR380" i="1"/>
  <c r="AR381" i="1"/>
  <c r="AR821" i="1"/>
  <c r="AR382" i="1"/>
  <c r="AR822" i="1"/>
  <c r="AR823" i="1"/>
  <c r="AR383" i="1"/>
  <c r="AR384" i="1"/>
  <c r="AR825" i="1"/>
  <c r="AR385" i="1"/>
  <c r="AR386" i="1"/>
  <c r="AR826" i="1"/>
  <c r="AR827" i="1"/>
  <c r="AR828" i="1"/>
  <c r="AR829" i="1"/>
  <c r="AR387" i="1"/>
  <c r="AR830" i="1"/>
  <c r="AR831" i="1"/>
  <c r="AR388" i="1"/>
  <c r="AR389" i="1"/>
  <c r="AR390" i="1"/>
  <c r="AR832" i="1"/>
  <c r="AR833" i="1"/>
  <c r="AR834" i="1"/>
  <c r="AR391" i="1"/>
  <c r="AR836" i="1"/>
  <c r="AR837" i="1"/>
  <c r="AR392" i="1"/>
  <c r="AR393" i="1"/>
  <c r="AR394" i="1"/>
  <c r="AR395" i="1"/>
  <c r="AR838" i="1"/>
  <c r="AR396" i="1"/>
  <c r="AR397" i="1"/>
  <c r="AR399" i="1"/>
  <c r="AR400" i="1"/>
  <c r="AR839" i="1"/>
  <c r="AR840" i="1"/>
  <c r="AR841" i="1"/>
  <c r="AR401" i="1"/>
  <c r="AR842" i="1"/>
  <c r="AR402" i="1"/>
  <c r="AR843" i="1"/>
  <c r="AR844" i="1"/>
  <c r="AR845" i="1"/>
  <c r="AR846" i="1"/>
  <c r="AR847" i="1"/>
  <c r="AR404" i="1"/>
  <c r="AR848" i="1"/>
  <c r="AR405" i="1"/>
  <c r="AR850" i="1"/>
  <c r="AR406" i="1"/>
  <c r="AR851" i="1"/>
  <c r="AR407" i="1"/>
  <c r="AR852" i="1"/>
  <c r="AR408" i="1"/>
  <c r="AR409" i="1"/>
  <c r="AR410" i="1"/>
  <c r="AR853" i="1"/>
  <c r="AR855" i="1"/>
  <c r="AR411" i="1"/>
  <c r="AR412" i="1"/>
  <c r="AR413" i="1"/>
  <c r="AR414" i="1"/>
  <c r="AR415" i="1"/>
  <c r="AR416" i="1"/>
  <c r="AR417" i="1"/>
  <c r="AR856" i="1"/>
  <c r="AR418" i="1"/>
  <c r="AR419" i="1"/>
  <c r="AR857" i="1"/>
  <c r="AR420" i="1"/>
  <c r="AR858" i="1"/>
  <c r="AR859" i="1"/>
  <c r="AR421" i="1"/>
  <c r="AR860" i="1"/>
  <c r="AR422" i="1"/>
  <c r="AR423" i="1"/>
  <c r="AR424" i="1"/>
  <c r="AR861" i="1"/>
  <c r="AR862" i="1"/>
  <c r="AR425" i="1"/>
  <c r="AR426" i="1"/>
  <c r="AR863" i="1"/>
  <c r="AR864" i="1"/>
  <c r="AR427" i="1"/>
  <c r="AR865" i="1"/>
  <c r="AR428" i="1"/>
  <c r="AR429" i="1"/>
  <c r="AR430" i="1"/>
  <c r="AR866" i="1"/>
  <c r="AR431" i="1"/>
  <c r="AR867" i="1"/>
  <c r="AR868" i="1"/>
  <c r="AR869" i="1"/>
  <c r="AR432" i="1"/>
  <c r="AR433" i="1"/>
  <c r="AR870" i="1"/>
  <c r="AR434" i="1"/>
  <c r="AR435" i="1"/>
  <c r="AR436" i="1"/>
  <c r="AR871" i="1"/>
  <c r="AR872" i="1"/>
  <c r="AR873" i="1"/>
  <c r="AR437" i="1"/>
  <c r="AR874" i="1"/>
  <c r="AR438" i="1"/>
  <c r="AR439" i="1"/>
  <c r="AR440" i="1"/>
  <c r="AR441" i="1"/>
  <c r="AR442" i="1"/>
  <c r="AR875" i="1"/>
  <c r="AR443" i="1"/>
  <c r="AR876" i="1"/>
  <c r="AR444" i="1"/>
  <c r="AR877" i="1"/>
  <c r="AR445" i="1"/>
  <c r="AR446" i="1"/>
  <c r="AR878" i="1"/>
  <c r="AR447" i="1"/>
  <c r="AR448" i="1"/>
  <c r="AR879" i="1"/>
  <c r="AR449" i="1"/>
  <c r="AR880" i="1"/>
  <c r="AR450" i="1"/>
  <c r="AR451" i="1"/>
  <c r="AR452" i="1"/>
  <c r="AR881" i="1"/>
  <c r="AR453" i="1"/>
  <c r="AR454" i="1"/>
  <c r="AR882" i="1"/>
  <c r="AR883" i="1"/>
  <c r="AR455" i="1"/>
  <c r="AR884" i="1"/>
  <c r="AR885" i="1"/>
  <c r="AR456" i="1"/>
  <c r="AR886" i="1"/>
  <c r="AR887" i="1"/>
  <c r="AR888" i="1"/>
  <c r="AR457" i="1"/>
  <c r="AR458" i="1"/>
  <c r="AR459" i="1"/>
  <c r="AR889" i="1"/>
  <c r="AR890" i="1"/>
  <c r="AR460" i="1"/>
  <c r="AR461" i="1"/>
  <c r="AR891" i="1"/>
  <c r="AR462" i="1"/>
  <c r="AR463" i="1"/>
  <c r="AR892" i="1"/>
  <c r="AR464" i="1"/>
  <c r="AR465" i="1"/>
  <c r="AR893" i="1"/>
  <c r="AR894" i="1"/>
  <c r="AR895" i="1"/>
  <c r="AR896" i="1"/>
  <c r="AR466" i="1"/>
  <c r="AR897" i="1"/>
  <c r="AR467" i="1"/>
  <c r="AR898" i="1"/>
  <c r="AR899" i="1"/>
  <c r="AR900" i="1"/>
  <c r="AR468" i="1"/>
  <c r="AR469" i="1"/>
  <c r="AR901" i="1"/>
  <c r="AR470" i="1"/>
  <c r="AR902" i="1"/>
  <c r="AR903" i="1"/>
  <c r="AR471" i="1"/>
  <c r="AR904" i="1"/>
  <c r="AR905" i="1"/>
  <c r="AR472" i="1"/>
  <c r="AR906" i="1"/>
  <c r="AR907" i="1"/>
  <c r="AR473" i="1"/>
  <c r="AR474" i="1"/>
  <c r="AR908" i="1"/>
  <c r="AR909" i="1"/>
  <c r="AR475" i="1"/>
  <c r="AR477" i="1"/>
  <c r="AR478" i="1"/>
  <c r="AR479" i="1"/>
  <c r="AR910" i="1"/>
  <c r="AR911" i="1"/>
  <c r="AR480" i="1"/>
  <c r="AR481" i="1"/>
  <c r="AR482" i="1"/>
  <c r="AR483" i="1"/>
  <c r="AR484" i="1"/>
  <c r="AR485" i="1"/>
  <c r="AR912" i="1"/>
  <c r="AR913" i="1"/>
  <c r="AR914" i="1"/>
  <c r="AR915" i="1"/>
  <c r="AR916" i="1"/>
  <c r="AR917" i="1"/>
  <c r="AR486" i="1"/>
  <c r="AR918" i="1"/>
  <c r="AR919" i="1"/>
  <c r="AR920" i="1"/>
  <c r="AR487" i="1"/>
  <c r="AR488" i="1"/>
  <c r="AR921" i="1"/>
  <c r="AR922" i="1"/>
  <c r="AR489" i="1"/>
  <c r="AR490" i="1"/>
  <c r="AR923" i="1"/>
  <c r="AR491" i="1"/>
  <c r="AR924" i="1"/>
  <c r="AR492" i="1"/>
  <c r="AR493" i="1"/>
  <c r="AR925" i="1"/>
  <c r="AR926" i="1"/>
  <c r="AR927" i="1"/>
  <c r="AR494" i="1"/>
  <c r="AR928" i="1"/>
  <c r="AR495" i="1"/>
  <c r="AR929" i="1"/>
  <c r="AR930" i="1"/>
  <c r="AR496" i="1"/>
  <c r="AR497" i="1"/>
  <c r="AR931" i="1"/>
  <c r="AR498" i="1"/>
  <c r="AR499" i="1"/>
  <c r="AR500" i="1"/>
  <c r="AR501" i="1"/>
  <c r="AR932" i="1"/>
  <c r="AR502" i="1"/>
  <c r="AR933" i="1"/>
  <c r="AR195" i="1"/>
  <c r="AR539" i="1"/>
  <c r="AR680" i="1"/>
  <c r="AR608" i="1"/>
  <c r="AR649" i="1"/>
  <c r="AR579" i="1"/>
  <c r="AR239" i="1"/>
  <c r="AR773" i="1"/>
  <c r="AR91" i="1"/>
  <c r="AR159" i="1"/>
  <c r="AR79" i="1"/>
  <c r="AR659" i="1"/>
  <c r="AR2" i="1"/>
  <c r="AO3" i="1"/>
  <c r="AO4" i="1"/>
  <c r="AO5" i="1"/>
  <c r="AO503" i="1"/>
  <c r="AO6" i="1"/>
  <c r="AO504" i="1"/>
  <c r="AO506" i="1"/>
  <c r="AO7" i="1"/>
  <c r="AO507" i="1"/>
  <c r="AO508" i="1"/>
  <c r="AO8" i="1"/>
  <c r="AO9" i="1"/>
  <c r="AO509" i="1"/>
  <c r="AO10" i="1"/>
  <c r="AO11" i="1"/>
  <c r="AO12" i="1"/>
  <c r="AO13" i="1"/>
  <c r="AO510" i="1"/>
  <c r="AO14" i="1"/>
  <c r="AO511" i="1"/>
  <c r="AO512" i="1"/>
  <c r="AO513" i="1"/>
  <c r="AO514" i="1"/>
  <c r="AO15" i="1"/>
  <c r="AO16" i="1"/>
  <c r="AO17" i="1"/>
  <c r="AO515" i="1"/>
  <c r="AO18" i="1"/>
  <c r="AO516" i="1"/>
  <c r="AO19" i="1"/>
  <c r="AO517" i="1"/>
  <c r="AO20" i="1"/>
  <c r="AO21" i="1"/>
  <c r="AO518" i="1"/>
  <c r="AO22" i="1"/>
  <c r="AO23" i="1"/>
  <c r="AO519" i="1"/>
  <c r="AO24" i="1"/>
  <c r="AO25" i="1"/>
  <c r="AO26" i="1"/>
  <c r="AO27" i="1"/>
  <c r="AO520" i="1"/>
  <c r="AO28" i="1"/>
  <c r="AO29" i="1"/>
  <c r="AO30" i="1"/>
  <c r="AO31" i="1"/>
  <c r="AO32" i="1"/>
  <c r="AO521" i="1"/>
  <c r="AO33" i="1"/>
  <c r="AO522" i="1"/>
  <c r="AO34" i="1"/>
  <c r="AO35" i="1"/>
  <c r="AO523" i="1"/>
  <c r="AO524" i="1"/>
  <c r="AO525" i="1"/>
  <c r="AO526" i="1"/>
  <c r="AO36" i="1"/>
  <c r="AO37" i="1"/>
  <c r="AO38" i="1"/>
  <c r="AO39" i="1"/>
  <c r="AO40" i="1"/>
  <c r="AO41" i="1"/>
  <c r="AO42" i="1"/>
  <c r="AO43" i="1"/>
  <c r="AO44" i="1"/>
  <c r="AO527" i="1"/>
  <c r="AO528" i="1"/>
  <c r="AO45" i="1"/>
  <c r="AO46" i="1"/>
  <c r="AO529" i="1"/>
  <c r="AO530" i="1"/>
  <c r="AO47" i="1"/>
  <c r="AO531" i="1"/>
  <c r="AO532" i="1"/>
  <c r="AO533" i="1"/>
  <c r="AO48" i="1"/>
  <c r="AO534" i="1"/>
  <c r="AO535" i="1"/>
  <c r="AO536" i="1"/>
  <c r="AO49" i="1"/>
  <c r="AO537" i="1"/>
  <c r="AO50" i="1"/>
  <c r="AO51" i="1"/>
  <c r="AO52" i="1"/>
  <c r="AO53" i="1"/>
  <c r="AO54" i="1"/>
  <c r="AO55" i="1"/>
  <c r="AO56" i="1"/>
  <c r="AO57" i="1"/>
  <c r="AO538" i="1"/>
  <c r="AO540" i="1"/>
  <c r="AO541" i="1"/>
  <c r="AO58" i="1"/>
  <c r="AO59" i="1"/>
  <c r="AO542" i="1"/>
  <c r="AO60" i="1"/>
  <c r="AO543" i="1"/>
  <c r="AO61" i="1"/>
  <c r="AO544" i="1"/>
  <c r="AO545" i="1"/>
  <c r="AO62" i="1"/>
  <c r="AO546" i="1"/>
  <c r="AO547" i="1"/>
  <c r="AO548" i="1"/>
  <c r="AO63" i="1"/>
  <c r="AO64" i="1"/>
  <c r="AO65" i="1"/>
  <c r="AO66" i="1"/>
  <c r="AO549" i="1"/>
  <c r="AO67" i="1"/>
  <c r="AO550" i="1"/>
  <c r="AO68" i="1"/>
  <c r="AO69" i="1"/>
  <c r="AO70" i="1"/>
  <c r="AO71" i="1"/>
  <c r="AO551" i="1"/>
  <c r="AO72" i="1"/>
  <c r="AO73" i="1"/>
  <c r="AO74" i="1"/>
  <c r="AO75" i="1"/>
  <c r="AO552" i="1"/>
  <c r="AO76" i="1"/>
  <c r="AO77" i="1"/>
  <c r="AO80" i="1"/>
  <c r="AO553" i="1"/>
  <c r="AO554" i="1"/>
  <c r="AO555" i="1"/>
  <c r="AO81" i="1"/>
  <c r="AO82" i="1"/>
  <c r="AO83" i="1"/>
  <c r="AO557" i="1"/>
  <c r="AO84" i="1"/>
  <c r="AO85" i="1"/>
  <c r="AO558" i="1"/>
  <c r="AO559" i="1"/>
  <c r="AO560" i="1"/>
  <c r="AO561" i="1"/>
  <c r="AO87" i="1"/>
  <c r="AO562" i="1"/>
  <c r="AO88" i="1"/>
  <c r="AO89" i="1"/>
  <c r="AO90" i="1"/>
  <c r="AO92" i="1"/>
  <c r="AO93" i="1"/>
  <c r="AO563" i="1"/>
  <c r="AO564" i="1"/>
  <c r="AO94" i="1"/>
  <c r="AO565" i="1"/>
  <c r="AO95" i="1"/>
  <c r="AO96" i="1"/>
  <c r="AO97" i="1"/>
  <c r="AO98" i="1"/>
  <c r="AO566" i="1"/>
  <c r="AO99" i="1"/>
  <c r="AO567" i="1"/>
  <c r="AO568" i="1"/>
  <c r="AO100" i="1"/>
  <c r="AO101" i="1"/>
  <c r="AO569" i="1"/>
  <c r="AO570" i="1"/>
  <c r="AO571" i="1"/>
  <c r="AO102" i="1"/>
  <c r="AO572" i="1"/>
  <c r="AO573" i="1"/>
  <c r="AO103" i="1"/>
  <c r="AO574" i="1"/>
  <c r="AO575" i="1"/>
  <c r="AO576" i="1"/>
  <c r="AO577" i="1"/>
  <c r="AO578" i="1"/>
  <c r="AO580" i="1"/>
  <c r="AO581" i="1"/>
  <c r="AO104" i="1"/>
  <c r="AO582" i="1"/>
  <c r="AO105" i="1"/>
  <c r="AO583" i="1"/>
  <c r="AO106" i="1"/>
  <c r="AO107" i="1"/>
  <c r="AO108" i="1"/>
  <c r="AO109" i="1"/>
  <c r="AO584" i="1"/>
  <c r="AO110" i="1"/>
  <c r="AO585" i="1"/>
  <c r="AO111" i="1"/>
  <c r="AO112" i="1"/>
  <c r="AO113" i="1"/>
  <c r="AO586" i="1"/>
  <c r="AO587" i="1"/>
  <c r="AO588" i="1"/>
  <c r="AO589" i="1"/>
  <c r="AO114" i="1"/>
  <c r="AO115" i="1"/>
  <c r="AO116" i="1"/>
  <c r="AO590" i="1"/>
  <c r="AO591" i="1"/>
  <c r="AO117" i="1"/>
  <c r="AO592" i="1"/>
  <c r="AO118" i="1"/>
  <c r="AO119" i="1"/>
  <c r="AO593" i="1"/>
  <c r="AO594" i="1"/>
  <c r="AO595" i="1"/>
  <c r="AO120" i="1"/>
  <c r="AO596" i="1"/>
  <c r="AO597" i="1"/>
  <c r="AO598" i="1"/>
  <c r="AO121" i="1"/>
  <c r="AO599" i="1"/>
  <c r="AO600" i="1"/>
  <c r="AO122" i="1"/>
  <c r="AO123" i="1"/>
  <c r="AO124" i="1"/>
  <c r="AO125" i="1"/>
  <c r="AO126" i="1"/>
  <c r="AO127" i="1"/>
  <c r="AO601" i="1"/>
  <c r="AO602" i="1"/>
  <c r="AO603" i="1"/>
  <c r="AO128" i="1"/>
  <c r="AO129" i="1"/>
  <c r="AO604" i="1"/>
  <c r="AO605" i="1"/>
  <c r="AO606" i="1"/>
  <c r="AO607" i="1"/>
  <c r="AO130" i="1"/>
  <c r="AO609" i="1"/>
  <c r="AO131" i="1"/>
  <c r="AO132" i="1"/>
  <c r="AO610" i="1"/>
  <c r="AO133" i="1"/>
  <c r="AO134" i="1"/>
  <c r="AO611" i="1"/>
  <c r="AO135" i="1"/>
  <c r="AO136" i="1"/>
  <c r="AO137" i="1"/>
  <c r="AO138" i="1"/>
  <c r="AO139" i="1"/>
  <c r="AO140" i="1"/>
  <c r="AO141" i="1"/>
  <c r="AO142" i="1"/>
  <c r="AO612" i="1"/>
  <c r="AO613" i="1"/>
  <c r="AO614" i="1"/>
  <c r="AO143" i="1"/>
  <c r="AO144" i="1"/>
  <c r="AO145" i="1"/>
  <c r="AO146" i="1"/>
  <c r="AO147" i="1"/>
  <c r="AO615" i="1"/>
  <c r="AO148" i="1"/>
  <c r="AO616" i="1"/>
  <c r="AO617" i="1"/>
  <c r="AO150" i="1"/>
  <c r="AO618" i="1"/>
  <c r="AO619" i="1"/>
  <c r="AO151" i="1"/>
  <c r="AO620" i="1"/>
  <c r="AO152" i="1"/>
  <c r="AO153" i="1"/>
  <c r="AO621" i="1"/>
  <c r="AO622" i="1"/>
  <c r="AO623" i="1"/>
  <c r="AO624" i="1"/>
  <c r="AO154" i="1"/>
  <c r="AO155" i="1"/>
  <c r="AO625" i="1"/>
  <c r="AO626" i="1"/>
  <c r="AO627" i="1"/>
  <c r="AO628" i="1"/>
  <c r="AO156" i="1"/>
  <c r="AO157" i="1"/>
  <c r="AO158" i="1"/>
  <c r="AO629" i="1"/>
  <c r="AO160" i="1"/>
  <c r="AO161" i="1"/>
  <c r="AO162" i="1"/>
  <c r="AO630" i="1"/>
  <c r="AO631" i="1"/>
  <c r="AO164" i="1"/>
  <c r="AO165" i="1"/>
  <c r="AO632" i="1"/>
  <c r="AO167" i="1"/>
  <c r="AO633" i="1"/>
  <c r="AO168" i="1"/>
  <c r="AO634" i="1"/>
  <c r="AO169" i="1"/>
  <c r="AO170" i="1"/>
  <c r="AO171" i="1"/>
  <c r="AO635" i="1"/>
  <c r="AO636" i="1"/>
  <c r="AO172" i="1"/>
  <c r="AO637" i="1"/>
  <c r="AO173" i="1"/>
  <c r="AO638" i="1"/>
  <c r="AO639" i="1"/>
  <c r="AO640" i="1"/>
  <c r="AO174" i="1"/>
  <c r="AO641" i="1"/>
  <c r="AO175" i="1"/>
  <c r="AO176" i="1"/>
  <c r="AO642" i="1"/>
  <c r="AO643" i="1"/>
  <c r="AO177" i="1"/>
  <c r="AO178" i="1"/>
  <c r="AO179" i="1"/>
  <c r="AO644" i="1"/>
  <c r="AO645" i="1"/>
  <c r="AO646" i="1"/>
  <c r="AO180" i="1"/>
  <c r="AO181" i="1"/>
  <c r="AO182" i="1"/>
  <c r="AO183" i="1"/>
  <c r="AO647" i="1"/>
  <c r="AO648" i="1"/>
  <c r="AO184" i="1"/>
  <c r="AO185" i="1"/>
  <c r="AO650" i="1"/>
  <c r="AO186" i="1"/>
  <c r="AO187" i="1"/>
  <c r="AO188" i="1"/>
  <c r="AO189" i="1"/>
  <c r="AO190" i="1"/>
  <c r="AO191" i="1"/>
  <c r="AO651" i="1"/>
  <c r="AO652" i="1"/>
  <c r="AO653" i="1"/>
  <c r="AO192" i="1"/>
  <c r="AO654" i="1"/>
  <c r="AO655" i="1"/>
  <c r="AO193" i="1"/>
  <c r="AO194" i="1"/>
  <c r="AO656" i="1"/>
  <c r="AO657" i="1"/>
  <c r="AO196" i="1"/>
  <c r="AO658" i="1"/>
  <c r="AO197" i="1"/>
  <c r="AO198" i="1"/>
  <c r="AO199" i="1"/>
  <c r="AO660" i="1"/>
  <c r="AO200" i="1"/>
  <c r="AO661" i="1"/>
  <c r="AO662" i="1"/>
  <c r="AO663" i="1"/>
  <c r="AO201" i="1"/>
  <c r="AO202" i="1"/>
  <c r="AO664" i="1"/>
  <c r="AO203" i="1"/>
  <c r="AO204" i="1"/>
  <c r="AO665" i="1"/>
  <c r="AO205" i="1"/>
  <c r="AO666" i="1"/>
  <c r="AO667" i="1"/>
  <c r="AO668" i="1"/>
  <c r="AO206" i="1"/>
  <c r="AO207" i="1"/>
  <c r="AO669" i="1"/>
  <c r="AO670" i="1"/>
  <c r="AO671" i="1"/>
  <c r="AO208" i="1"/>
  <c r="AO209" i="1"/>
  <c r="AO672" i="1"/>
  <c r="AO210" i="1"/>
  <c r="AO673" i="1"/>
  <c r="AO674" i="1"/>
  <c r="AO211" i="1"/>
  <c r="AO675" i="1"/>
  <c r="AO212" i="1"/>
  <c r="AO676" i="1"/>
  <c r="AO677" i="1"/>
  <c r="AO213" i="1"/>
  <c r="AO214" i="1"/>
  <c r="AO678" i="1"/>
  <c r="AO679" i="1"/>
  <c r="AO681" i="1"/>
  <c r="AO215" i="1"/>
  <c r="AO216" i="1"/>
  <c r="AO682" i="1"/>
  <c r="AO684" i="1"/>
  <c r="AO217" i="1"/>
  <c r="AO218" i="1"/>
  <c r="AO685" i="1"/>
  <c r="AO686" i="1"/>
  <c r="AO687" i="1"/>
  <c r="AO219" i="1"/>
  <c r="AO688" i="1"/>
  <c r="AO689" i="1"/>
  <c r="AO690" i="1"/>
  <c r="AO220" i="1"/>
  <c r="AO221" i="1"/>
  <c r="AO222" i="1"/>
  <c r="AO691" i="1"/>
  <c r="AO223" i="1"/>
  <c r="AO224" i="1"/>
  <c r="AO225" i="1"/>
  <c r="AO226" i="1"/>
  <c r="AO692" i="1"/>
  <c r="AO693" i="1"/>
  <c r="AO227" i="1"/>
  <c r="AO694" i="1"/>
  <c r="AO696" i="1"/>
  <c r="AO697" i="1"/>
  <c r="AO228" i="1"/>
  <c r="AO229" i="1"/>
  <c r="AO230" i="1"/>
  <c r="AO231" i="1"/>
  <c r="AO698" i="1"/>
  <c r="AO232" i="1"/>
  <c r="AO699" i="1"/>
  <c r="AO700" i="1"/>
  <c r="AO233" i="1"/>
  <c r="AO701" i="1"/>
  <c r="AO234" i="1"/>
  <c r="AO702" i="1"/>
  <c r="AO235" i="1"/>
  <c r="AO236" i="1"/>
  <c r="AO703" i="1"/>
  <c r="AO704" i="1"/>
  <c r="AO237" i="1"/>
  <c r="AO705" i="1"/>
  <c r="AO706" i="1"/>
  <c r="AO707" i="1"/>
  <c r="AO708" i="1"/>
  <c r="AO238" i="1"/>
  <c r="AO240" i="1"/>
  <c r="AO241" i="1"/>
  <c r="AO242" i="1"/>
  <c r="AO709" i="1"/>
  <c r="AO710" i="1"/>
  <c r="AO711" i="1"/>
  <c r="AO243" i="1"/>
  <c r="AO244" i="1"/>
  <c r="AO245" i="1"/>
  <c r="AO246" i="1"/>
  <c r="AO712" i="1"/>
  <c r="AO713" i="1"/>
  <c r="AO247" i="1"/>
  <c r="AO248" i="1"/>
  <c r="AO714" i="1"/>
  <c r="AO715" i="1"/>
  <c r="AO249" i="1"/>
  <c r="AO250" i="1"/>
  <c r="AO716" i="1"/>
  <c r="AO251" i="1"/>
  <c r="AO717" i="1"/>
  <c r="AO252" i="1"/>
  <c r="AO718" i="1"/>
  <c r="AO719" i="1"/>
  <c r="AO253" i="1"/>
  <c r="AO254" i="1"/>
  <c r="AO720" i="1"/>
  <c r="AO255" i="1"/>
  <c r="AO256" i="1"/>
  <c r="AO721" i="1"/>
  <c r="AO722" i="1"/>
  <c r="AO257" i="1"/>
  <c r="AO258" i="1"/>
  <c r="AO259" i="1"/>
  <c r="AO260" i="1"/>
  <c r="AO261" i="1"/>
  <c r="AO723" i="1"/>
  <c r="AO724" i="1"/>
  <c r="AO262" i="1"/>
  <c r="AO725" i="1"/>
  <c r="AO726" i="1"/>
  <c r="AO263" i="1"/>
  <c r="AO264" i="1"/>
  <c r="AO265" i="1"/>
  <c r="AO727" i="1"/>
  <c r="AO266" i="1"/>
  <c r="AO267" i="1"/>
  <c r="AO268" i="1"/>
  <c r="AO269" i="1"/>
  <c r="AO270" i="1"/>
  <c r="AO271" i="1"/>
  <c r="AO728" i="1"/>
  <c r="AO272" i="1"/>
  <c r="AO729" i="1"/>
  <c r="AO273" i="1"/>
  <c r="AO274" i="1"/>
  <c r="AO730" i="1"/>
  <c r="AO731" i="1"/>
  <c r="AO275" i="1"/>
  <c r="AO276" i="1"/>
  <c r="AO277" i="1"/>
  <c r="AO732" i="1"/>
  <c r="AO733" i="1"/>
  <c r="AO734" i="1"/>
  <c r="AO278" i="1"/>
  <c r="AO279" i="1"/>
  <c r="AO280" i="1"/>
  <c r="AO735" i="1"/>
  <c r="AO736" i="1"/>
  <c r="AO737" i="1"/>
  <c r="AO281" i="1"/>
  <c r="AO282" i="1"/>
  <c r="AO738" i="1"/>
  <c r="AO283" i="1"/>
  <c r="AO739" i="1"/>
  <c r="AO284" i="1"/>
  <c r="AO285" i="1"/>
  <c r="AO286" i="1"/>
  <c r="AO287" i="1"/>
  <c r="AO289" i="1"/>
  <c r="AO740" i="1"/>
  <c r="AO290" i="1"/>
  <c r="AO291" i="1"/>
  <c r="AO741" i="1"/>
  <c r="AO292" i="1"/>
  <c r="AO742" i="1"/>
  <c r="AO293" i="1"/>
  <c r="AO294" i="1"/>
  <c r="AO743" i="1"/>
  <c r="AO744" i="1"/>
  <c r="AO295" i="1"/>
  <c r="AO745" i="1"/>
  <c r="AO296" i="1"/>
  <c r="AO746" i="1"/>
  <c r="AO747" i="1"/>
  <c r="AO748" i="1"/>
  <c r="AO297" i="1"/>
  <c r="AO749" i="1"/>
  <c r="AO750" i="1"/>
  <c r="AO298" i="1"/>
  <c r="AO299" i="1"/>
  <c r="AO300" i="1"/>
  <c r="AO751" i="1"/>
  <c r="AO752" i="1"/>
  <c r="AO301" i="1"/>
  <c r="AO302" i="1"/>
  <c r="AO753" i="1"/>
  <c r="AO303" i="1"/>
  <c r="AO754" i="1"/>
  <c r="AO304" i="1"/>
  <c r="AO755" i="1"/>
  <c r="AO305" i="1"/>
  <c r="AO756" i="1"/>
  <c r="AO306" i="1"/>
  <c r="AO307" i="1"/>
  <c r="AO757" i="1"/>
  <c r="AO308" i="1"/>
  <c r="AO758" i="1"/>
  <c r="AO309" i="1"/>
  <c r="AO310" i="1"/>
  <c r="AO759" i="1"/>
  <c r="AO311" i="1"/>
  <c r="AO760" i="1"/>
  <c r="AO312" i="1"/>
  <c r="AO313" i="1"/>
  <c r="AO761" i="1"/>
  <c r="AO314" i="1"/>
  <c r="AO315" i="1"/>
  <c r="AO763" i="1"/>
  <c r="AO764" i="1"/>
  <c r="AO316" i="1"/>
  <c r="AO765" i="1"/>
  <c r="AO317" i="1"/>
  <c r="AO318" i="1"/>
  <c r="AO766" i="1"/>
  <c r="AO767" i="1"/>
  <c r="AO319" i="1"/>
  <c r="AO768" i="1"/>
  <c r="AO320" i="1"/>
  <c r="AO321" i="1"/>
  <c r="AO322" i="1"/>
  <c r="AO769" i="1"/>
  <c r="AO323" i="1"/>
  <c r="AO324" i="1"/>
  <c r="AO325" i="1"/>
  <c r="AO770" i="1"/>
  <c r="AO771" i="1"/>
  <c r="AO772" i="1"/>
  <c r="AO326" i="1"/>
  <c r="AO774" i="1"/>
  <c r="AO327" i="1"/>
  <c r="AO775" i="1"/>
  <c r="AO328" i="1"/>
  <c r="AO776" i="1"/>
  <c r="AO329" i="1"/>
  <c r="AO330" i="1"/>
  <c r="AO777" i="1"/>
  <c r="AO778" i="1"/>
  <c r="AO331" i="1"/>
  <c r="AO332" i="1"/>
  <c r="AO333" i="1"/>
  <c r="AO779" i="1"/>
  <c r="AO780" i="1"/>
  <c r="AO781" i="1"/>
  <c r="AO782" i="1"/>
  <c r="AO334" i="1"/>
  <c r="AO335" i="1"/>
  <c r="AO336" i="1"/>
  <c r="AO337" i="1"/>
  <c r="AO783" i="1"/>
  <c r="AO338" i="1"/>
  <c r="AO784" i="1"/>
  <c r="AO339" i="1"/>
  <c r="AO785" i="1"/>
  <c r="AO340" i="1"/>
  <c r="AO342" i="1"/>
  <c r="AO786" i="1"/>
  <c r="AO343" i="1"/>
  <c r="AO344" i="1"/>
  <c r="AO787" i="1"/>
  <c r="AO788" i="1"/>
  <c r="AO789" i="1"/>
  <c r="AO790" i="1"/>
  <c r="AO791" i="1"/>
  <c r="AO345" i="1"/>
  <c r="AO792" i="1"/>
  <c r="AO346" i="1"/>
  <c r="AO793" i="1"/>
  <c r="AO794" i="1"/>
  <c r="AO347" i="1"/>
  <c r="AO348" i="1"/>
  <c r="AO349" i="1"/>
  <c r="AO350" i="1"/>
  <c r="AO351" i="1"/>
  <c r="AO352" i="1"/>
  <c r="AO353" i="1"/>
  <c r="AO354" i="1"/>
  <c r="AO355" i="1"/>
  <c r="AO795" i="1"/>
  <c r="AO356" i="1"/>
  <c r="AO357" i="1"/>
  <c r="AO358" i="1"/>
  <c r="AO796" i="1"/>
  <c r="AO797" i="1"/>
  <c r="AO798" i="1"/>
  <c r="AO799" i="1"/>
  <c r="AO359" i="1"/>
  <c r="AO360" i="1"/>
  <c r="AO800" i="1"/>
  <c r="AO802" i="1"/>
  <c r="AO803" i="1"/>
  <c r="AO361" i="1"/>
  <c r="AO362" i="1"/>
  <c r="AO363" i="1"/>
  <c r="AO364" i="1"/>
  <c r="AO365" i="1"/>
  <c r="AO804" i="1"/>
  <c r="AO805" i="1"/>
  <c r="AO366" i="1"/>
  <c r="AO367" i="1"/>
  <c r="AO806" i="1"/>
  <c r="AO368" i="1"/>
  <c r="AO369" i="1"/>
  <c r="AO807" i="1"/>
  <c r="AO370" i="1"/>
  <c r="AO808" i="1"/>
  <c r="AO371" i="1"/>
  <c r="AO809" i="1"/>
  <c r="AO810" i="1"/>
  <c r="AO811" i="1"/>
  <c r="AO812" i="1"/>
  <c r="AO813" i="1"/>
  <c r="AO372" i="1"/>
  <c r="AO814" i="1"/>
  <c r="AO815" i="1"/>
  <c r="AO816" i="1"/>
  <c r="AO817" i="1"/>
  <c r="AO373" i="1"/>
  <c r="AO374" i="1"/>
  <c r="AO375" i="1"/>
  <c r="AO376" i="1"/>
  <c r="AO818" i="1"/>
  <c r="AO377" i="1"/>
  <c r="AO819" i="1"/>
  <c r="AO378" i="1"/>
  <c r="AO379" i="1"/>
  <c r="AO820" i="1"/>
  <c r="AO380" i="1"/>
  <c r="AO381" i="1"/>
  <c r="AO821" i="1"/>
  <c r="AO382" i="1"/>
  <c r="AO822" i="1"/>
  <c r="AO823" i="1"/>
  <c r="AO383" i="1"/>
  <c r="AO384" i="1"/>
  <c r="AO825" i="1"/>
  <c r="AO385" i="1"/>
  <c r="AO386" i="1"/>
  <c r="AO826" i="1"/>
  <c r="AO827" i="1"/>
  <c r="AO828" i="1"/>
  <c r="AO829" i="1"/>
  <c r="AO387" i="1"/>
  <c r="AO830" i="1"/>
  <c r="AO831" i="1"/>
  <c r="AO388" i="1"/>
  <c r="AO389" i="1"/>
  <c r="AO390" i="1"/>
  <c r="AO832" i="1"/>
  <c r="AO833" i="1"/>
  <c r="AO834" i="1"/>
  <c r="AO391" i="1"/>
  <c r="AO836" i="1"/>
  <c r="AO837" i="1"/>
  <c r="AO392" i="1"/>
  <c r="AO393" i="1"/>
  <c r="AO394" i="1"/>
  <c r="AO395" i="1"/>
  <c r="AO838" i="1"/>
  <c r="AO396" i="1"/>
  <c r="AO397" i="1"/>
  <c r="AO399" i="1"/>
  <c r="AO400" i="1"/>
  <c r="AO839" i="1"/>
  <c r="AO840" i="1"/>
  <c r="AO841" i="1"/>
  <c r="AO401" i="1"/>
  <c r="AO842" i="1"/>
  <c r="AO402" i="1"/>
  <c r="AO843" i="1"/>
  <c r="AO844" i="1"/>
  <c r="AO845" i="1"/>
  <c r="AO846" i="1"/>
  <c r="AO847" i="1"/>
  <c r="AO404" i="1"/>
  <c r="AO848" i="1"/>
  <c r="AO405" i="1"/>
  <c r="AO850" i="1"/>
  <c r="AO406" i="1"/>
  <c r="AO851" i="1"/>
  <c r="AO407" i="1"/>
  <c r="AO852" i="1"/>
  <c r="AO408" i="1"/>
  <c r="AO409" i="1"/>
  <c r="AO410" i="1"/>
  <c r="AO853" i="1"/>
  <c r="AO855" i="1"/>
  <c r="AO411" i="1"/>
  <c r="AO412" i="1"/>
  <c r="AO413" i="1"/>
  <c r="AO414" i="1"/>
  <c r="AO415" i="1"/>
  <c r="AO416" i="1"/>
  <c r="AO417" i="1"/>
  <c r="AO856" i="1"/>
  <c r="AO418" i="1"/>
  <c r="AO419" i="1"/>
  <c r="AO857" i="1"/>
  <c r="AO420" i="1"/>
  <c r="AO858" i="1"/>
  <c r="AO859" i="1"/>
  <c r="AO421" i="1"/>
  <c r="AO860" i="1"/>
  <c r="AO422" i="1"/>
  <c r="AO423" i="1"/>
  <c r="AO424" i="1"/>
  <c r="AO861" i="1"/>
  <c r="AO862" i="1"/>
  <c r="AO425" i="1"/>
  <c r="AO426" i="1"/>
  <c r="AO863" i="1"/>
  <c r="AO864" i="1"/>
  <c r="AO427" i="1"/>
  <c r="AO865" i="1"/>
  <c r="AO428" i="1"/>
  <c r="AO429" i="1"/>
  <c r="AO430" i="1"/>
  <c r="AO866" i="1"/>
  <c r="AO431" i="1"/>
  <c r="AO867" i="1"/>
  <c r="AO868" i="1"/>
  <c r="AO869" i="1"/>
  <c r="AO432" i="1"/>
  <c r="AO433" i="1"/>
  <c r="AO870" i="1"/>
  <c r="AO434" i="1"/>
  <c r="AO435" i="1"/>
  <c r="AO436" i="1"/>
  <c r="AO871" i="1"/>
  <c r="AO872" i="1"/>
  <c r="AO873" i="1"/>
  <c r="AO437" i="1"/>
  <c r="AO874" i="1"/>
  <c r="AO438" i="1"/>
  <c r="AO439" i="1"/>
  <c r="AO440" i="1"/>
  <c r="AO441" i="1"/>
  <c r="AO442" i="1"/>
  <c r="AO875" i="1"/>
  <c r="AO443" i="1"/>
  <c r="AO876" i="1"/>
  <c r="AO444" i="1"/>
  <c r="AO877" i="1"/>
  <c r="AO445" i="1"/>
  <c r="AO446" i="1"/>
  <c r="AO878" i="1"/>
  <c r="AO447" i="1"/>
  <c r="AO448" i="1"/>
  <c r="AO879" i="1"/>
  <c r="AO449" i="1"/>
  <c r="AO880" i="1"/>
  <c r="AO450" i="1"/>
  <c r="AO451" i="1"/>
  <c r="AO452" i="1"/>
  <c r="AO881" i="1"/>
  <c r="AO453" i="1"/>
  <c r="AO454" i="1"/>
  <c r="AO882" i="1"/>
  <c r="AO883" i="1"/>
  <c r="AO455" i="1"/>
  <c r="AO884" i="1"/>
  <c r="AO885" i="1"/>
  <c r="AO456" i="1"/>
  <c r="AO886" i="1"/>
  <c r="AO887" i="1"/>
  <c r="AO888" i="1"/>
  <c r="AO457" i="1"/>
  <c r="AO458" i="1"/>
  <c r="AO459" i="1"/>
  <c r="AO889" i="1"/>
  <c r="AO890" i="1"/>
  <c r="AO460" i="1"/>
  <c r="AO461" i="1"/>
  <c r="AO891" i="1"/>
  <c r="AO462" i="1"/>
  <c r="AO463" i="1"/>
  <c r="AO892" i="1"/>
  <c r="AO464" i="1"/>
  <c r="AO465" i="1"/>
  <c r="AO893" i="1"/>
  <c r="AO894" i="1"/>
  <c r="AO895" i="1"/>
  <c r="AO896" i="1"/>
  <c r="AO466" i="1"/>
  <c r="AO897" i="1"/>
  <c r="AO467" i="1"/>
  <c r="AO898" i="1"/>
  <c r="AO899" i="1"/>
  <c r="AO900" i="1"/>
  <c r="AO468" i="1"/>
  <c r="AO469" i="1"/>
  <c r="AO901" i="1"/>
  <c r="AO470" i="1"/>
  <c r="AO902" i="1"/>
  <c r="AO903" i="1"/>
  <c r="AO471" i="1"/>
  <c r="AO904" i="1"/>
  <c r="AO905" i="1"/>
  <c r="AO472" i="1"/>
  <c r="AO906" i="1"/>
  <c r="AO907" i="1"/>
  <c r="AO473" i="1"/>
  <c r="AO474" i="1"/>
  <c r="AO908" i="1"/>
  <c r="AO909" i="1"/>
  <c r="AO475" i="1"/>
  <c r="AO477" i="1"/>
  <c r="AO478" i="1"/>
  <c r="AO479" i="1"/>
  <c r="AO910" i="1"/>
  <c r="AO911" i="1"/>
  <c r="AO480" i="1"/>
  <c r="AO481" i="1"/>
  <c r="AO482" i="1"/>
  <c r="AO483" i="1"/>
  <c r="AO484" i="1"/>
  <c r="AO485" i="1"/>
  <c r="AO912" i="1"/>
  <c r="AO913" i="1"/>
  <c r="AO914" i="1"/>
  <c r="AO915" i="1"/>
  <c r="AO916" i="1"/>
  <c r="AO917" i="1"/>
  <c r="AO486" i="1"/>
  <c r="AO918" i="1"/>
  <c r="AO919" i="1"/>
  <c r="AO920" i="1"/>
  <c r="AO487" i="1"/>
  <c r="AO488" i="1"/>
  <c r="AO921" i="1"/>
  <c r="AO922" i="1"/>
  <c r="AO489" i="1"/>
  <c r="AO490" i="1"/>
  <c r="AO923" i="1"/>
  <c r="AO491" i="1"/>
  <c r="AO924" i="1"/>
  <c r="AO492" i="1"/>
  <c r="AO493" i="1"/>
  <c r="AO925" i="1"/>
  <c r="AO926" i="1"/>
  <c r="AO927" i="1"/>
  <c r="AO494" i="1"/>
  <c r="AO928" i="1"/>
  <c r="AO495" i="1"/>
  <c r="AO929" i="1"/>
  <c r="AO930" i="1"/>
  <c r="AO496" i="1"/>
  <c r="AO497" i="1"/>
  <c r="AO931" i="1"/>
  <c r="AO498" i="1"/>
  <c r="AO499" i="1"/>
  <c r="AO500" i="1"/>
  <c r="AO501" i="1"/>
  <c r="AO932" i="1"/>
  <c r="AO502" i="1"/>
  <c r="AO933" i="1"/>
  <c r="AO195" i="1"/>
  <c r="AO539" i="1"/>
  <c r="AO680" i="1"/>
  <c r="AO608" i="1"/>
  <c r="AO649" i="1"/>
  <c r="AO579" i="1"/>
  <c r="AO239" i="1"/>
  <c r="AO773" i="1"/>
  <c r="AO91" i="1"/>
  <c r="AO159" i="1"/>
  <c r="AO79" i="1"/>
  <c r="AO659" i="1"/>
  <c r="AO2" i="1"/>
  <c r="AD3" i="1"/>
  <c r="AD4" i="1"/>
  <c r="AD5" i="1"/>
  <c r="AD503" i="1"/>
  <c r="AD6" i="1"/>
  <c r="AD504" i="1"/>
  <c r="AD506" i="1"/>
  <c r="AD7" i="1"/>
  <c r="AD507" i="1"/>
  <c r="AD508" i="1"/>
  <c r="AD8" i="1"/>
  <c r="AD9" i="1"/>
  <c r="AD509" i="1"/>
  <c r="AD10" i="1"/>
  <c r="AD11" i="1"/>
  <c r="AD12" i="1"/>
  <c r="AD13" i="1"/>
  <c r="AD510" i="1"/>
  <c r="AD14" i="1"/>
  <c r="AD511" i="1"/>
  <c r="AD512" i="1"/>
  <c r="AD513" i="1"/>
  <c r="AD514" i="1"/>
  <c r="AD15" i="1"/>
  <c r="AD16" i="1"/>
  <c r="AD17" i="1"/>
  <c r="AD515" i="1"/>
  <c r="AD18" i="1"/>
  <c r="AD516" i="1"/>
  <c r="AD19" i="1"/>
  <c r="AD517" i="1"/>
  <c r="AD20" i="1"/>
  <c r="AD21" i="1"/>
  <c r="AD22" i="1"/>
  <c r="AD23" i="1"/>
  <c r="AD519" i="1"/>
  <c r="AD24" i="1"/>
  <c r="AD25" i="1"/>
  <c r="AD26" i="1"/>
  <c r="AD27" i="1"/>
  <c r="AD520" i="1"/>
  <c r="AD28" i="1"/>
  <c r="AD29" i="1"/>
  <c r="AD30" i="1"/>
  <c r="AD31" i="1"/>
  <c r="AD32" i="1"/>
  <c r="AD521" i="1"/>
  <c r="AD33" i="1"/>
  <c r="AD522" i="1"/>
  <c r="AD34" i="1"/>
  <c r="AD35" i="1"/>
  <c r="AD523" i="1"/>
  <c r="AD524" i="1"/>
  <c r="AD525" i="1"/>
  <c r="AD526" i="1"/>
  <c r="AD36" i="1"/>
  <c r="AD38" i="1"/>
  <c r="AD39" i="1"/>
  <c r="AD40" i="1"/>
  <c r="AD41" i="1"/>
  <c r="AD42" i="1"/>
  <c r="AD43" i="1"/>
  <c r="AD44" i="1"/>
  <c r="AD527" i="1"/>
  <c r="AD528" i="1"/>
  <c r="AD45" i="1"/>
  <c r="AD46" i="1"/>
  <c r="AD529" i="1"/>
  <c r="AD530" i="1"/>
  <c r="AD47" i="1"/>
  <c r="AD531" i="1"/>
  <c r="AD532" i="1"/>
  <c r="AD533" i="1"/>
  <c r="AD48" i="1"/>
  <c r="AD534" i="1"/>
  <c r="AD535" i="1"/>
  <c r="AD536" i="1"/>
  <c r="AD49" i="1"/>
  <c r="AD537" i="1"/>
  <c r="AD50" i="1"/>
  <c r="AD51" i="1"/>
  <c r="AD52" i="1"/>
  <c r="AD53" i="1"/>
  <c r="AD54" i="1"/>
  <c r="AD55" i="1"/>
  <c r="AD56" i="1"/>
  <c r="AD57" i="1"/>
  <c r="AD538" i="1"/>
  <c r="AD540" i="1"/>
  <c r="AD541" i="1"/>
  <c r="AD58" i="1"/>
  <c r="AD59" i="1"/>
  <c r="AD542" i="1"/>
  <c r="AD60" i="1"/>
  <c r="AD543" i="1"/>
  <c r="AD544" i="1"/>
  <c r="AD545" i="1"/>
  <c r="AD62" i="1"/>
  <c r="AD546" i="1"/>
  <c r="AD547" i="1"/>
  <c r="AD548" i="1"/>
  <c r="AD63" i="1"/>
  <c r="AD64" i="1"/>
  <c r="AD65" i="1"/>
  <c r="AD66" i="1"/>
  <c r="AD549" i="1"/>
  <c r="AD67" i="1"/>
  <c r="AD550" i="1"/>
  <c r="AD68" i="1"/>
  <c r="AD69" i="1"/>
  <c r="AD70" i="1"/>
  <c r="AD71" i="1"/>
  <c r="AD551" i="1"/>
  <c r="AD72" i="1"/>
  <c r="AD73" i="1"/>
  <c r="AD74" i="1"/>
  <c r="AD75" i="1"/>
  <c r="AD552" i="1"/>
  <c r="AD76" i="1"/>
  <c r="AD77" i="1"/>
  <c r="AD80" i="1"/>
  <c r="AD553" i="1"/>
  <c r="AD554" i="1"/>
  <c r="AD555" i="1"/>
  <c r="AD81" i="1"/>
  <c r="AD82" i="1"/>
  <c r="AD83" i="1"/>
  <c r="AD557" i="1"/>
  <c r="AD84" i="1"/>
  <c r="AD85" i="1"/>
  <c r="AD559" i="1"/>
  <c r="AD560" i="1"/>
  <c r="AD561" i="1"/>
  <c r="AD87" i="1"/>
  <c r="AD562" i="1"/>
  <c r="AD88" i="1"/>
  <c r="AD89" i="1"/>
  <c r="AD90" i="1"/>
  <c r="AD92" i="1"/>
  <c r="AD93" i="1"/>
  <c r="AD563" i="1"/>
  <c r="AD564" i="1"/>
  <c r="AD94" i="1"/>
  <c r="AD95" i="1"/>
  <c r="AD96" i="1"/>
  <c r="AD97" i="1"/>
  <c r="AD98" i="1"/>
  <c r="AD566" i="1"/>
  <c r="AD99" i="1"/>
  <c r="AD567" i="1"/>
  <c r="AD568" i="1"/>
  <c r="AD100" i="1"/>
  <c r="AD101" i="1"/>
  <c r="AD569" i="1"/>
  <c r="AD570" i="1"/>
  <c r="AD571" i="1"/>
  <c r="AD102" i="1"/>
  <c r="AD573" i="1"/>
  <c r="AD103" i="1"/>
  <c r="AD574" i="1"/>
  <c r="AD575" i="1"/>
  <c r="AD576" i="1"/>
  <c r="AD577" i="1"/>
  <c r="AD578" i="1"/>
  <c r="AD580" i="1"/>
  <c r="AD581" i="1"/>
  <c r="AD104" i="1"/>
  <c r="AD582" i="1"/>
  <c r="AD105" i="1"/>
  <c r="AD583" i="1"/>
  <c r="AD106" i="1"/>
  <c r="AD107" i="1"/>
  <c r="AD108" i="1"/>
  <c r="AD109" i="1"/>
  <c r="AD584" i="1"/>
  <c r="AD110" i="1"/>
  <c r="AD585" i="1"/>
  <c r="AD111" i="1"/>
  <c r="AD112" i="1"/>
  <c r="AD113" i="1"/>
  <c r="AD586" i="1"/>
  <c r="AD587" i="1"/>
  <c r="AD588" i="1"/>
  <c r="AD589" i="1"/>
  <c r="AD114" i="1"/>
  <c r="AD115" i="1"/>
  <c r="AD116" i="1"/>
  <c r="AD590" i="1"/>
  <c r="AD591" i="1"/>
  <c r="AD117" i="1"/>
  <c r="AD592" i="1"/>
  <c r="AD118" i="1"/>
  <c r="AD593" i="1"/>
  <c r="AD594" i="1"/>
  <c r="AD595" i="1"/>
  <c r="AD120" i="1"/>
  <c r="AD596" i="1"/>
  <c r="AD597" i="1"/>
  <c r="AD598" i="1"/>
  <c r="AD121" i="1"/>
  <c r="AD599" i="1"/>
  <c r="AD600" i="1"/>
  <c r="AD122" i="1"/>
  <c r="AD123" i="1"/>
  <c r="AD124" i="1"/>
  <c r="AD125" i="1"/>
  <c r="AD126" i="1"/>
  <c r="AD127" i="1"/>
  <c r="AD601" i="1"/>
  <c r="AD602" i="1"/>
  <c r="AD603" i="1"/>
  <c r="AD128" i="1"/>
  <c r="AD129" i="1"/>
  <c r="AD604" i="1"/>
  <c r="AD605" i="1"/>
  <c r="AD606" i="1"/>
  <c r="AD607" i="1"/>
  <c r="AD130" i="1"/>
  <c r="AD609" i="1"/>
  <c r="AD131" i="1"/>
  <c r="AD132" i="1"/>
  <c r="AD610" i="1"/>
  <c r="AD133" i="1"/>
  <c r="AD134" i="1"/>
  <c r="AD611" i="1"/>
  <c r="AD136" i="1"/>
  <c r="AD137" i="1"/>
  <c r="AD138" i="1"/>
  <c r="AD139" i="1"/>
  <c r="AD140" i="1"/>
  <c r="AD141" i="1"/>
  <c r="AD142" i="1"/>
  <c r="AD612" i="1"/>
  <c r="AD613" i="1"/>
  <c r="AD614" i="1"/>
  <c r="AD143" i="1"/>
  <c r="AD144" i="1"/>
  <c r="AD145" i="1"/>
  <c r="AD146" i="1"/>
  <c r="AD147" i="1"/>
  <c r="AD615" i="1"/>
  <c r="AD148" i="1"/>
  <c r="AD616" i="1"/>
  <c r="AD617" i="1"/>
  <c r="AD150" i="1"/>
  <c r="AD618" i="1"/>
  <c r="AD619" i="1"/>
  <c r="AD151" i="1"/>
  <c r="AD620" i="1"/>
  <c r="AD152" i="1"/>
  <c r="AD153" i="1"/>
  <c r="AD621" i="1"/>
  <c r="AD622" i="1"/>
  <c r="AD623" i="1"/>
  <c r="AD624" i="1"/>
  <c r="AD154" i="1"/>
  <c r="AD155" i="1"/>
  <c r="AD625" i="1"/>
  <c r="AD626" i="1"/>
  <c r="AD627" i="1"/>
  <c r="AD628" i="1"/>
  <c r="AD156" i="1"/>
  <c r="AD157" i="1"/>
  <c r="AD158" i="1"/>
  <c r="AD629" i="1"/>
  <c r="AD160" i="1"/>
  <c r="AD161" i="1"/>
  <c r="AD162" i="1"/>
  <c r="AD630" i="1"/>
  <c r="AD631" i="1"/>
  <c r="AD164" i="1"/>
  <c r="AD165" i="1"/>
  <c r="AD632" i="1"/>
  <c r="AD167" i="1"/>
  <c r="AD633" i="1"/>
  <c r="AD168" i="1"/>
  <c r="AD634" i="1"/>
  <c r="AD169" i="1"/>
  <c r="AD170" i="1"/>
  <c r="AD171" i="1"/>
  <c r="AD635" i="1"/>
  <c r="AD636" i="1"/>
  <c r="AD172" i="1"/>
  <c r="AD637" i="1"/>
  <c r="AD173" i="1"/>
  <c r="AD638" i="1"/>
  <c r="AD639" i="1"/>
  <c r="AD640" i="1"/>
  <c r="AD174" i="1"/>
  <c r="AD641" i="1"/>
  <c r="AD175" i="1"/>
  <c r="AD176" i="1"/>
  <c r="AD642" i="1"/>
  <c r="AD643" i="1"/>
  <c r="AD177" i="1"/>
  <c r="AD178" i="1"/>
  <c r="AD179" i="1"/>
  <c r="AD644" i="1"/>
  <c r="AD645" i="1"/>
  <c r="AD646" i="1"/>
  <c r="AD180" i="1"/>
  <c r="AD181" i="1"/>
  <c r="AD182" i="1"/>
  <c r="AD183" i="1"/>
  <c r="AD647" i="1"/>
  <c r="AD648" i="1"/>
  <c r="AD184" i="1"/>
  <c r="AD185" i="1"/>
  <c r="AD650" i="1"/>
  <c r="AD186" i="1"/>
  <c r="AD187" i="1"/>
  <c r="AD188" i="1"/>
  <c r="AD189" i="1"/>
  <c r="AD190" i="1"/>
  <c r="AD191" i="1"/>
  <c r="AD651" i="1"/>
  <c r="AD652" i="1"/>
  <c r="AD653" i="1"/>
  <c r="AD192" i="1"/>
  <c r="AD654" i="1"/>
  <c r="AD655" i="1"/>
  <c r="AD193" i="1"/>
  <c r="AD194" i="1"/>
  <c r="AD656" i="1"/>
  <c r="AD657" i="1"/>
  <c r="AD196" i="1"/>
  <c r="AD658" i="1"/>
  <c r="AD197" i="1"/>
  <c r="AD198" i="1"/>
  <c r="AD199" i="1"/>
  <c r="AD660" i="1"/>
  <c r="AD200" i="1"/>
  <c r="AD661" i="1"/>
  <c r="AD662" i="1"/>
  <c r="AD663" i="1"/>
  <c r="AD201" i="1"/>
  <c r="AD202" i="1"/>
  <c r="AD664" i="1"/>
  <c r="AD203" i="1"/>
  <c r="AD204" i="1"/>
  <c r="AD665" i="1"/>
  <c r="AD205" i="1"/>
  <c r="AD666" i="1"/>
  <c r="AD667" i="1"/>
  <c r="AD668" i="1"/>
  <c r="AD206" i="1"/>
  <c r="AD207" i="1"/>
  <c r="AD669" i="1"/>
  <c r="AD670" i="1"/>
  <c r="AD671" i="1"/>
  <c r="AD208" i="1"/>
  <c r="AD209" i="1"/>
  <c r="AD672" i="1"/>
  <c r="AD210" i="1"/>
  <c r="AD673" i="1"/>
  <c r="AD674" i="1"/>
  <c r="AD211" i="1"/>
  <c r="AD675" i="1"/>
  <c r="AD212" i="1"/>
  <c r="AD676" i="1"/>
  <c r="AD677" i="1"/>
  <c r="AD213" i="1"/>
  <c r="AD214" i="1"/>
  <c r="AD678" i="1"/>
  <c r="AD679" i="1"/>
  <c r="AD681" i="1"/>
  <c r="AD215" i="1"/>
  <c r="AD216" i="1"/>
  <c r="AD682" i="1"/>
  <c r="AD684" i="1"/>
  <c r="AD217" i="1"/>
  <c r="AD218" i="1"/>
  <c r="AD685" i="1"/>
  <c r="AD686" i="1"/>
  <c r="AD687" i="1"/>
  <c r="AD219" i="1"/>
  <c r="AD688" i="1"/>
  <c r="AD689" i="1"/>
  <c r="AD690" i="1"/>
  <c r="AD220" i="1"/>
  <c r="AD221" i="1"/>
  <c r="AD222" i="1"/>
  <c r="AD691" i="1"/>
  <c r="AD223" i="1"/>
  <c r="AD224" i="1"/>
  <c r="AD225" i="1"/>
  <c r="AD226" i="1"/>
  <c r="AD692" i="1"/>
  <c r="AD693" i="1"/>
  <c r="AD227" i="1"/>
  <c r="AD694" i="1"/>
  <c r="AD696" i="1"/>
  <c r="AD697" i="1"/>
  <c r="AD229" i="1"/>
  <c r="AD230" i="1"/>
  <c r="AD698" i="1"/>
  <c r="AD232" i="1"/>
  <c r="AD699" i="1"/>
  <c r="AD700" i="1"/>
  <c r="AD233" i="1"/>
  <c r="AD701" i="1"/>
  <c r="AD234" i="1"/>
  <c r="AD702" i="1"/>
  <c r="AD235" i="1"/>
  <c r="AD236" i="1"/>
  <c r="AD703" i="1"/>
  <c r="AD704" i="1"/>
  <c r="AD237" i="1"/>
  <c r="AD705" i="1"/>
  <c r="AD706" i="1"/>
  <c r="AD707" i="1"/>
  <c r="AD708" i="1"/>
  <c r="AD238" i="1"/>
  <c r="AD240" i="1"/>
  <c r="AD241" i="1"/>
  <c r="AD242" i="1"/>
  <c r="AD709" i="1"/>
  <c r="AD710" i="1"/>
  <c r="AD711" i="1"/>
  <c r="AD243" i="1"/>
  <c r="AD244" i="1"/>
  <c r="AD245" i="1"/>
  <c r="AD246" i="1"/>
  <c r="AD712" i="1"/>
  <c r="AD713" i="1"/>
  <c r="AD247" i="1"/>
  <c r="AD248" i="1"/>
  <c r="AD714" i="1"/>
  <c r="AD715" i="1"/>
  <c r="AD249" i="1"/>
  <c r="AD250" i="1"/>
  <c r="AD716" i="1"/>
  <c r="AD251" i="1"/>
  <c r="AD717" i="1"/>
  <c r="AD252" i="1"/>
  <c r="AD718" i="1"/>
  <c r="AD719" i="1"/>
  <c r="AD253" i="1"/>
  <c r="AD254" i="1"/>
  <c r="AD720" i="1"/>
  <c r="AD255" i="1"/>
  <c r="AD256" i="1"/>
  <c r="AD721" i="1"/>
  <c r="AD722" i="1"/>
  <c r="AD257" i="1"/>
  <c r="AD258" i="1"/>
  <c r="AD259" i="1"/>
  <c r="AD260" i="1"/>
  <c r="AD261" i="1"/>
  <c r="AD723" i="1"/>
  <c r="AD724" i="1"/>
  <c r="AD262" i="1"/>
  <c r="AD725" i="1"/>
  <c r="AD726" i="1"/>
  <c r="AD263" i="1"/>
  <c r="AD264" i="1"/>
  <c r="AD265" i="1"/>
  <c r="AD727" i="1"/>
  <c r="AD266" i="1"/>
  <c r="AD267" i="1"/>
  <c r="AD268" i="1"/>
  <c r="AD269" i="1"/>
  <c r="AD270" i="1"/>
  <c r="AD271" i="1"/>
  <c r="AD728" i="1"/>
  <c r="AD272" i="1"/>
  <c r="AD729" i="1"/>
  <c r="AD273" i="1"/>
  <c r="AD274" i="1"/>
  <c r="AD731" i="1"/>
  <c r="AD275" i="1"/>
  <c r="AD276" i="1"/>
  <c r="AD277" i="1"/>
  <c r="AD732" i="1"/>
  <c r="AD733" i="1"/>
  <c r="AD734" i="1"/>
  <c r="AD278" i="1"/>
  <c r="AD279" i="1"/>
  <c r="AD280" i="1"/>
  <c r="AD735" i="1"/>
  <c r="AD736" i="1"/>
  <c r="AD737" i="1"/>
  <c r="AD281" i="1"/>
  <c r="AD282" i="1"/>
  <c r="AD738" i="1"/>
  <c r="AD283" i="1"/>
  <c r="AD739" i="1"/>
  <c r="AD284" i="1"/>
  <c r="AD285" i="1"/>
  <c r="AD286" i="1"/>
  <c r="AD287" i="1"/>
  <c r="AD289" i="1"/>
  <c r="AD740" i="1"/>
  <c r="AD290" i="1"/>
  <c r="AD291" i="1"/>
  <c r="AD741" i="1"/>
  <c r="AD292" i="1"/>
  <c r="AD742" i="1"/>
  <c r="AD293" i="1"/>
  <c r="AD294" i="1"/>
  <c r="AD743" i="1"/>
  <c r="AD744" i="1"/>
  <c r="AD295" i="1"/>
  <c r="AD745" i="1"/>
  <c r="AD296" i="1"/>
  <c r="AD746" i="1"/>
  <c r="AD747" i="1"/>
  <c r="AD748" i="1"/>
  <c r="AD297" i="1"/>
  <c r="AD749" i="1"/>
  <c r="AD750" i="1"/>
  <c r="AD298" i="1"/>
  <c r="AD299" i="1"/>
  <c r="AD300" i="1"/>
  <c r="AD751" i="1"/>
  <c r="AD752" i="1"/>
  <c r="AD301" i="1"/>
  <c r="AD302" i="1"/>
  <c r="AD753" i="1"/>
  <c r="AD754" i="1"/>
  <c r="AD304" i="1"/>
  <c r="AD755" i="1"/>
  <c r="AD305" i="1"/>
  <c r="AD756" i="1"/>
  <c r="AD306" i="1"/>
  <c r="AD307" i="1"/>
  <c r="AD757" i="1"/>
  <c r="AD308" i="1"/>
  <c r="AD758" i="1"/>
  <c r="AD309" i="1"/>
  <c r="AD310" i="1"/>
  <c r="AD759" i="1"/>
  <c r="AD311" i="1"/>
  <c r="AD760" i="1"/>
  <c r="AD312" i="1"/>
  <c r="AD313" i="1"/>
  <c r="AD761" i="1"/>
  <c r="AD314" i="1"/>
  <c r="AD315" i="1"/>
  <c r="AD763" i="1"/>
  <c r="AD764" i="1"/>
  <c r="AD316" i="1"/>
  <c r="AD765" i="1"/>
  <c r="AD317" i="1"/>
  <c r="AD318" i="1"/>
  <c r="AD766" i="1"/>
  <c r="AD767" i="1"/>
  <c r="AD319" i="1"/>
  <c r="AD768" i="1"/>
  <c r="AD320" i="1"/>
  <c r="AD321" i="1"/>
  <c r="AD322" i="1"/>
  <c r="AD769" i="1"/>
  <c r="AD323" i="1"/>
  <c r="AD324" i="1"/>
  <c r="AD325" i="1"/>
  <c r="AD770" i="1"/>
  <c r="AD771" i="1"/>
  <c r="AD326" i="1"/>
  <c r="AD774" i="1"/>
  <c r="AD327" i="1"/>
  <c r="AD775" i="1"/>
  <c r="AD328" i="1"/>
  <c r="AD776" i="1"/>
  <c r="AD329" i="1"/>
  <c r="AD330" i="1"/>
  <c r="AD777" i="1"/>
  <c r="AD778" i="1"/>
  <c r="AD331" i="1"/>
  <c r="AD332" i="1"/>
  <c r="AD333" i="1"/>
  <c r="AD779" i="1"/>
  <c r="AD780" i="1"/>
  <c r="AD781" i="1"/>
  <c r="AD782" i="1"/>
  <c r="AD334" i="1"/>
  <c r="AD335" i="1"/>
  <c r="AD336" i="1"/>
  <c r="AD337" i="1"/>
  <c r="AD783" i="1"/>
  <c r="AD338" i="1"/>
  <c r="AD784" i="1"/>
  <c r="AD339" i="1"/>
  <c r="AD785" i="1"/>
  <c r="AD340" i="1"/>
  <c r="AD342" i="1"/>
  <c r="AD786" i="1"/>
  <c r="AD343" i="1"/>
  <c r="AD344" i="1"/>
  <c r="AD787" i="1"/>
  <c r="AD788" i="1"/>
  <c r="AD789" i="1"/>
  <c r="AD790" i="1"/>
  <c r="AD791" i="1"/>
  <c r="AD345" i="1"/>
  <c r="AD792" i="1"/>
  <c r="AD346" i="1"/>
  <c r="AD793" i="1"/>
  <c r="AD794" i="1"/>
  <c r="AD347" i="1"/>
  <c r="AD348" i="1"/>
  <c r="AD349" i="1"/>
  <c r="AD350" i="1"/>
  <c r="AD351" i="1"/>
  <c r="AD352" i="1"/>
  <c r="AD353" i="1"/>
  <c r="AD354" i="1"/>
  <c r="AD355" i="1"/>
  <c r="AD795" i="1"/>
  <c r="AD356" i="1"/>
  <c r="AD357" i="1"/>
  <c r="AD358" i="1"/>
  <c r="AD796" i="1"/>
  <c r="AD797" i="1"/>
  <c r="AD798" i="1"/>
  <c r="AD799" i="1"/>
  <c r="AD359" i="1"/>
  <c r="AD360" i="1"/>
  <c r="AD800" i="1"/>
  <c r="AD802" i="1"/>
  <c r="AD803" i="1"/>
  <c r="AD361" i="1"/>
  <c r="AD362" i="1"/>
  <c r="AD363" i="1"/>
  <c r="AD364" i="1"/>
  <c r="AD365" i="1"/>
  <c r="AD804" i="1"/>
  <c r="AD805" i="1"/>
  <c r="AD366" i="1"/>
  <c r="AD367" i="1"/>
  <c r="AD806" i="1"/>
  <c r="AD368" i="1"/>
  <c r="AD369" i="1"/>
  <c r="AD807" i="1"/>
  <c r="AD370" i="1"/>
  <c r="AD808" i="1"/>
  <c r="AD371" i="1"/>
  <c r="AD809" i="1"/>
  <c r="AD810" i="1"/>
  <c r="AD811" i="1"/>
  <c r="AD812" i="1"/>
  <c r="AD813" i="1"/>
  <c r="AD372" i="1"/>
  <c r="AD814" i="1"/>
  <c r="AD815" i="1"/>
  <c r="AD816" i="1"/>
  <c r="AD817" i="1"/>
  <c r="AD373" i="1"/>
  <c r="AD374" i="1"/>
  <c r="AD375" i="1"/>
  <c r="AD376" i="1"/>
  <c r="AD818" i="1"/>
  <c r="AD377" i="1"/>
  <c r="AD819" i="1"/>
  <c r="AD378" i="1"/>
  <c r="AD379" i="1"/>
  <c r="AD820" i="1"/>
  <c r="AD380" i="1"/>
  <c r="AD381" i="1"/>
  <c r="AD821" i="1"/>
  <c r="AD382" i="1"/>
  <c r="AD822" i="1"/>
  <c r="AD823" i="1"/>
  <c r="AD383" i="1"/>
  <c r="AD384" i="1"/>
  <c r="AD825" i="1"/>
  <c r="AD385" i="1"/>
  <c r="AD386" i="1"/>
  <c r="AD826" i="1"/>
  <c r="AD827" i="1"/>
  <c r="AD828" i="1"/>
  <c r="AD829" i="1"/>
  <c r="AD387" i="1"/>
  <c r="AD830" i="1"/>
  <c r="AD831" i="1"/>
  <c r="AD388" i="1"/>
  <c r="AD389" i="1"/>
  <c r="AD390" i="1"/>
  <c r="AD832" i="1"/>
  <c r="AD833" i="1"/>
  <c r="AD834" i="1"/>
  <c r="AD391" i="1"/>
  <c r="AD837" i="1"/>
  <c r="AD392" i="1"/>
  <c r="AD393" i="1"/>
  <c r="AD394" i="1"/>
  <c r="AD395" i="1"/>
  <c r="AD838" i="1"/>
  <c r="AD396" i="1"/>
  <c r="AD399" i="1"/>
  <c r="AD400" i="1"/>
  <c r="AD839" i="1"/>
  <c r="AD840" i="1"/>
  <c r="AD841" i="1"/>
  <c r="AD401" i="1"/>
  <c r="AD842" i="1"/>
  <c r="AD402" i="1"/>
  <c r="AD843" i="1"/>
  <c r="AD844" i="1"/>
  <c r="AD845" i="1"/>
  <c r="AD846" i="1"/>
  <c r="AD847" i="1"/>
  <c r="AD404" i="1"/>
  <c r="AD848" i="1"/>
  <c r="AD405" i="1"/>
  <c r="AD850" i="1"/>
  <c r="AD406" i="1"/>
  <c r="AD851" i="1"/>
  <c r="AD407" i="1"/>
  <c r="AD852" i="1"/>
  <c r="AD408" i="1"/>
  <c r="AD409" i="1"/>
  <c r="AD410" i="1"/>
  <c r="AD853" i="1"/>
  <c r="AD855" i="1"/>
  <c r="AD411" i="1"/>
  <c r="AD412" i="1"/>
  <c r="AD413" i="1"/>
  <c r="AD414" i="1"/>
  <c r="AD415" i="1"/>
  <c r="AD416" i="1"/>
  <c r="AD417" i="1"/>
  <c r="AD856" i="1"/>
  <c r="AD418" i="1"/>
  <c r="AD419" i="1"/>
  <c r="AD857" i="1"/>
  <c r="AD420" i="1"/>
  <c r="AD858" i="1"/>
  <c r="AD859" i="1"/>
  <c r="AD421" i="1"/>
  <c r="AD860" i="1"/>
  <c r="AD422" i="1"/>
  <c r="AD423" i="1"/>
  <c r="AD424" i="1"/>
  <c r="AD861" i="1"/>
  <c r="AD425" i="1"/>
  <c r="AD426" i="1"/>
  <c r="AD863" i="1"/>
  <c r="AD864" i="1"/>
  <c r="AD427" i="1"/>
  <c r="AD865" i="1"/>
  <c r="AD428" i="1"/>
  <c r="AD429" i="1"/>
  <c r="AD430" i="1"/>
  <c r="AD866" i="1"/>
  <c r="AD431" i="1"/>
  <c r="AD867" i="1"/>
  <c r="AD868" i="1"/>
  <c r="AD869" i="1"/>
  <c r="AD432" i="1"/>
  <c r="AD433" i="1"/>
  <c r="AD870" i="1"/>
  <c r="AD434" i="1"/>
  <c r="AD435" i="1"/>
  <c r="AD436" i="1"/>
  <c r="AD871" i="1"/>
  <c r="AD437" i="1"/>
  <c r="AD874" i="1"/>
  <c r="AD438" i="1"/>
  <c r="AD439" i="1"/>
  <c r="AD440" i="1"/>
  <c r="AD441" i="1"/>
  <c r="AD442" i="1"/>
  <c r="AD875" i="1"/>
  <c r="AD443" i="1"/>
  <c r="AD876" i="1"/>
  <c r="AD444" i="1"/>
  <c r="AD445" i="1"/>
  <c r="AD446" i="1"/>
  <c r="AD878" i="1"/>
  <c r="AD447" i="1"/>
  <c r="AD448" i="1"/>
  <c r="AD879" i="1"/>
  <c r="AD449" i="1"/>
  <c r="AD880" i="1"/>
  <c r="AD450" i="1"/>
  <c r="AD451" i="1"/>
  <c r="AD452" i="1"/>
  <c r="AD881" i="1"/>
  <c r="AD454" i="1"/>
  <c r="AD882" i="1"/>
  <c r="AD883" i="1"/>
  <c r="AD455" i="1"/>
  <c r="AD884" i="1"/>
  <c r="AD885" i="1"/>
  <c r="AD456" i="1"/>
  <c r="AD886" i="1"/>
  <c r="AD887" i="1"/>
  <c r="AD888" i="1"/>
  <c r="AD457" i="1"/>
  <c r="AD458" i="1"/>
  <c r="AD459" i="1"/>
  <c r="AD889" i="1"/>
  <c r="AD890" i="1"/>
  <c r="AD460" i="1"/>
  <c r="AD461" i="1"/>
  <c r="AD891" i="1"/>
  <c r="AD462" i="1"/>
  <c r="AD463" i="1"/>
  <c r="AD892" i="1"/>
  <c r="AD464" i="1"/>
  <c r="AD465" i="1"/>
  <c r="AD893" i="1"/>
  <c r="AD894" i="1"/>
  <c r="AD895" i="1"/>
  <c r="AD896" i="1"/>
  <c r="AD466" i="1"/>
  <c r="AD897" i="1"/>
  <c r="AD467" i="1"/>
  <c r="AD898" i="1"/>
  <c r="AD899" i="1"/>
  <c r="AD900" i="1"/>
  <c r="AD468" i="1"/>
  <c r="AD469" i="1"/>
  <c r="AD901" i="1"/>
  <c r="AD470" i="1"/>
  <c r="AD902" i="1"/>
  <c r="AD903" i="1"/>
  <c r="AD471" i="1"/>
  <c r="AD904" i="1"/>
  <c r="AD905" i="1"/>
  <c r="AD472" i="1"/>
  <c r="AD906" i="1"/>
  <c r="AD907" i="1"/>
  <c r="AD473" i="1"/>
  <c r="AD474" i="1"/>
  <c r="AD908" i="1"/>
  <c r="AD909" i="1"/>
  <c r="AD475" i="1"/>
  <c r="AD477" i="1"/>
  <c r="AD478" i="1"/>
  <c r="AD479" i="1"/>
  <c r="AD910" i="1"/>
  <c r="AD911" i="1"/>
  <c r="AD480" i="1"/>
  <c r="AD481" i="1"/>
  <c r="AD482" i="1"/>
  <c r="AD483" i="1"/>
  <c r="AD484" i="1"/>
  <c r="AD485" i="1"/>
  <c r="AD912" i="1"/>
  <c r="AD913" i="1"/>
  <c r="AD914" i="1"/>
  <c r="AD915" i="1"/>
  <c r="AD916" i="1"/>
  <c r="AD917" i="1"/>
  <c r="AD486" i="1"/>
  <c r="AD918" i="1"/>
  <c r="AD919" i="1"/>
  <c r="AD920" i="1"/>
  <c r="AD487" i="1"/>
  <c r="AD488" i="1"/>
  <c r="AD921" i="1"/>
  <c r="AD922" i="1"/>
  <c r="AD489" i="1"/>
  <c r="AD490" i="1"/>
  <c r="AD923" i="1"/>
  <c r="AD491" i="1"/>
  <c r="AD924" i="1"/>
  <c r="AD492" i="1"/>
  <c r="AD493" i="1"/>
  <c r="AD925" i="1"/>
  <c r="AD926" i="1"/>
  <c r="AD927" i="1"/>
  <c r="AD494" i="1"/>
  <c r="AD928" i="1"/>
  <c r="AD495" i="1"/>
  <c r="AD929" i="1"/>
  <c r="AD930" i="1"/>
  <c r="AD496" i="1"/>
  <c r="AD497" i="1"/>
  <c r="AD931" i="1"/>
  <c r="AD498" i="1"/>
  <c r="AD499" i="1"/>
  <c r="AD500" i="1"/>
  <c r="AD501" i="1"/>
  <c r="AD932" i="1"/>
  <c r="AD502" i="1"/>
  <c r="AD933" i="1"/>
  <c r="AD195" i="1"/>
  <c r="AD539" i="1"/>
  <c r="AD680" i="1"/>
  <c r="AD608" i="1"/>
  <c r="AD649" i="1"/>
  <c r="AD579" i="1"/>
  <c r="AD239" i="1"/>
  <c r="AD91" i="1"/>
  <c r="AD159" i="1"/>
  <c r="AD79" i="1"/>
  <c r="AD659" i="1"/>
  <c r="AD2" i="1"/>
  <c r="AA3" i="1"/>
  <c r="AA4" i="1"/>
  <c r="AA5" i="1"/>
  <c r="AA503" i="1"/>
  <c r="AA6" i="1"/>
  <c r="AA504" i="1"/>
  <c r="AA506" i="1"/>
  <c r="AA7" i="1"/>
  <c r="AA507" i="1"/>
  <c r="AA508" i="1"/>
  <c r="AA8" i="1"/>
  <c r="AA9" i="1"/>
  <c r="AA509" i="1"/>
  <c r="AA10" i="1"/>
  <c r="AA11" i="1"/>
  <c r="AA12" i="1"/>
  <c r="AA13" i="1"/>
  <c r="AA510" i="1"/>
  <c r="AA14" i="1"/>
  <c r="AA511" i="1"/>
  <c r="AA512" i="1"/>
  <c r="AA513" i="1"/>
  <c r="AA514" i="1"/>
  <c r="AA15" i="1"/>
  <c r="AA16" i="1"/>
  <c r="AA17" i="1"/>
  <c r="AA515" i="1"/>
  <c r="AA18" i="1"/>
  <c r="AA516" i="1"/>
  <c r="AA19" i="1"/>
  <c r="AA517" i="1"/>
  <c r="AA20" i="1"/>
  <c r="AA21" i="1"/>
  <c r="AA518" i="1"/>
  <c r="AA22" i="1"/>
  <c r="AA23" i="1"/>
  <c r="AA519" i="1"/>
  <c r="AA24" i="1"/>
  <c r="AA25" i="1"/>
  <c r="AA26" i="1"/>
  <c r="AA27" i="1"/>
  <c r="AA520" i="1"/>
  <c r="AA28" i="1"/>
  <c r="AA29" i="1"/>
  <c r="AA30" i="1"/>
  <c r="AA31" i="1"/>
  <c r="AA32" i="1"/>
  <c r="AA521" i="1"/>
  <c r="AA33" i="1"/>
  <c r="AA522" i="1"/>
  <c r="AA34" i="1"/>
  <c r="AA35" i="1"/>
  <c r="AA523" i="1"/>
  <c r="AA524" i="1"/>
  <c r="AA525" i="1"/>
  <c r="AA526" i="1"/>
  <c r="AA36" i="1"/>
  <c r="AA37" i="1"/>
  <c r="AA38" i="1"/>
  <c r="AA39" i="1"/>
  <c r="AA40" i="1"/>
  <c r="AA41" i="1"/>
  <c r="AA42" i="1"/>
  <c r="AA43" i="1"/>
  <c r="AA44" i="1"/>
  <c r="AA527" i="1"/>
  <c r="AA528" i="1"/>
  <c r="AA45" i="1"/>
  <c r="AA46" i="1"/>
  <c r="AA529" i="1"/>
  <c r="AA530" i="1"/>
  <c r="AA47" i="1"/>
  <c r="AA531" i="1"/>
  <c r="AA532" i="1"/>
  <c r="AA533" i="1"/>
  <c r="AA48" i="1"/>
  <c r="AA534" i="1"/>
  <c r="AA535" i="1"/>
  <c r="AA536" i="1"/>
  <c r="AA49" i="1"/>
  <c r="AA537" i="1"/>
  <c r="AA50" i="1"/>
  <c r="AA51" i="1"/>
  <c r="AA52" i="1"/>
  <c r="AA53" i="1"/>
  <c r="AA54" i="1"/>
  <c r="AA55" i="1"/>
  <c r="AA56" i="1"/>
  <c r="AA57" i="1"/>
  <c r="AA538" i="1"/>
  <c r="AA540" i="1"/>
  <c r="AA541" i="1"/>
  <c r="AA58" i="1"/>
  <c r="AA59" i="1"/>
  <c r="AA542" i="1"/>
  <c r="AA60" i="1"/>
  <c r="AA543" i="1"/>
  <c r="AA61" i="1"/>
  <c r="AA544" i="1"/>
  <c r="AA545" i="1"/>
  <c r="AA62" i="1"/>
  <c r="AA546" i="1"/>
  <c r="AA547" i="1"/>
  <c r="AA548" i="1"/>
  <c r="AA63" i="1"/>
  <c r="AA64" i="1"/>
  <c r="AA65" i="1"/>
  <c r="AA66" i="1"/>
  <c r="AA549" i="1"/>
  <c r="AA67" i="1"/>
  <c r="AA550" i="1"/>
  <c r="AA68" i="1"/>
  <c r="AA69" i="1"/>
  <c r="AA70" i="1"/>
  <c r="AA71" i="1"/>
  <c r="AA551" i="1"/>
  <c r="AA72" i="1"/>
  <c r="AA73" i="1"/>
  <c r="AA74" i="1"/>
  <c r="AA75" i="1"/>
  <c r="AA552" i="1"/>
  <c r="AA76" i="1"/>
  <c r="AA77" i="1"/>
  <c r="AA80" i="1"/>
  <c r="AA553" i="1"/>
  <c r="AA554" i="1"/>
  <c r="AA555" i="1"/>
  <c r="AA81" i="1"/>
  <c r="AA82" i="1"/>
  <c r="AA83" i="1"/>
  <c r="AA557" i="1"/>
  <c r="AA84" i="1"/>
  <c r="AA85" i="1"/>
  <c r="AA558" i="1"/>
  <c r="AA559" i="1"/>
  <c r="AA560" i="1"/>
  <c r="AA561" i="1"/>
  <c r="AA87" i="1"/>
  <c r="AA562" i="1"/>
  <c r="AA88" i="1"/>
  <c r="AA89" i="1"/>
  <c r="AA90" i="1"/>
  <c r="AA92" i="1"/>
  <c r="AA93" i="1"/>
  <c r="AA563" i="1"/>
  <c r="AA564" i="1"/>
  <c r="AA94" i="1"/>
  <c r="AA565" i="1"/>
  <c r="AA95" i="1"/>
  <c r="AA96" i="1"/>
  <c r="AA97" i="1"/>
  <c r="AA98" i="1"/>
  <c r="AA566" i="1"/>
  <c r="AA99" i="1"/>
  <c r="AA567" i="1"/>
  <c r="AA568" i="1"/>
  <c r="AA100" i="1"/>
  <c r="AA101" i="1"/>
  <c r="AA569" i="1"/>
  <c r="AA570" i="1"/>
  <c r="AA571" i="1"/>
  <c r="AA102" i="1"/>
  <c r="AA572" i="1"/>
  <c r="AA573" i="1"/>
  <c r="AA103" i="1"/>
  <c r="AA574" i="1"/>
  <c r="AA575" i="1"/>
  <c r="AA576" i="1"/>
  <c r="AA577" i="1"/>
  <c r="AA578" i="1"/>
  <c r="AA580" i="1"/>
  <c r="AA581" i="1"/>
  <c r="AA104" i="1"/>
  <c r="AA582" i="1"/>
  <c r="AA105" i="1"/>
  <c r="AA583" i="1"/>
  <c r="AA106" i="1"/>
  <c r="AA107" i="1"/>
  <c r="AA108" i="1"/>
  <c r="AA109" i="1"/>
  <c r="AA584" i="1"/>
  <c r="AA110" i="1"/>
  <c r="AA585" i="1"/>
  <c r="AA111" i="1"/>
  <c r="AA112" i="1"/>
  <c r="AA113" i="1"/>
  <c r="AA586" i="1"/>
  <c r="AA587" i="1"/>
  <c r="AA588" i="1"/>
  <c r="AA589" i="1"/>
  <c r="AA114" i="1"/>
  <c r="AA115" i="1"/>
  <c r="AA116" i="1"/>
  <c r="AA590" i="1"/>
  <c r="AA591" i="1"/>
  <c r="AA117" i="1"/>
  <c r="AA592" i="1"/>
  <c r="AA118" i="1"/>
  <c r="AA119" i="1"/>
  <c r="AA593" i="1"/>
  <c r="AA594" i="1"/>
  <c r="AA595" i="1"/>
  <c r="AA120" i="1"/>
  <c r="AA596" i="1"/>
  <c r="AA597" i="1"/>
  <c r="AA598" i="1"/>
  <c r="AA121" i="1"/>
  <c r="AA599" i="1"/>
  <c r="AA600" i="1"/>
  <c r="AA122" i="1"/>
  <c r="AA123" i="1"/>
  <c r="AA124" i="1"/>
  <c r="AA125" i="1"/>
  <c r="AA126" i="1"/>
  <c r="AA127" i="1"/>
  <c r="AA601" i="1"/>
  <c r="AA602" i="1"/>
  <c r="AA603" i="1"/>
  <c r="AA128" i="1"/>
  <c r="AA129" i="1"/>
  <c r="AA604" i="1"/>
  <c r="AA605" i="1"/>
  <c r="AA606" i="1"/>
  <c r="AA607" i="1"/>
  <c r="AA130" i="1"/>
  <c r="AA609" i="1"/>
  <c r="AA131" i="1"/>
  <c r="AA132" i="1"/>
  <c r="AA610" i="1"/>
  <c r="AA133" i="1"/>
  <c r="AA134" i="1"/>
  <c r="AA611" i="1"/>
  <c r="AA135" i="1"/>
  <c r="AA136" i="1"/>
  <c r="AA137" i="1"/>
  <c r="AA138" i="1"/>
  <c r="AA139" i="1"/>
  <c r="AA140" i="1"/>
  <c r="AA141" i="1"/>
  <c r="AA142" i="1"/>
  <c r="AA612" i="1"/>
  <c r="AA613" i="1"/>
  <c r="AA614" i="1"/>
  <c r="AA143" i="1"/>
  <c r="AA144" i="1"/>
  <c r="AA145" i="1"/>
  <c r="AA146" i="1"/>
  <c r="AA147" i="1"/>
  <c r="AA615" i="1"/>
  <c r="AA148" i="1"/>
  <c r="AA616" i="1"/>
  <c r="AA617" i="1"/>
  <c r="AA150" i="1"/>
  <c r="AA618" i="1"/>
  <c r="AA619" i="1"/>
  <c r="AA151" i="1"/>
  <c r="AA620" i="1"/>
  <c r="AA152" i="1"/>
  <c r="AA153" i="1"/>
  <c r="AA621" i="1"/>
  <c r="AA622" i="1"/>
  <c r="AA623" i="1"/>
  <c r="AA624" i="1"/>
  <c r="AA154" i="1"/>
  <c r="AA155" i="1"/>
  <c r="AA625" i="1"/>
  <c r="AA626" i="1"/>
  <c r="AA627" i="1"/>
  <c r="AA628" i="1"/>
  <c r="AA156" i="1"/>
  <c r="AA157" i="1"/>
  <c r="AA158" i="1"/>
  <c r="AA629" i="1"/>
  <c r="AA160" i="1"/>
  <c r="AA161" i="1"/>
  <c r="AA162" i="1"/>
  <c r="AA630" i="1"/>
  <c r="AA631" i="1"/>
  <c r="AA164" i="1"/>
  <c r="AA165" i="1"/>
  <c r="AA632" i="1"/>
  <c r="AA167" i="1"/>
  <c r="AA633" i="1"/>
  <c r="AA168" i="1"/>
  <c r="AA634" i="1"/>
  <c r="AA169" i="1"/>
  <c r="AA170" i="1"/>
  <c r="AA171" i="1"/>
  <c r="AA635" i="1"/>
  <c r="AA636" i="1"/>
  <c r="AA172" i="1"/>
  <c r="AA637" i="1"/>
  <c r="AA173" i="1"/>
  <c r="AA638" i="1"/>
  <c r="AA639" i="1"/>
  <c r="AA640" i="1"/>
  <c r="AA174" i="1"/>
  <c r="AA641" i="1"/>
  <c r="AA175" i="1"/>
  <c r="AA176" i="1"/>
  <c r="AA642" i="1"/>
  <c r="AA643" i="1"/>
  <c r="AA177" i="1"/>
  <c r="AA178" i="1"/>
  <c r="AA179" i="1"/>
  <c r="AA644" i="1"/>
  <c r="AA645" i="1"/>
  <c r="AA646" i="1"/>
  <c r="AA180" i="1"/>
  <c r="AA181" i="1"/>
  <c r="AA182" i="1"/>
  <c r="AA183" i="1"/>
  <c r="AA647" i="1"/>
  <c r="AA648" i="1"/>
  <c r="AA184" i="1"/>
  <c r="AA185" i="1"/>
  <c r="AA650" i="1"/>
  <c r="AA186" i="1"/>
  <c r="AA187" i="1"/>
  <c r="AA188" i="1"/>
  <c r="AA189" i="1"/>
  <c r="AA190" i="1"/>
  <c r="AA191" i="1"/>
  <c r="AA651" i="1"/>
  <c r="AA652" i="1"/>
  <c r="AA653" i="1"/>
  <c r="AA192" i="1"/>
  <c r="AA654" i="1"/>
  <c r="AA655" i="1"/>
  <c r="AA193" i="1"/>
  <c r="AA194" i="1"/>
  <c r="AA656" i="1"/>
  <c r="AA657" i="1"/>
  <c r="AA196" i="1"/>
  <c r="AA658" i="1"/>
  <c r="AA197" i="1"/>
  <c r="AA198" i="1"/>
  <c r="AA199" i="1"/>
  <c r="AA660" i="1"/>
  <c r="AA200" i="1"/>
  <c r="AA661" i="1"/>
  <c r="AA662" i="1"/>
  <c r="AA663" i="1"/>
  <c r="AA201" i="1"/>
  <c r="AA202" i="1"/>
  <c r="AA664" i="1"/>
  <c r="AA203" i="1"/>
  <c r="AA204" i="1"/>
  <c r="AA665" i="1"/>
  <c r="AA205" i="1"/>
  <c r="AA666" i="1"/>
  <c r="AA667" i="1"/>
  <c r="AA668" i="1"/>
  <c r="AA206" i="1"/>
  <c r="AA207" i="1"/>
  <c r="AA669" i="1"/>
  <c r="AA670" i="1"/>
  <c r="AA671" i="1"/>
  <c r="AA208" i="1"/>
  <c r="AA209" i="1"/>
  <c r="AA672" i="1"/>
  <c r="AA210" i="1"/>
  <c r="AA673" i="1"/>
  <c r="AA674" i="1"/>
  <c r="AA211" i="1"/>
  <c r="AA675" i="1"/>
  <c r="AA212" i="1"/>
  <c r="AA676" i="1"/>
  <c r="AA677" i="1"/>
  <c r="AA213" i="1"/>
  <c r="AA214" i="1"/>
  <c r="AA678" i="1"/>
  <c r="AA679" i="1"/>
  <c r="AA681" i="1"/>
  <c r="AA215" i="1"/>
  <c r="AA216" i="1"/>
  <c r="AA682" i="1"/>
  <c r="AA684" i="1"/>
  <c r="AA217" i="1"/>
  <c r="AA218" i="1"/>
  <c r="AA685" i="1"/>
  <c r="AA686" i="1"/>
  <c r="AA687" i="1"/>
  <c r="AA219" i="1"/>
  <c r="AA688" i="1"/>
  <c r="AA689" i="1"/>
  <c r="AA690" i="1"/>
  <c r="AA220" i="1"/>
  <c r="AA221" i="1"/>
  <c r="AA222" i="1"/>
  <c r="AA691" i="1"/>
  <c r="AA223" i="1"/>
  <c r="AA224" i="1"/>
  <c r="AA225" i="1"/>
  <c r="AA226" i="1"/>
  <c r="AA692" i="1"/>
  <c r="AA693" i="1"/>
  <c r="AA227" i="1"/>
  <c r="AA694" i="1"/>
  <c r="AA696" i="1"/>
  <c r="AA697" i="1"/>
  <c r="AA228" i="1"/>
  <c r="AA229" i="1"/>
  <c r="AA230" i="1"/>
  <c r="AA231" i="1"/>
  <c r="AA698" i="1"/>
  <c r="AA232" i="1"/>
  <c r="AA699" i="1"/>
  <c r="AA700" i="1"/>
  <c r="AA233" i="1"/>
  <c r="AA701" i="1"/>
  <c r="AA234" i="1"/>
  <c r="AA702" i="1"/>
  <c r="AA235" i="1"/>
  <c r="AA236" i="1"/>
  <c r="AA703" i="1"/>
  <c r="AA704" i="1"/>
  <c r="AA237" i="1"/>
  <c r="AA705" i="1"/>
  <c r="AA706" i="1"/>
  <c r="AA707" i="1"/>
  <c r="AA708" i="1"/>
  <c r="AA238" i="1"/>
  <c r="AA240" i="1"/>
  <c r="AA241" i="1"/>
  <c r="AA242" i="1"/>
  <c r="AA709" i="1"/>
  <c r="AA710" i="1"/>
  <c r="AA711" i="1"/>
  <c r="AA243" i="1"/>
  <c r="AA244" i="1"/>
  <c r="AA245" i="1"/>
  <c r="AA246" i="1"/>
  <c r="AA712" i="1"/>
  <c r="AA713" i="1"/>
  <c r="AA247" i="1"/>
  <c r="AA248" i="1"/>
  <c r="AA714" i="1"/>
  <c r="AA715" i="1"/>
  <c r="AA249" i="1"/>
  <c r="AA250" i="1"/>
  <c r="AA716" i="1"/>
  <c r="AA251" i="1"/>
  <c r="AA717" i="1"/>
  <c r="AA252" i="1"/>
  <c r="AA718" i="1"/>
  <c r="AA719" i="1"/>
  <c r="AA253" i="1"/>
  <c r="AA254" i="1"/>
  <c r="AA720" i="1"/>
  <c r="AA255" i="1"/>
  <c r="AA256" i="1"/>
  <c r="AA721" i="1"/>
  <c r="AA722" i="1"/>
  <c r="AA257" i="1"/>
  <c r="AA258" i="1"/>
  <c r="AA259" i="1"/>
  <c r="AA260" i="1"/>
  <c r="AA261" i="1"/>
  <c r="AA723" i="1"/>
  <c r="AA724" i="1"/>
  <c r="AA262" i="1"/>
  <c r="AA725" i="1"/>
  <c r="AA726" i="1"/>
  <c r="AA263" i="1"/>
  <c r="AA264" i="1"/>
  <c r="AA265" i="1"/>
  <c r="AA727" i="1"/>
  <c r="AA266" i="1"/>
  <c r="AA267" i="1"/>
  <c r="AA268" i="1"/>
  <c r="AA269" i="1"/>
  <c r="AA270" i="1"/>
  <c r="AA271" i="1"/>
  <c r="AA728" i="1"/>
  <c r="AA272" i="1"/>
  <c r="AA729" i="1"/>
  <c r="AA273" i="1"/>
  <c r="AA274" i="1"/>
  <c r="AA730" i="1"/>
  <c r="AA731" i="1"/>
  <c r="AA275" i="1"/>
  <c r="AA276" i="1"/>
  <c r="AA277" i="1"/>
  <c r="AA732" i="1"/>
  <c r="AA733" i="1"/>
  <c r="AA734" i="1"/>
  <c r="AA278" i="1"/>
  <c r="AA279" i="1"/>
  <c r="AA280" i="1"/>
  <c r="AA735" i="1"/>
  <c r="AA736" i="1"/>
  <c r="AA737" i="1"/>
  <c r="AA281" i="1"/>
  <c r="AA282" i="1"/>
  <c r="AA738" i="1"/>
  <c r="AA283" i="1"/>
  <c r="AA739" i="1"/>
  <c r="AA284" i="1"/>
  <c r="AA285" i="1"/>
  <c r="AA286" i="1"/>
  <c r="AA287" i="1"/>
  <c r="AA289" i="1"/>
  <c r="AA740" i="1"/>
  <c r="AA290" i="1"/>
  <c r="AA291" i="1"/>
  <c r="AA741" i="1"/>
  <c r="AA292" i="1"/>
  <c r="AA742" i="1"/>
  <c r="AA293" i="1"/>
  <c r="AA294" i="1"/>
  <c r="AA743" i="1"/>
  <c r="AA744" i="1"/>
  <c r="AA295" i="1"/>
  <c r="AA745" i="1"/>
  <c r="AA296" i="1"/>
  <c r="AA746" i="1"/>
  <c r="AA747" i="1"/>
  <c r="AA748" i="1"/>
  <c r="AA297" i="1"/>
  <c r="AA749" i="1"/>
  <c r="AA750" i="1"/>
  <c r="AA298" i="1"/>
  <c r="AA299" i="1"/>
  <c r="AA300" i="1"/>
  <c r="AA751" i="1"/>
  <c r="AA752" i="1"/>
  <c r="AA301" i="1"/>
  <c r="AA302" i="1"/>
  <c r="AA753" i="1"/>
  <c r="AA303" i="1"/>
  <c r="AA754" i="1"/>
  <c r="AA304" i="1"/>
  <c r="AA755" i="1"/>
  <c r="AA305" i="1"/>
  <c r="AA756" i="1"/>
  <c r="AA306" i="1"/>
  <c r="AA307" i="1"/>
  <c r="AA757" i="1"/>
  <c r="AA308" i="1"/>
  <c r="AA758" i="1"/>
  <c r="AA309" i="1"/>
  <c r="AA310" i="1"/>
  <c r="AA759" i="1"/>
  <c r="AA311" i="1"/>
  <c r="AA760" i="1"/>
  <c r="AA312" i="1"/>
  <c r="AA313" i="1"/>
  <c r="AA761" i="1"/>
  <c r="AA314" i="1"/>
  <c r="AA315" i="1"/>
  <c r="AA763" i="1"/>
  <c r="AA764" i="1"/>
  <c r="AA316" i="1"/>
  <c r="AA765" i="1"/>
  <c r="AA317" i="1"/>
  <c r="AA318" i="1"/>
  <c r="AA766" i="1"/>
  <c r="AA767" i="1"/>
  <c r="AA319" i="1"/>
  <c r="AA768" i="1"/>
  <c r="AA320" i="1"/>
  <c r="AA321" i="1"/>
  <c r="AA322" i="1"/>
  <c r="AA769" i="1"/>
  <c r="AA323" i="1"/>
  <c r="AA324" i="1"/>
  <c r="AA325" i="1"/>
  <c r="AA770" i="1"/>
  <c r="AA771" i="1"/>
  <c r="AA772" i="1"/>
  <c r="AA326" i="1"/>
  <c r="AA774" i="1"/>
  <c r="AA327" i="1"/>
  <c r="AA775" i="1"/>
  <c r="AA328" i="1"/>
  <c r="AA776" i="1"/>
  <c r="AA329" i="1"/>
  <c r="AA330" i="1"/>
  <c r="AA777" i="1"/>
  <c r="AA778" i="1"/>
  <c r="AA331" i="1"/>
  <c r="AA332" i="1"/>
  <c r="AA333" i="1"/>
  <c r="AA779" i="1"/>
  <c r="AA780" i="1"/>
  <c r="AA781" i="1"/>
  <c r="AA782" i="1"/>
  <c r="AA334" i="1"/>
  <c r="AA335" i="1"/>
  <c r="AA336" i="1"/>
  <c r="AA337" i="1"/>
  <c r="AA783" i="1"/>
  <c r="AA338" i="1"/>
  <c r="AA784" i="1"/>
  <c r="AA339" i="1"/>
  <c r="AA785" i="1"/>
  <c r="AA340" i="1"/>
  <c r="AA342" i="1"/>
  <c r="AA786" i="1"/>
  <c r="AA343" i="1"/>
  <c r="AA344" i="1"/>
  <c r="AA787" i="1"/>
  <c r="AA788" i="1"/>
  <c r="AA789" i="1"/>
  <c r="AA790" i="1"/>
  <c r="AA791" i="1"/>
  <c r="AA345" i="1"/>
  <c r="AA792" i="1"/>
  <c r="AA346" i="1"/>
  <c r="AA793" i="1"/>
  <c r="AA794" i="1"/>
  <c r="AA347" i="1"/>
  <c r="AA348" i="1"/>
  <c r="AA349" i="1"/>
  <c r="AA350" i="1"/>
  <c r="AA351" i="1"/>
  <c r="AA352" i="1"/>
  <c r="AA353" i="1"/>
  <c r="AA354" i="1"/>
  <c r="AA355" i="1"/>
  <c r="AA795" i="1"/>
  <c r="AA356" i="1"/>
  <c r="AA357" i="1"/>
  <c r="AA358" i="1"/>
  <c r="AA796" i="1"/>
  <c r="AA797" i="1"/>
  <c r="AA798" i="1"/>
  <c r="AA799" i="1"/>
  <c r="AA359" i="1"/>
  <c r="AA360" i="1"/>
  <c r="AA800" i="1"/>
  <c r="AA802" i="1"/>
  <c r="AA803" i="1"/>
  <c r="AA361" i="1"/>
  <c r="AA362" i="1"/>
  <c r="AA363" i="1"/>
  <c r="AA364" i="1"/>
  <c r="AA365" i="1"/>
  <c r="AA804" i="1"/>
  <c r="AA805" i="1"/>
  <c r="AA366" i="1"/>
  <c r="AA367" i="1"/>
  <c r="AA806" i="1"/>
  <c r="AA368" i="1"/>
  <c r="AA369" i="1"/>
  <c r="AA807" i="1"/>
  <c r="AA370" i="1"/>
  <c r="AA808" i="1"/>
  <c r="AA371" i="1"/>
  <c r="AA809" i="1"/>
  <c r="AA810" i="1"/>
  <c r="AA811" i="1"/>
  <c r="AA812" i="1"/>
  <c r="AA813" i="1"/>
  <c r="AA372" i="1"/>
  <c r="AA814" i="1"/>
  <c r="AA815" i="1"/>
  <c r="AA816" i="1"/>
  <c r="AA817" i="1"/>
  <c r="AA373" i="1"/>
  <c r="AA374" i="1"/>
  <c r="AA375" i="1"/>
  <c r="AA376" i="1"/>
  <c r="AA818" i="1"/>
  <c r="AA377" i="1"/>
  <c r="AA819" i="1"/>
  <c r="AA378" i="1"/>
  <c r="AA379" i="1"/>
  <c r="AA820" i="1"/>
  <c r="AA380" i="1"/>
  <c r="AA381" i="1"/>
  <c r="AA821" i="1"/>
  <c r="AA382" i="1"/>
  <c r="AA822" i="1"/>
  <c r="AA823" i="1"/>
  <c r="AA383" i="1"/>
  <c r="AA384" i="1"/>
  <c r="AA825" i="1"/>
  <c r="AA385" i="1"/>
  <c r="AA386" i="1"/>
  <c r="AA826" i="1"/>
  <c r="AA827" i="1"/>
  <c r="AA828" i="1"/>
  <c r="AA829" i="1"/>
  <c r="AA387" i="1"/>
  <c r="AA830" i="1"/>
  <c r="AA831" i="1"/>
  <c r="AA388" i="1"/>
  <c r="AA389" i="1"/>
  <c r="AA390" i="1"/>
  <c r="AA832" i="1"/>
  <c r="AA833" i="1"/>
  <c r="AA834" i="1"/>
  <c r="AA391" i="1"/>
  <c r="AA836" i="1"/>
  <c r="AA837" i="1"/>
  <c r="AA392" i="1"/>
  <c r="AA393" i="1"/>
  <c r="AA394" i="1"/>
  <c r="AA395" i="1"/>
  <c r="AA838" i="1"/>
  <c r="AA396" i="1"/>
  <c r="AA397" i="1"/>
  <c r="AA399" i="1"/>
  <c r="AA400" i="1"/>
  <c r="AA839" i="1"/>
  <c r="AA840" i="1"/>
  <c r="AA841" i="1"/>
  <c r="AA401" i="1"/>
  <c r="AA842" i="1"/>
  <c r="AA402" i="1"/>
  <c r="AA843" i="1"/>
  <c r="AA844" i="1"/>
  <c r="AA845" i="1"/>
  <c r="AA846" i="1"/>
  <c r="AA847" i="1"/>
  <c r="AA404" i="1"/>
  <c r="AA848" i="1"/>
  <c r="AA405" i="1"/>
  <c r="AA850" i="1"/>
  <c r="AA406" i="1"/>
  <c r="AA851" i="1"/>
  <c r="AA407" i="1"/>
  <c r="AA852" i="1"/>
  <c r="AA408" i="1"/>
  <c r="AA409" i="1"/>
  <c r="AA410" i="1"/>
  <c r="AA853" i="1"/>
  <c r="AA855" i="1"/>
  <c r="AA411" i="1"/>
  <c r="AA412" i="1"/>
  <c r="AA413" i="1"/>
  <c r="AA414" i="1"/>
  <c r="AA415" i="1"/>
  <c r="AA416" i="1"/>
  <c r="AA417" i="1"/>
  <c r="AA856" i="1"/>
  <c r="AA418" i="1"/>
  <c r="AA419" i="1"/>
  <c r="AA857" i="1"/>
  <c r="AA420" i="1"/>
  <c r="AA858" i="1"/>
  <c r="AA859" i="1"/>
  <c r="AA421" i="1"/>
  <c r="AA860" i="1"/>
  <c r="AA422" i="1"/>
  <c r="AA423" i="1"/>
  <c r="AA424" i="1"/>
  <c r="AA861" i="1"/>
  <c r="AA862" i="1"/>
  <c r="AA425" i="1"/>
  <c r="AA426" i="1"/>
  <c r="AA863" i="1"/>
  <c r="AA864" i="1"/>
  <c r="AA427" i="1"/>
  <c r="AA865" i="1"/>
  <c r="AA428" i="1"/>
  <c r="AA429" i="1"/>
  <c r="AA430" i="1"/>
  <c r="AA866" i="1"/>
  <c r="AA431" i="1"/>
  <c r="AA867" i="1"/>
  <c r="AA868" i="1"/>
  <c r="AA869" i="1"/>
  <c r="AA432" i="1"/>
  <c r="AA433" i="1"/>
  <c r="AA870" i="1"/>
  <c r="AA434" i="1"/>
  <c r="AA435" i="1"/>
  <c r="AA436" i="1"/>
  <c r="AA871" i="1"/>
  <c r="AA872" i="1"/>
  <c r="AA873" i="1"/>
  <c r="AA437" i="1"/>
  <c r="AA874" i="1"/>
  <c r="AA438" i="1"/>
  <c r="AA439" i="1"/>
  <c r="AA440" i="1"/>
  <c r="AA441" i="1"/>
  <c r="AA442" i="1"/>
  <c r="AA875" i="1"/>
  <c r="AA443" i="1"/>
  <c r="AA876" i="1"/>
  <c r="AA444" i="1"/>
  <c r="AA877" i="1"/>
  <c r="AA445" i="1"/>
  <c r="AA446" i="1"/>
  <c r="AA878" i="1"/>
  <c r="AA447" i="1"/>
  <c r="AA448" i="1"/>
  <c r="AA879" i="1"/>
  <c r="AA449" i="1"/>
  <c r="AA880" i="1"/>
  <c r="AA450" i="1"/>
  <c r="AA451" i="1"/>
  <c r="AA452" i="1"/>
  <c r="AA881" i="1"/>
  <c r="AA453" i="1"/>
  <c r="AA454" i="1"/>
  <c r="AA882" i="1"/>
  <c r="AA883" i="1"/>
  <c r="AA455" i="1"/>
  <c r="AA884" i="1"/>
  <c r="AA885" i="1"/>
  <c r="AA456" i="1"/>
  <c r="AA886" i="1"/>
  <c r="AA887" i="1"/>
  <c r="AA888" i="1"/>
  <c r="AA457" i="1"/>
  <c r="AA458" i="1"/>
  <c r="AA459" i="1"/>
  <c r="AA889" i="1"/>
  <c r="AA890" i="1"/>
  <c r="AA460" i="1"/>
  <c r="AA461" i="1"/>
  <c r="AA891" i="1"/>
  <c r="AA462" i="1"/>
  <c r="AA463" i="1"/>
  <c r="AA892" i="1"/>
  <c r="AA464" i="1"/>
  <c r="AA465" i="1"/>
  <c r="AA893" i="1"/>
  <c r="AA894" i="1"/>
  <c r="AA895" i="1"/>
  <c r="AA896" i="1"/>
  <c r="AA466" i="1"/>
  <c r="AA897" i="1"/>
  <c r="AA467" i="1"/>
  <c r="AA898" i="1"/>
  <c r="AA899" i="1"/>
  <c r="AA900" i="1"/>
  <c r="AA468" i="1"/>
  <c r="AA469" i="1"/>
  <c r="AA901" i="1"/>
  <c r="AA470" i="1"/>
  <c r="AA902" i="1"/>
  <c r="AA903" i="1"/>
  <c r="AA471" i="1"/>
  <c r="AA904" i="1"/>
  <c r="AA905" i="1"/>
  <c r="AA472" i="1"/>
  <c r="AA906" i="1"/>
  <c r="AA907" i="1"/>
  <c r="AA473" i="1"/>
  <c r="AA474" i="1"/>
  <c r="AA908" i="1"/>
  <c r="AA909" i="1"/>
  <c r="AA475" i="1"/>
  <c r="AA477" i="1"/>
  <c r="AA478" i="1"/>
  <c r="AA479" i="1"/>
  <c r="AA910" i="1"/>
  <c r="AA911" i="1"/>
  <c r="AA480" i="1"/>
  <c r="AA481" i="1"/>
  <c r="AA482" i="1"/>
  <c r="AA483" i="1"/>
  <c r="AA484" i="1"/>
  <c r="AA485" i="1"/>
  <c r="AA912" i="1"/>
  <c r="AA913" i="1"/>
  <c r="AA914" i="1"/>
  <c r="AA915" i="1"/>
  <c r="AA916" i="1"/>
  <c r="AA917" i="1"/>
  <c r="AA486" i="1"/>
  <c r="AA918" i="1"/>
  <c r="AA919" i="1"/>
  <c r="AA920" i="1"/>
  <c r="AA487" i="1"/>
  <c r="AA488" i="1"/>
  <c r="AA921" i="1"/>
  <c r="AA922" i="1"/>
  <c r="AA489" i="1"/>
  <c r="AA490" i="1"/>
  <c r="AA923" i="1"/>
  <c r="AA491" i="1"/>
  <c r="AA924" i="1"/>
  <c r="AA492" i="1"/>
  <c r="AA493" i="1"/>
  <c r="AA925" i="1"/>
  <c r="AA926" i="1"/>
  <c r="AA927" i="1"/>
  <c r="AA494" i="1"/>
  <c r="AA928" i="1"/>
  <c r="AA495" i="1"/>
  <c r="AA929" i="1"/>
  <c r="AA930" i="1"/>
  <c r="AA496" i="1"/>
  <c r="AA497" i="1"/>
  <c r="AA931" i="1"/>
  <c r="AA498" i="1"/>
  <c r="AA499" i="1"/>
  <c r="AA500" i="1"/>
  <c r="AA501" i="1"/>
  <c r="AA932" i="1"/>
  <c r="AA502" i="1"/>
  <c r="AA933" i="1"/>
  <c r="AA195" i="1"/>
  <c r="AA539" i="1"/>
  <c r="AA680" i="1"/>
  <c r="AA608" i="1"/>
  <c r="AA649" i="1"/>
  <c r="AA579" i="1"/>
  <c r="AA239" i="1"/>
  <c r="AA773" i="1"/>
  <c r="AA91" i="1"/>
  <c r="AA159" i="1"/>
  <c r="AA79" i="1"/>
  <c r="AA659" i="1"/>
  <c r="AA2" i="1"/>
  <c r="X3" i="1"/>
  <c r="X4" i="1"/>
  <c r="X5" i="1"/>
  <c r="X503" i="1"/>
  <c r="X6" i="1"/>
  <c r="X504" i="1"/>
  <c r="X506" i="1"/>
  <c r="X7" i="1"/>
  <c r="X507" i="1"/>
  <c r="X508" i="1"/>
  <c r="X8" i="1"/>
  <c r="X9" i="1"/>
  <c r="X509" i="1"/>
  <c r="X10" i="1"/>
  <c r="X11" i="1"/>
  <c r="X12" i="1"/>
  <c r="X13" i="1"/>
  <c r="X510" i="1"/>
  <c r="X14" i="1"/>
  <c r="X511" i="1"/>
  <c r="X512" i="1"/>
  <c r="X513" i="1"/>
  <c r="X514" i="1"/>
  <c r="X15" i="1"/>
  <c r="X16" i="1"/>
  <c r="X17" i="1"/>
  <c r="X515" i="1"/>
  <c r="X18" i="1"/>
  <c r="X516" i="1"/>
  <c r="X19" i="1"/>
  <c r="X517" i="1"/>
  <c r="X20" i="1"/>
  <c r="X21" i="1"/>
  <c r="X518" i="1"/>
  <c r="X22" i="1"/>
  <c r="X23" i="1"/>
  <c r="X519" i="1"/>
  <c r="X24" i="1"/>
  <c r="X25" i="1"/>
  <c r="X26" i="1"/>
  <c r="X27" i="1"/>
  <c r="X520" i="1"/>
  <c r="X28" i="1"/>
  <c r="X29" i="1"/>
  <c r="X30" i="1"/>
  <c r="X31" i="1"/>
  <c r="X32" i="1"/>
  <c r="X521" i="1"/>
  <c r="X33" i="1"/>
  <c r="X522" i="1"/>
  <c r="X34" i="1"/>
  <c r="X35" i="1"/>
  <c r="X523" i="1"/>
  <c r="X524" i="1"/>
  <c r="X525" i="1"/>
  <c r="X526" i="1"/>
  <c r="X36" i="1"/>
  <c r="X37" i="1"/>
  <c r="X38" i="1"/>
  <c r="X39" i="1"/>
  <c r="X40" i="1"/>
  <c r="X41" i="1"/>
  <c r="X42" i="1"/>
  <c r="X43" i="1"/>
  <c r="X44" i="1"/>
  <c r="X527" i="1"/>
  <c r="X528" i="1"/>
  <c r="X45" i="1"/>
  <c r="X46" i="1"/>
  <c r="X529" i="1"/>
  <c r="X530" i="1"/>
  <c r="X47" i="1"/>
  <c r="X531" i="1"/>
  <c r="X532" i="1"/>
  <c r="X533" i="1"/>
  <c r="X48" i="1"/>
  <c r="X534" i="1"/>
  <c r="X535" i="1"/>
  <c r="X536" i="1"/>
  <c r="X49" i="1"/>
  <c r="X537" i="1"/>
  <c r="X50" i="1"/>
  <c r="X51" i="1"/>
  <c r="X52" i="1"/>
  <c r="X53" i="1"/>
  <c r="X54" i="1"/>
  <c r="X55" i="1"/>
  <c r="X56" i="1"/>
  <c r="X57" i="1"/>
  <c r="X538" i="1"/>
  <c r="X540" i="1"/>
  <c r="X541" i="1"/>
  <c r="X58" i="1"/>
  <c r="X59" i="1"/>
  <c r="X542" i="1"/>
  <c r="X60" i="1"/>
  <c r="X543" i="1"/>
  <c r="X61" i="1"/>
  <c r="X544" i="1"/>
  <c r="X545" i="1"/>
  <c r="X62" i="1"/>
  <c r="X546" i="1"/>
  <c r="X547" i="1"/>
  <c r="X548" i="1"/>
  <c r="X63" i="1"/>
  <c r="X64" i="1"/>
  <c r="X65" i="1"/>
  <c r="X66" i="1"/>
  <c r="X549" i="1"/>
  <c r="X67" i="1"/>
  <c r="X550" i="1"/>
  <c r="X68" i="1"/>
  <c r="X69" i="1"/>
  <c r="X70" i="1"/>
  <c r="X71" i="1"/>
  <c r="X551" i="1"/>
  <c r="X72" i="1"/>
  <c r="X73" i="1"/>
  <c r="X74" i="1"/>
  <c r="X75" i="1"/>
  <c r="X552" i="1"/>
  <c r="X76" i="1"/>
  <c r="X77" i="1"/>
  <c r="X80" i="1"/>
  <c r="X553" i="1"/>
  <c r="X554" i="1"/>
  <c r="X555" i="1"/>
  <c r="X81" i="1"/>
  <c r="X82" i="1"/>
  <c r="X83" i="1"/>
  <c r="X557" i="1"/>
  <c r="X84" i="1"/>
  <c r="X85" i="1"/>
  <c r="X558" i="1"/>
  <c r="X559" i="1"/>
  <c r="X560" i="1"/>
  <c r="X561" i="1"/>
  <c r="X87" i="1"/>
  <c r="X562" i="1"/>
  <c r="X88" i="1"/>
  <c r="X89" i="1"/>
  <c r="X90" i="1"/>
  <c r="X92" i="1"/>
  <c r="X93" i="1"/>
  <c r="X563" i="1"/>
  <c r="X564" i="1"/>
  <c r="X94" i="1"/>
  <c r="X565" i="1"/>
  <c r="X95" i="1"/>
  <c r="X96" i="1"/>
  <c r="X97" i="1"/>
  <c r="X98" i="1"/>
  <c r="X566" i="1"/>
  <c r="X99" i="1"/>
  <c r="X567" i="1"/>
  <c r="X568" i="1"/>
  <c r="X100" i="1"/>
  <c r="X101" i="1"/>
  <c r="X569" i="1"/>
  <c r="X570" i="1"/>
  <c r="X571" i="1"/>
  <c r="X102" i="1"/>
  <c r="X572" i="1"/>
  <c r="X573" i="1"/>
  <c r="X103" i="1"/>
  <c r="X574" i="1"/>
  <c r="X575" i="1"/>
  <c r="X576" i="1"/>
  <c r="X577" i="1"/>
  <c r="X578" i="1"/>
  <c r="X580" i="1"/>
  <c r="X581" i="1"/>
  <c r="X104" i="1"/>
  <c r="X582" i="1"/>
  <c r="X105" i="1"/>
  <c r="X583" i="1"/>
  <c r="X106" i="1"/>
  <c r="X107" i="1"/>
  <c r="X108" i="1"/>
  <c r="X109" i="1"/>
  <c r="X584" i="1"/>
  <c r="X110" i="1"/>
  <c r="X585" i="1"/>
  <c r="X111" i="1"/>
  <c r="X112" i="1"/>
  <c r="X113" i="1"/>
  <c r="X586" i="1"/>
  <c r="X587" i="1"/>
  <c r="X588" i="1"/>
  <c r="X589" i="1"/>
  <c r="X114" i="1"/>
  <c r="X115" i="1"/>
  <c r="X116" i="1"/>
  <c r="X590" i="1"/>
  <c r="X591" i="1"/>
  <c r="X117" i="1"/>
  <c r="X592" i="1"/>
  <c r="X118" i="1"/>
  <c r="X119" i="1"/>
  <c r="X593" i="1"/>
  <c r="X594" i="1"/>
  <c r="X595" i="1"/>
  <c r="X120" i="1"/>
  <c r="X596" i="1"/>
  <c r="X597" i="1"/>
  <c r="X598" i="1"/>
  <c r="X121" i="1"/>
  <c r="X599" i="1"/>
  <c r="X600" i="1"/>
  <c r="X122" i="1"/>
  <c r="X123" i="1"/>
  <c r="X124" i="1"/>
  <c r="X125" i="1"/>
  <c r="X126" i="1"/>
  <c r="X127" i="1"/>
  <c r="X601" i="1"/>
  <c r="X602" i="1"/>
  <c r="X603" i="1"/>
  <c r="X128" i="1"/>
  <c r="X129" i="1"/>
  <c r="X604" i="1"/>
  <c r="X605" i="1"/>
  <c r="X606" i="1"/>
  <c r="X607" i="1"/>
  <c r="X130" i="1"/>
  <c r="X609" i="1"/>
  <c r="X131" i="1"/>
  <c r="X132" i="1"/>
  <c r="X610" i="1"/>
  <c r="X133" i="1"/>
  <c r="X134" i="1"/>
  <c r="X611" i="1"/>
  <c r="X135" i="1"/>
  <c r="X136" i="1"/>
  <c r="X137" i="1"/>
  <c r="X138" i="1"/>
  <c r="X139" i="1"/>
  <c r="X140" i="1"/>
  <c r="X141" i="1"/>
  <c r="X142" i="1"/>
  <c r="X612" i="1"/>
  <c r="X613" i="1"/>
  <c r="X614" i="1"/>
  <c r="X143" i="1"/>
  <c r="X144" i="1"/>
  <c r="X145" i="1"/>
  <c r="X146" i="1"/>
  <c r="X147" i="1"/>
  <c r="X615" i="1"/>
  <c r="X148" i="1"/>
  <c r="X616" i="1"/>
  <c r="X617" i="1"/>
  <c r="X150" i="1"/>
  <c r="X618" i="1"/>
  <c r="X619" i="1"/>
  <c r="X151" i="1"/>
  <c r="X620" i="1"/>
  <c r="X152" i="1"/>
  <c r="X153" i="1"/>
  <c r="X621" i="1"/>
  <c r="X622" i="1"/>
  <c r="X623" i="1"/>
  <c r="X624" i="1"/>
  <c r="X154" i="1"/>
  <c r="X155" i="1"/>
  <c r="X625" i="1"/>
  <c r="X626" i="1"/>
  <c r="X627" i="1"/>
  <c r="X628" i="1"/>
  <c r="X156" i="1"/>
  <c r="X157" i="1"/>
  <c r="X158" i="1"/>
  <c r="X629" i="1"/>
  <c r="X160" i="1"/>
  <c r="X161" i="1"/>
  <c r="X162" i="1"/>
  <c r="X630" i="1"/>
  <c r="X631" i="1"/>
  <c r="X164" i="1"/>
  <c r="X165" i="1"/>
  <c r="X632" i="1"/>
  <c r="X167" i="1"/>
  <c r="X633" i="1"/>
  <c r="X168" i="1"/>
  <c r="X634" i="1"/>
  <c r="X169" i="1"/>
  <c r="X170" i="1"/>
  <c r="X171" i="1"/>
  <c r="X635" i="1"/>
  <c r="X636" i="1"/>
  <c r="X172" i="1"/>
  <c r="X637" i="1"/>
  <c r="X173" i="1"/>
  <c r="X638" i="1"/>
  <c r="X639" i="1"/>
  <c r="X640" i="1"/>
  <c r="X174" i="1"/>
  <c r="X641" i="1"/>
  <c r="X175" i="1"/>
  <c r="X176" i="1"/>
  <c r="X642" i="1"/>
  <c r="X643" i="1"/>
  <c r="X177" i="1"/>
  <c r="X178" i="1"/>
  <c r="X179" i="1"/>
  <c r="X644" i="1"/>
  <c r="X645" i="1"/>
  <c r="X646" i="1"/>
  <c r="X180" i="1"/>
  <c r="X181" i="1"/>
  <c r="X182" i="1"/>
  <c r="X183" i="1"/>
  <c r="X647" i="1"/>
  <c r="X648" i="1"/>
  <c r="X184" i="1"/>
  <c r="X185" i="1"/>
  <c r="X650" i="1"/>
  <c r="X186" i="1"/>
  <c r="X187" i="1"/>
  <c r="X188" i="1"/>
  <c r="X189" i="1"/>
  <c r="X190" i="1"/>
  <c r="X191" i="1"/>
  <c r="X651" i="1"/>
  <c r="X652" i="1"/>
  <c r="X653" i="1"/>
  <c r="X192" i="1"/>
  <c r="X654" i="1"/>
  <c r="X655" i="1"/>
  <c r="X193" i="1"/>
  <c r="X194" i="1"/>
  <c r="X656" i="1"/>
  <c r="X657" i="1"/>
  <c r="X196" i="1"/>
  <c r="X658" i="1"/>
  <c r="X197" i="1"/>
  <c r="X198" i="1"/>
  <c r="X199" i="1"/>
  <c r="X660" i="1"/>
  <c r="X200" i="1"/>
  <c r="X661" i="1"/>
  <c r="X662" i="1"/>
  <c r="X663" i="1"/>
  <c r="X201" i="1"/>
  <c r="X202" i="1"/>
  <c r="X664" i="1"/>
  <c r="X203" i="1"/>
  <c r="X204" i="1"/>
  <c r="X665" i="1"/>
  <c r="X205" i="1"/>
  <c r="X666" i="1"/>
  <c r="X667" i="1"/>
  <c r="X668" i="1"/>
  <c r="X206" i="1"/>
  <c r="X207" i="1"/>
  <c r="X669" i="1"/>
  <c r="X670" i="1"/>
  <c r="X671" i="1"/>
  <c r="X208" i="1"/>
  <c r="X209" i="1"/>
  <c r="X672" i="1"/>
  <c r="X210" i="1"/>
  <c r="X673" i="1"/>
  <c r="X674" i="1"/>
  <c r="X211" i="1"/>
  <c r="X675" i="1"/>
  <c r="X212" i="1"/>
  <c r="X676" i="1"/>
  <c r="X677" i="1"/>
  <c r="X213" i="1"/>
  <c r="X214" i="1"/>
  <c r="X678" i="1"/>
  <c r="X679" i="1"/>
  <c r="X681" i="1"/>
  <c r="X215" i="1"/>
  <c r="X216" i="1"/>
  <c r="X682" i="1"/>
  <c r="X684" i="1"/>
  <c r="X217" i="1"/>
  <c r="X218" i="1"/>
  <c r="X685" i="1"/>
  <c r="X686" i="1"/>
  <c r="X687" i="1"/>
  <c r="X219" i="1"/>
  <c r="X688" i="1"/>
  <c r="X689" i="1"/>
  <c r="X690" i="1"/>
  <c r="X220" i="1"/>
  <c r="X221" i="1"/>
  <c r="X222" i="1"/>
  <c r="X691" i="1"/>
  <c r="X223" i="1"/>
  <c r="X224" i="1"/>
  <c r="X225" i="1"/>
  <c r="X226" i="1"/>
  <c r="X692" i="1"/>
  <c r="X693" i="1"/>
  <c r="X227" i="1"/>
  <c r="X694" i="1"/>
  <c r="X696" i="1"/>
  <c r="X697" i="1"/>
  <c r="X228" i="1"/>
  <c r="X229" i="1"/>
  <c r="X230" i="1"/>
  <c r="X231" i="1"/>
  <c r="X698" i="1"/>
  <c r="X232" i="1"/>
  <c r="X699" i="1"/>
  <c r="X700" i="1"/>
  <c r="X233" i="1"/>
  <c r="X701" i="1"/>
  <c r="X234" i="1"/>
  <c r="X702" i="1"/>
  <c r="X235" i="1"/>
  <c r="X236" i="1"/>
  <c r="X703" i="1"/>
  <c r="X704" i="1"/>
  <c r="X237" i="1"/>
  <c r="X705" i="1"/>
  <c r="X706" i="1"/>
  <c r="X707" i="1"/>
  <c r="X708" i="1"/>
  <c r="X238" i="1"/>
  <c r="X240" i="1"/>
  <c r="X241" i="1"/>
  <c r="X242" i="1"/>
  <c r="X709" i="1"/>
  <c r="X710" i="1"/>
  <c r="X711" i="1"/>
  <c r="X243" i="1"/>
  <c r="X244" i="1"/>
  <c r="X245" i="1"/>
  <c r="X246" i="1"/>
  <c r="X712" i="1"/>
  <c r="X713" i="1"/>
  <c r="X247" i="1"/>
  <c r="X248" i="1"/>
  <c r="X714" i="1"/>
  <c r="X715" i="1"/>
  <c r="X249" i="1"/>
  <c r="X250" i="1"/>
  <c r="X716" i="1"/>
  <c r="X251" i="1"/>
  <c r="X717" i="1"/>
  <c r="X252" i="1"/>
  <c r="X718" i="1"/>
  <c r="X719" i="1"/>
  <c r="X253" i="1"/>
  <c r="X254" i="1"/>
  <c r="X720" i="1"/>
  <c r="X255" i="1"/>
  <c r="X256" i="1"/>
  <c r="X721" i="1"/>
  <c r="X722" i="1"/>
  <c r="X257" i="1"/>
  <c r="X258" i="1"/>
  <c r="X259" i="1"/>
  <c r="X260" i="1"/>
  <c r="X261" i="1"/>
  <c r="X723" i="1"/>
  <c r="X724" i="1"/>
  <c r="X262" i="1"/>
  <c r="X725" i="1"/>
  <c r="X726" i="1"/>
  <c r="X263" i="1"/>
  <c r="X264" i="1"/>
  <c r="X265" i="1"/>
  <c r="X727" i="1"/>
  <c r="X266" i="1"/>
  <c r="X267" i="1"/>
  <c r="X268" i="1"/>
  <c r="X269" i="1"/>
  <c r="X270" i="1"/>
  <c r="X271" i="1"/>
  <c r="X728" i="1"/>
  <c r="X272" i="1"/>
  <c r="X729" i="1"/>
  <c r="X273" i="1"/>
  <c r="X274" i="1"/>
  <c r="X730" i="1"/>
  <c r="X731" i="1"/>
  <c r="X275" i="1"/>
  <c r="X276" i="1"/>
  <c r="X277" i="1"/>
  <c r="X732" i="1"/>
  <c r="X733" i="1"/>
  <c r="X734" i="1"/>
  <c r="X278" i="1"/>
  <c r="X279" i="1"/>
  <c r="X280" i="1"/>
  <c r="X735" i="1"/>
  <c r="X736" i="1"/>
  <c r="X737" i="1"/>
  <c r="X281" i="1"/>
  <c r="X282" i="1"/>
  <c r="X738" i="1"/>
  <c r="X283" i="1"/>
  <c r="X739" i="1"/>
  <c r="X284" i="1"/>
  <c r="X285" i="1"/>
  <c r="X286" i="1"/>
  <c r="X287" i="1"/>
  <c r="X289" i="1"/>
  <c r="X740" i="1"/>
  <c r="X290" i="1"/>
  <c r="X291" i="1"/>
  <c r="X741" i="1"/>
  <c r="X292" i="1"/>
  <c r="X742" i="1"/>
  <c r="X293" i="1"/>
  <c r="X294" i="1"/>
  <c r="X743" i="1"/>
  <c r="X744" i="1"/>
  <c r="X295" i="1"/>
  <c r="X745" i="1"/>
  <c r="X296" i="1"/>
  <c r="X746" i="1"/>
  <c r="X747" i="1"/>
  <c r="X748" i="1"/>
  <c r="X297" i="1"/>
  <c r="X749" i="1"/>
  <c r="X750" i="1"/>
  <c r="X298" i="1"/>
  <c r="X299" i="1"/>
  <c r="X300" i="1"/>
  <c r="X751" i="1"/>
  <c r="X752" i="1"/>
  <c r="X301" i="1"/>
  <c r="X302" i="1"/>
  <c r="X753" i="1"/>
  <c r="X303" i="1"/>
  <c r="X754" i="1"/>
  <c r="X304" i="1"/>
  <c r="X755" i="1"/>
  <c r="X305" i="1"/>
  <c r="X756" i="1"/>
  <c r="X306" i="1"/>
  <c r="X307" i="1"/>
  <c r="X757" i="1"/>
  <c r="X308" i="1"/>
  <c r="X758" i="1"/>
  <c r="X309" i="1"/>
  <c r="X310" i="1"/>
  <c r="X759" i="1"/>
  <c r="X311" i="1"/>
  <c r="X760" i="1"/>
  <c r="X312" i="1"/>
  <c r="X313" i="1"/>
  <c r="X761" i="1"/>
  <c r="X314" i="1"/>
  <c r="X315" i="1"/>
  <c r="X763" i="1"/>
  <c r="X764" i="1"/>
  <c r="X316" i="1"/>
  <c r="X765" i="1"/>
  <c r="X317" i="1"/>
  <c r="X318" i="1"/>
  <c r="X766" i="1"/>
  <c r="X767" i="1"/>
  <c r="X319" i="1"/>
  <c r="X768" i="1"/>
  <c r="X320" i="1"/>
  <c r="X321" i="1"/>
  <c r="X322" i="1"/>
  <c r="X769" i="1"/>
  <c r="X323" i="1"/>
  <c r="X324" i="1"/>
  <c r="X325" i="1"/>
  <c r="X770" i="1"/>
  <c r="X771" i="1"/>
  <c r="X772" i="1"/>
  <c r="X326" i="1"/>
  <c r="X774" i="1"/>
  <c r="X327" i="1"/>
  <c r="X775" i="1"/>
  <c r="X328" i="1"/>
  <c r="X776" i="1"/>
  <c r="X329" i="1"/>
  <c r="X330" i="1"/>
  <c r="X777" i="1"/>
  <c r="X778" i="1"/>
  <c r="X331" i="1"/>
  <c r="X332" i="1"/>
  <c r="X333" i="1"/>
  <c r="X779" i="1"/>
  <c r="X780" i="1"/>
  <c r="X781" i="1"/>
  <c r="X782" i="1"/>
  <c r="X334" i="1"/>
  <c r="X335" i="1"/>
  <c r="X336" i="1"/>
  <c r="X337" i="1"/>
  <c r="X783" i="1"/>
  <c r="X338" i="1"/>
  <c r="X784" i="1"/>
  <c r="X339" i="1"/>
  <c r="X785" i="1"/>
  <c r="X340" i="1"/>
  <c r="X342" i="1"/>
  <c r="X786" i="1"/>
  <c r="X343" i="1"/>
  <c r="X344" i="1"/>
  <c r="X787" i="1"/>
  <c r="X788" i="1"/>
  <c r="X789" i="1"/>
  <c r="X790" i="1"/>
  <c r="X791" i="1"/>
  <c r="X345" i="1"/>
  <c r="X792" i="1"/>
  <c r="X346" i="1"/>
  <c r="X793" i="1"/>
  <c r="X794" i="1"/>
  <c r="X347" i="1"/>
  <c r="X348" i="1"/>
  <c r="X349" i="1"/>
  <c r="X350" i="1"/>
  <c r="X351" i="1"/>
  <c r="X352" i="1"/>
  <c r="X353" i="1"/>
  <c r="X354" i="1"/>
  <c r="X355" i="1"/>
  <c r="X795" i="1"/>
  <c r="X356" i="1"/>
  <c r="X357" i="1"/>
  <c r="X358" i="1"/>
  <c r="X796" i="1"/>
  <c r="X797" i="1"/>
  <c r="X798" i="1"/>
  <c r="X799" i="1"/>
  <c r="X359" i="1"/>
  <c r="X360" i="1"/>
  <c r="X800" i="1"/>
  <c r="X802" i="1"/>
  <c r="X803" i="1"/>
  <c r="X361" i="1"/>
  <c r="X362" i="1"/>
  <c r="X363" i="1"/>
  <c r="X364" i="1"/>
  <c r="X365" i="1"/>
  <c r="X804" i="1"/>
  <c r="X805" i="1"/>
  <c r="X366" i="1"/>
  <c r="X367" i="1"/>
  <c r="X806" i="1"/>
  <c r="X368" i="1"/>
  <c r="X369" i="1"/>
  <c r="X807" i="1"/>
  <c r="X370" i="1"/>
  <c r="X808" i="1"/>
  <c r="X371" i="1"/>
  <c r="X809" i="1"/>
  <c r="X810" i="1"/>
  <c r="X811" i="1"/>
  <c r="X812" i="1"/>
  <c r="X813" i="1"/>
  <c r="X372" i="1"/>
  <c r="X814" i="1"/>
  <c r="X815" i="1"/>
  <c r="X816" i="1"/>
  <c r="X817" i="1"/>
  <c r="X373" i="1"/>
  <c r="X374" i="1"/>
  <c r="X375" i="1"/>
  <c r="X376" i="1"/>
  <c r="X818" i="1"/>
  <c r="X377" i="1"/>
  <c r="X819" i="1"/>
  <c r="X378" i="1"/>
  <c r="X379" i="1"/>
  <c r="X820" i="1"/>
  <c r="X380" i="1"/>
  <c r="X381" i="1"/>
  <c r="X821" i="1"/>
  <c r="X382" i="1"/>
  <c r="X822" i="1"/>
  <c r="X823" i="1"/>
  <c r="X383" i="1"/>
  <c r="X384" i="1"/>
  <c r="X825" i="1"/>
  <c r="X385" i="1"/>
  <c r="X386" i="1"/>
  <c r="X826" i="1"/>
  <c r="X827" i="1"/>
  <c r="X828" i="1"/>
  <c r="X829" i="1"/>
  <c r="X387" i="1"/>
  <c r="X830" i="1"/>
  <c r="X831" i="1"/>
  <c r="X388" i="1"/>
  <c r="X389" i="1"/>
  <c r="X390" i="1"/>
  <c r="X832" i="1"/>
  <c r="X833" i="1"/>
  <c r="X834" i="1"/>
  <c r="X391" i="1"/>
  <c r="X836" i="1"/>
  <c r="X837" i="1"/>
  <c r="X392" i="1"/>
  <c r="X393" i="1"/>
  <c r="X394" i="1"/>
  <c r="X395" i="1"/>
  <c r="X838" i="1"/>
  <c r="X396" i="1"/>
  <c r="X397" i="1"/>
  <c r="X399" i="1"/>
  <c r="X400" i="1"/>
  <c r="X839" i="1"/>
  <c r="X840" i="1"/>
  <c r="X841" i="1"/>
  <c r="X401" i="1"/>
  <c r="X842" i="1"/>
  <c r="X402" i="1"/>
  <c r="X843" i="1"/>
  <c r="X844" i="1"/>
  <c r="X845" i="1"/>
  <c r="X846" i="1"/>
  <c r="X847" i="1"/>
  <c r="X404" i="1"/>
  <c r="X848" i="1"/>
  <c r="X405" i="1"/>
  <c r="X850" i="1"/>
  <c r="X406" i="1"/>
  <c r="X851" i="1"/>
  <c r="X407" i="1"/>
  <c r="X852" i="1"/>
  <c r="X408" i="1"/>
  <c r="X409" i="1"/>
  <c r="X410" i="1"/>
  <c r="X853" i="1"/>
  <c r="X855" i="1"/>
  <c r="X411" i="1"/>
  <c r="X412" i="1"/>
  <c r="X413" i="1"/>
  <c r="X414" i="1"/>
  <c r="X415" i="1"/>
  <c r="X416" i="1"/>
  <c r="X417" i="1"/>
  <c r="X856" i="1"/>
  <c r="X418" i="1"/>
  <c r="X419" i="1"/>
  <c r="X857" i="1"/>
  <c r="X420" i="1"/>
  <c r="X858" i="1"/>
  <c r="X859" i="1"/>
  <c r="X421" i="1"/>
  <c r="X860" i="1"/>
  <c r="X422" i="1"/>
  <c r="X423" i="1"/>
  <c r="X424" i="1"/>
  <c r="X861" i="1"/>
  <c r="X862" i="1"/>
  <c r="X425" i="1"/>
  <c r="X426" i="1"/>
  <c r="X863" i="1"/>
  <c r="X864" i="1"/>
  <c r="X427" i="1"/>
  <c r="X865" i="1"/>
  <c r="X428" i="1"/>
  <c r="X429" i="1"/>
  <c r="X430" i="1"/>
  <c r="X866" i="1"/>
  <c r="X431" i="1"/>
  <c r="X867" i="1"/>
  <c r="X868" i="1"/>
  <c r="X869" i="1"/>
  <c r="X432" i="1"/>
  <c r="X433" i="1"/>
  <c r="X870" i="1"/>
  <c r="X434" i="1"/>
  <c r="X435" i="1"/>
  <c r="X436" i="1"/>
  <c r="X871" i="1"/>
  <c r="X872" i="1"/>
  <c r="X873" i="1"/>
  <c r="X437" i="1"/>
  <c r="X874" i="1"/>
  <c r="X438" i="1"/>
  <c r="X439" i="1"/>
  <c r="X440" i="1"/>
  <c r="X441" i="1"/>
  <c r="X442" i="1"/>
  <c r="X875" i="1"/>
  <c r="X443" i="1"/>
  <c r="X876" i="1"/>
  <c r="X444" i="1"/>
  <c r="X877" i="1"/>
  <c r="X445" i="1"/>
  <c r="X446" i="1"/>
  <c r="X878" i="1"/>
  <c r="X447" i="1"/>
  <c r="X448" i="1"/>
  <c r="X879" i="1"/>
  <c r="X449" i="1"/>
  <c r="X880" i="1"/>
  <c r="X450" i="1"/>
  <c r="X451" i="1"/>
  <c r="X452" i="1"/>
  <c r="X881" i="1"/>
  <c r="X453" i="1"/>
  <c r="X454" i="1"/>
  <c r="X882" i="1"/>
  <c r="X883" i="1"/>
  <c r="X455" i="1"/>
  <c r="X884" i="1"/>
  <c r="X885" i="1"/>
  <c r="X456" i="1"/>
  <c r="X886" i="1"/>
  <c r="X887" i="1"/>
  <c r="X888" i="1"/>
  <c r="X457" i="1"/>
  <c r="X458" i="1"/>
  <c r="X459" i="1"/>
  <c r="X889" i="1"/>
  <c r="X890" i="1"/>
  <c r="X460" i="1"/>
  <c r="X461" i="1"/>
  <c r="X891" i="1"/>
  <c r="X462" i="1"/>
  <c r="X463" i="1"/>
  <c r="X892" i="1"/>
  <c r="X464" i="1"/>
  <c r="X465" i="1"/>
  <c r="X893" i="1"/>
  <c r="X894" i="1"/>
  <c r="X895" i="1"/>
  <c r="X896" i="1"/>
  <c r="X466" i="1"/>
  <c r="X897" i="1"/>
  <c r="X467" i="1"/>
  <c r="X898" i="1"/>
  <c r="X899" i="1"/>
  <c r="X900" i="1"/>
  <c r="X468" i="1"/>
  <c r="X469" i="1"/>
  <c r="X901" i="1"/>
  <c r="X470" i="1"/>
  <c r="X902" i="1"/>
  <c r="X903" i="1"/>
  <c r="X471" i="1"/>
  <c r="X904" i="1"/>
  <c r="X905" i="1"/>
  <c r="X472" i="1"/>
  <c r="X906" i="1"/>
  <c r="X907" i="1"/>
  <c r="X473" i="1"/>
  <c r="X474" i="1"/>
  <c r="X908" i="1"/>
  <c r="X909" i="1"/>
  <c r="X475" i="1"/>
  <c r="X477" i="1"/>
  <c r="X478" i="1"/>
  <c r="X479" i="1"/>
  <c r="X910" i="1"/>
  <c r="X911" i="1"/>
  <c r="X480" i="1"/>
  <c r="X481" i="1"/>
  <c r="X482" i="1"/>
  <c r="X483" i="1"/>
  <c r="X484" i="1"/>
  <c r="X485" i="1"/>
  <c r="X912" i="1"/>
  <c r="X913" i="1"/>
  <c r="X914" i="1"/>
  <c r="X915" i="1"/>
  <c r="X916" i="1"/>
  <c r="X917" i="1"/>
  <c r="X486" i="1"/>
  <c r="X918" i="1"/>
  <c r="X919" i="1"/>
  <c r="X920" i="1"/>
  <c r="X487" i="1"/>
  <c r="X488" i="1"/>
  <c r="X921" i="1"/>
  <c r="X922" i="1"/>
  <c r="X489" i="1"/>
  <c r="X490" i="1"/>
  <c r="X923" i="1"/>
  <c r="X491" i="1"/>
  <c r="X924" i="1"/>
  <c r="X492" i="1"/>
  <c r="X493" i="1"/>
  <c r="X925" i="1"/>
  <c r="X926" i="1"/>
  <c r="X927" i="1"/>
  <c r="X494" i="1"/>
  <c r="X928" i="1"/>
  <c r="X495" i="1"/>
  <c r="X929" i="1"/>
  <c r="X930" i="1"/>
  <c r="X496" i="1"/>
  <c r="X497" i="1"/>
  <c r="X931" i="1"/>
  <c r="X498" i="1"/>
  <c r="X499" i="1"/>
  <c r="X500" i="1"/>
  <c r="X501" i="1"/>
  <c r="X932" i="1"/>
  <c r="X502" i="1"/>
  <c r="X933" i="1"/>
  <c r="X195" i="1"/>
  <c r="X539" i="1"/>
  <c r="X680" i="1"/>
  <c r="X608" i="1"/>
  <c r="X649" i="1"/>
  <c r="X579" i="1"/>
  <c r="X239" i="1"/>
  <c r="X773" i="1"/>
  <c r="X91" i="1"/>
  <c r="X159" i="1"/>
  <c r="X79" i="1"/>
  <c r="X659" i="1"/>
  <c r="X2" i="1"/>
  <c r="W3" i="1"/>
  <c r="W4" i="1"/>
  <c r="W5" i="1"/>
  <c r="W503" i="1"/>
  <c r="W6" i="1"/>
  <c r="W504" i="1"/>
  <c r="W506" i="1"/>
  <c r="W7" i="1"/>
  <c r="W507" i="1"/>
  <c r="W508" i="1"/>
  <c r="W8" i="1"/>
  <c r="W9" i="1"/>
  <c r="W509" i="1"/>
  <c r="W10" i="1"/>
  <c r="W11" i="1"/>
  <c r="W12" i="1"/>
  <c r="W13" i="1"/>
  <c r="W510" i="1"/>
  <c r="W14" i="1"/>
  <c r="W511" i="1"/>
  <c r="W512" i="1"/>
  <c r="W513" i="1"/>
  <c r="W514" i="1"/>
  <c r="W15" i="1"/>
  <c r="W16" i="1"/>
  <c r="W17" i="1"/>
  <c r="W515" i="1"/>
  <c r="W18" i="1"/>
  <c r="W516" i="1"/>
  <c r="W19" i="1"/>
  <c r="W517" i="1"/>
  <c r="W20" i="1"/>
  <c r="W21" i="1"/>
  <c r="W518" i="1"/>
  <c r="W22" i="1"/>
  <c r="W23" i="1"/>
  <c r="W519" i="1"/>
  <c r="W24" i="1"/>
  <c r="W25" i="1"/>
  <c r="W26" i="1"/>
  <c r="W27" i="1"/>
  <c r="W520" i="1"/>
  <c r="W28" i="1"/>
  <c r="W29" i="1"/>
  <c r="W30" i="1"/>
  <c r="W31" i="1"/>
  <c r="W32" i="1"/>
  <c r="W521" i="1"/>
  <c r="W33" i="1"/>
  <c r="W522" i="1"/>
  <c r="W34" i="1"/>
  <c r="W35" i="1"/>
  <c r="W523" i="1"/>
  <c r="W524" i="1"/>
  <c r="W525" i="1"/>
  <c r="W526" i="1"/>
  <c r="W36" i="1"/>
  <c r="W37" i="1"/>
  <c r="W38" i="1"/>
  <c r="W39" i="1"/>
  <c r="W40" i="1"/>
  <c r="W41" i="1"/>
  <c r="W42" i="1"/>
  <c r="W43" i="1"/>
  <c r="W44" i="1"/>
  <c r="W527" i="1"/>
  <c r="W528" i="1"/>
  <c r="W45" i="1"/>
  <c r="W46" i="1"/>
  <c r="W529" i="1"/>
  <c r="W530" i="1"/>
  <c r="W47" i="1"/>
  <c r="W531" i="1"/>
  <c r="W532" i="1"/>
  <c r="W533" i="1"/>
  <c r="W48" i="1"/>
  <c r="W534" i="1"/>
  <c r="W535" i="1"/>
  <c r="W536" i="1"/>
  <c r="W49" i="1"/>
  <c r="W537" i="1"/>
  <c r="W50" i="1"/>
  <c r="W51" i="1"/>
  <c r="W52" i="1"/>
  <c r="W53" i="1"/>
  <c r="W54" i="1"/>
  <c r="W55" i="1"/>
  <c r="W56" i="1"/>
  <c r="W57" i="1"/>
  <c r="W538" i="1"/>
  <c r="W540" i="1"/>
  <c r="W541" i="1"/>
  <c r="W58" i="1"/>
  <c r="W59" i="1"/>
  <c r="W542" i="1"/>
  <c r="W60" i="1"/>
  <c r="W543" i="1"/>
  <c r="W61" i="1"/>
  <c r="W544" i="1"/>
  <c r="W545" i="1"/>
  <c r="W62" i="1"/>
  <c r="W546" i="1"/>
  <c r="W547" i="1"/>
  <c r="W548" i="1"/>
  <c r="W63" i="1"/>
  <c r="W64" i="1"/>
  <c r="W65" i="1"/>
  <c r="W66" i="1"/>
  <c r="W549" i="1"/>
  <c r="W67" i="1"/>
  <c r="W550" i="1"/>
  <c r="W68" i="1"/>
  <c r="W69" i="1"/>
  <c r="W70" i="1"/>
  <c r="W71" i="1"/>
  <c r="W551" i="1"/>
  <c r="W72" i="1"/>
  <c r="W73" i="1"/>
  <c r="W74" i="1"/>
  <c r="W75" i="1"/>
  <c r="W552" i="1"/>
  <c r="W76" i="1"/>
  <c r="W77" i="1"/>
  <c r="W80" i="1"/>
  <c r="W553" i="1"/>
  <c r="W554" i="1"/>
  <c r="W555" i="1"/>
  <c r="W81" i="1"/>
  <c r="W82" i="1"/>
  <c r="W83" i="1"/>
  <c r="W557" i="1"/>
  <c r="W84" i="1"/>
  <c r="W85" i="1"/>
  <c r="W558" i="1"/>
  <c r="W559" i="1"/>
  <c r="W560" i="1"/>
  <c r="W561" i="1"/>
  <c r="W87" i="1"/>
  <c r="W562" i="1"/>
  <c r="W88" i="1"/>
  <c r="W89" i="1"/>
  <c r="W90" i="1"/>
  <c r="W92" i="1"/>
  <c r="W93" i="1"/>
  <c r="W563" i="1"/>
  <c r="W564" i="1"/>
  <c r="W94" i="1"/>
  <c r="W565" i="1"/>
  <c r="W95" i="1"/>
  <c r="W96" i="1"/>
  <c r="W97" i="1"/>
  <c r="W98" i="1"/>
  <c r="W566" i="1"/>
  <c r="W99" i="1"/>
  <c r="W567" i="1"/>
  <c r="W568" i="1"/>
  <c r="W100" i="1"/>
  <c r="W101" i="1"/>
  <c r="W569" i="1"/>
  <c r="W570" i="1"/>
  <c r="W571" i="1"/>
  <c r="W102" i="1"/>
  <c r="W572" i="1"/>
  <c r="W573" i="1"/>
  <c r="W103" i="1"/>
  <c r="W574" i="1"/>
  <c r="W575" i="1"/>
  <c r="W576" i="1"/>
  <c r="W577" i="1"/>
  <c r="W578" i="1"/>
  <c r="W580" i="1"/>
  <c r="W581" i="1"/>
  <c r="W104" i="1"/>
  <c r="W582" i="1"/>
  <c r="W105" i="1"/>
  <c r="W583" i="1"/>
  <c r="W106" i="1"/>
  <c r="W107" i="1"/>
  <c r="W108" i="1"/>
  <c r="W109" i="1"/>
  <c r="W584" i="1"/>
  <c r="W110" i="1"/>
  <c r="W585" i="1"/>
  <c r="W111" i="1"/>
  <c r="W112" i="1"/>
  <c r="W113" i="1"/>
  <c r="W586" i="1"/>
  <c r="W587" i="1"/>
  <c r="W588" i="1"/>
  <c r="W589" i="1"/>
  <c r="W114" i="1"/>
  <c r="W115" i="1"/>
  <c r="W116" i="1"/>
  <c r="W590" i="1"/>
  <c r="W591" i="1"/>
  <c r="W117" i="1"/>
  <c r="W592" i="1"/>
  <c r="W118" i="1"/>
  <c r="W119" i="1"/>
  <c r="W593" i="1"/>
  <c r="W594" i="1"/>
  <c r="W595" i="1"/>
  <c r="W120" i="1"/>
  <c r="W596" i="1"/>
  <c r="W597" i="1"/>
  <c r="W598" i="1"/>
  <c r="W121" i="1"/>
  <c r="W599" i="1"/>
  <c r="W600" i="1"/>
  <c r="W122" i="1"/>
  <c r="W123" i="1"/>
  <c r="W124" i="1"/>
  <c r="W125" i="1"/>
  <c r="W126" i="1"/>
  <c r="W127" i="1"/>
  <c r="W601" i="1"/>
  <c r="W602" i="1"/>
  <c r="W603" i="1"/>
  <c r="W128" i="1"/>
  <c r="W129" i="1"/>
  <c r="W604" i="1"/>
  <c r="W605" i="1"/>
  <c r="W606" i="1"/>
  <c r="W607" i="1"/>
  <c r="W130" i="1"/>
  <c r="W609" i="1"/>
  <c r="W131" i="1"/>
  <c r="W132" i="1"/>
  <c r="W610" i="1"/>
  <c r="W133" i="1"/>
  <c r="W134" i="1"/>
  <c r="W611" i="1"/>
  <c r="W135" i="1"/>
  <c r="W136" i="1"/>
  <c r="W137" i="1"/>
  <c r="W138" i="1"/>
  <c r="W139" i="1"/>
  <c r="W140" i="1"/>
  <c r="W141" i="1"/>
  <c r="W142" i="1"/>
  <c r="W612" i="1"/>
  <c r="W613" i="1"/>
  <c r="W614" i="1"/>
  <c r="W143" i="1"/>
  <c r="W144" i="1"/>
  <c r="W145" i="1"/>
  <c r="W146" i="1"/>
  <c r="W147" i="1"/>
  <c r="W615" i="1"/>
  <c r="W148" i="1"/>
  <c r="W616" i="1"/>
  <c r="W617" i="1"/>
  <c r="W150" i="1"/>
  <c r="W618" i="1"/>
  <c r="W619" i="1"/>
  <c r="W151" i="1"/>
  <c r="W620" i="1"/>
  <c r="W152" i="1"/>
  <c r="W153" i="1"/>
  <c r="W621" i="1"/>
  <c r="W622" i="1"/>
  <c r="W623" i="1"/>
  <c r="W624" i="1"/>
  <c r="W154" i="1"/>
  <c r="W155" i="1"/>
  <c r="W625" i="1"/>
  <c r="W626" i="1"/>
  <c r="W627" i="1"/>
  <c r="W628" i="1"/>
  <c r="W156" i="1"/>
  <c r="W157" i="1"/>
  <c r="W158" i="1"/>
  <c r="W629" i="1"/>
  <c r="W160" i="1"/>
  <c r="W161" i="1"/>
  <c r="W162" i="1"/>
  <c r="W630" i="1"/>
  <c r="W631" i="1"/>
  <c r="W164" i="1"/>
  <c r="W165" i="1"/>
  <c r="W632" i="1"/>
  <c r="W167" i="1"/>
  <c r="W633" i="1"/>
  <c r="W168" i="1"/>
  <c r="W634" i="1"/>
  <c r="W169" i="1"/>
  <c r="W170" i="1"/>
  <c r="W171" i="1"/>
  <c r="W635" i="1"/>
  <c r="W636" i="1"/>
  <c r="W172" i="1"/>
  <c r="W637" i="1"/>
  <c r="W173" i="1"/>
  <c r="W638" i="1"/>
  <c r="W639" i="1"/>
  <c r="W640" i="1"/>
  <c r="W174" i="1"/>
  <c r="W641" i="1"/>
  <c r="W175" i="1"/>
  <c r="W176" i="1"/>
  <c r="W642" i="1"/>
  <c r="W643" i="1"/>
  <c r="W177" i="1"/>
  <c r="W178" i="1"/>
  <c r="W179" i="1"/>
  <c r="W644" i="1"/>
  <c r="W645" i="1"/>
  <c r="W646" i="1"/>
  <c r="W180" i="1"/>
  <c r="W181" i="1"/>
  <c r="W182" i="1"/>
  <c r="W183" i="1"/>
  <c r="W647" i="1"/>
  <c r="W648" i="1"/>
  <c r="W184" i="1"/>
  <c r="W185" i="1"/>
  <c r="W650" i="1"/>
  <c r="W186" i="1"/>
  <c r="W187" i="1"/>
  <c r="W188" i="1"/>
  <c r="W189" i="1"/>
  <c r="W190" i="1"/>
  <c r="W191" i="1"/>
  <c r="W651" i="1"/>
  <c r="W652" i="1"/>
  <c r="W653" i="1"/>
  <c r="W192" i="1"/>
  <c r="W654" i="1"/>
  <c r="W655" i="1"/>
  <c r="W193" i="1"/>
  <c r="W194" i="1"/>
  <c r="W656" i="1"/>
  <c r="W657" i="1"/>
  <c r="W196" i="1"/>
  <c r="W658" i="1"/>
  <c r="W197" i="1"/>
  <c r="W198" i="1"/>
  <c r="W199" i="1"/>
  <c r="W660" i="1"/>
  <c r="W200" i="1"/>
  <c r="W661" i="1"/>
  <c r="W662" i="1"/>
  <c r="W663" i="1"/>
  <c r="W201" i="1"/>
  <c r="W202" i="1"/>
  <c r="W664" i="1"/>
  <c r="W203" i="1"/>
  <c r="W204" i="1"/>
  <c r="W665" i="1"/>
  <c r="W205" i="1"/>
  <c r="W666" i="1"/>
  <c r="W667" i="1"/>
  <c r="W668" i="1"/>
  <c r="W206" i="1"/>
  <c r="W207" i="1"/>
  <c r="W669" i="1"/>
  <c r="W670" i="1"/>
  <c r="W671" i="1"/>
  <c r="W208" i="1"/>
  <c r="W209" i="1"/>
  <c r="W672" i="1"/>
  <c r="W210" i="1"/>
  <c r="W673" i="1"/>
  <c r="W674" i="1"/>
  <c r="W211" i="1"/>
  <c r="W675" i="1"/>
  <c r="W212" i="1"/>
  <c r="W676" i="1"/>
  <c r="W677" i="1"/>
  <c r="W213" i="1"/>
  <c r="W214" i="1"/>
  <c r="W678" i="1"/>
  <c r="W679" i="1"/>
  <c r="W681" i="1"/>
  <c r="W215" i="1"/>
  <c r="W216" i="1"/>
  <c r="W682" i="1"/>
  <c r="W684" i="1"/>
  <c r="W217" i="1"/>
  <c r="W218" i="1"/>
  <c r="W685" i="1"/>
  <c r="W686" i="1"/>
  <c r="W687" i="1"/>
  <c r="W219" i="1"/>
  <c r="W688" i="1"/>
  <c r="W689" i="1"/>
  <c r="W690" i="1"/>
  <c r="W220" i="1"/>
  <c r="W221" i="1"/>
  <c r="W222" i="1"/>
  <c r="W691" i="1"/>
  <c r="W223" i="1"/>
  <c r="W224" i="1"/>
  <c r="W225" i="1"/>
  <c r="W226" i="1"/>
  <c r="W692" i="1"/>
  <c r="W693" i="1"/>
  <c r="W227" i="1"/>
  <c r="W694" i="1"/>
  <c r="W696" i="1"/>
  <c r="W697" i="1"/>
  <c r="W228" i="1"/>
  <c r="W229" i="1"/>
  <c r="W230" i="1"/>
  <c r="W231" i="1"/>
  <c r="W698" i="1"/>
  <c r="W232" i="1"/>
  <c r="W699" i="1"/>
  <c r="W700" i="1"/>
  <c r="W233" i="1"/>
  <c r="W701" i="1"/>
  <c r="W234" i="1"/>
  <c r="W702" i="1"/>
  <c r="W235" i="1"/>
  <c r="W236" i="1"/>
  <c r="W703" i="1"/>
  <c r="W704" i="1"/>
  <c r="W237" i="1"/>
  <c r="W705" i="1"/>
  <c r="W706" i="1"/>
  <c r="W707" i="1"/>
  <c r="W708" i="1"/>
  <c r="W238" i="1"/>
  <c r="W240" i="1"/>
  <c r="W241" i="1"/>
  <c r="W242" i="1"/>
  <c r="W709" i="1"/>
  <c r="W710" i="1"/>
  <c r="W711" i="1"/>
  <c r="W243" i="1"/>
  <c r="W244" i="1"/>
  <c r="W245" i="1"/>
  <c r="W246" i="1"/>
  <c r="W712" i="1"/>
  <c r="W713" i="1"/>
  <c r="W247" i="1"/>
  <c r="W248" i="1"/>
  <c r="W714" i="1"/>
  <c r="W715" i="1"/>
  <c r="W249" i="1"/>
  <c r="W250" i="1"/>
  <c r="W716" i="1"/>
  <c r="W251" i="1"/>
  <c r="W717" i="1"/>
  <c r="W252" i="1"/>
  <c r="W718" i="1"/>
  <c r="W719" i="1"/>
  <c r="W253" i="1"/>
  <c r="W254" i="1"/>
  <c r="W720" i="1"/>
  <c r="W255" i="1"/>
  <c r="W256" i="1"/>
  <c r="W721" i="1"/>
  <c r="W722" i="1"/>
  <c r="W257" i="1"/>
  <c r="W258" i="1"/>
  <c r="W259" i="1"/>
  <c r="W260" i="1"/>
  <c r="W261" i="1"/>
  <c r="W723" i="1"/>
  <c r="W724" i="1"/>
  <c r="W262" i="1"/>
  <c r="W725" i="1"/>
  <c r="W726" i="1"/>
  <c r="W263" i="1"/>
  <c r="W264" i="1"/>
  <c r="W265" i="1"/>
  <c r="W727" i="1"/>
  <c r="W266" i="1"/>
  <c r="W267" i="1"/>
  <c r="W268" i="1"/>
  <c r="W269" i="1"/>
  <c r="W270" i="1"/>
  <c r="W271" i="1"/>
  <c r="W728" i="1"/>
  <c r="W272" i="1"/>
  <c r="W729" i="1"/>
  <c r="W273" i="1"/>
  <c r="W274" i="1"/>
  <c r="W730" i="1"/>
  <c r="W731" i="1"/>
  <c r="W275" i="1"/>
  <c r="W276" i="1"/>
  <c r="W277" i="1"/>
  <c r="W732" i="1"/>
  <c r="W733" i="1"/>
  <c r="W734" i="1"/>
  <c r="W278" i="1"/>
  <c r="W279" i="1"/>
  <c r="W280" i="1"/>
  <c r="W735" i="1"/>
  <c r="W736" i="1"/>
  <c r="W737" i="1"/>
  <c r="W281" i="1"/>
  <c r="W282" i="1"/>
  <c r="W738" i="1"/>
  <c r="W283" i="1"/>
  <c r="W739" i="1"/>
  <c r="W284" i="1"/>
  <c r="W285" i="1"/>
  <c r="W286" i="1"/>
  <c r="W287" i="1"/>
  <c r="W289" i="1"/>
  <c r="W740" i="1"/>
  <c r="W290" i="1"/>
  <c r="W291" i="1"/>
  <c r="W741" i="1"/>
  <c r="W292" i="1"/>
  <c r="W742" i="1"/>
  <c r="W293" i="1"/>
  <c r="W294" i="1"/>
  <c r="W743" i="1"/>
  <c r="W744" i="1"/>
  <c r="W295" i="1"/>
  <c r="W745" i="1"/>
  <c r="W296" i="1"/>
  <c r="W746" i="1"/>
  <c r="W747" i="1"/>
  <c r="W748" i="1"/>
  <c r="W297" i="1"/>
  <c r="W749" i="1"/>
  <c r="W750" i="1"/>
  <c r="W298" i="1"/>
  <c r="W299" i="1"/>
  <c r="W300" i="1"/>
  <c r="W751" i="1"/>
  <c r="W752" i="1"/>
  <c r="W301" i="1"/>
  <c r="W302" i="1"/>
  <c r="W753" i="1"/>
  <c r="W303" i="1"/>
  <c r="W754" i="1"/>
  <c r="W304" i="1"/>
  <c r="W755" i="1"/>
  <c r="W305" i="1"/>
  <c r="W756" i="1"/>
  <c r="W306" i="1"/>
  <c r="W307" i="1"/>
  <c r="W757" i="1"/>
  <c r="W308" i="1"/>
  <c r="W758" i="1"/>
  <c r="W309" i="1"/>
  <c r="W310" i="1"/>
  <c r="W759" i="1"/>
  <c r="W311" i="1"/>
  <c r="W760" i="1"/>
  <c r="W312" i="1"/>
  <c r="W313" i="1"/>
  <c r="W761" i="1"/>
  <c r="W314" i="1"/>
  <c r="W315" i="1"/>
  <c r="W763" i="1"/>
  <c r="W764" i="1"/>
  <c r="W316" i="1"/>
  <c r="W765" i="1"/>
  <c r="W317" i="1"/>
  <c r="W318" i="1"/>
  <c r="W766" i="1"/>
  <c r="W767" i="1"/>
  <c r="W319" i="1"/>
  <c r="W768" i="1"/>
  <c r="W320" i="1"/>
  <c r="W321" i="1"/>
  <c r="W322" i="1"/>
  <c r="W769" i="1"/>
  <c r="W323" i="1"/>
  <c r="W324" i="1"/>
  <c r="W325" i="1"/>
  <c r="W770" i="1"/>
  <c r="W771" i="1"/>
  <c r="W772" i="1"/>
  <c r="W326" i="1"/>
  <c r="W774" i="1"/>
  <c r="W327" i="1"/>
  <c r="W775" i="1"/>
  <c r="W328" i="1"/>
  <c r="W776" i="1"/>
  <c r="W329" i="1"/>
  <c r="W330" i="1"/>
  <c r="W777" i="1"/>
  <c r="W778" i="1"/>
  <c r="W331" i="1"/>
  <c r="W332" i="1"/>
  <c r="W333" i="1"/>
  <c r="W779" i="1"/>
  <c r="W780" i="1"/>
  <c r="W781" i="1"/>
  <c r="W782" i="1"/>
  <c r="W334" i="1"/>
  <c r="W335" i="1"/>
  <c r="W336" i="1"/>
  <c r="W337" i="1"/>
  <c r="W783" i="1"/>
  <c r="W338" i="1"/>
  <c r="W784" i="1"/>
  <c r="W339" i="1"/>
  <c r="W785" i="1"/>
  <c r="W340" i="1"/>
  <c r="W342" i="1"/>
  <c r="W786" i="1"/>
  <c r="W343" i="1"/>
  <c r="W344" i="1"/>
  <c r="W787" i="1"/>
  <c r="W788" i="1"/>
  <c r="W789" i="1"/>
  <c r="W790" i="1"/>
  <c r="W791" i="1"/>
  <c r="W345" i="1"/>
  <c r="W792" i="1"/>
  <c r="W346" i="1"/>
  <c r="W793" i="1"/>
  <c r="W794" i="1"/>
  <c r="W347" i="1"/>
  <c r="W348" i="1"/>
  <c r="W349" i="1"/>
  <c r="W350" i="1"/>
  <c r="W351" i="1"/>
  <c r="W352" i="1"/>
  <c r="W353" i="1"/>
  <c r="W354" i="1"/>
  <c r="W355" i="1"/>
  <c r="W795" i="1"/>
  <c r="W356" i="1"/>
  <c r="W357" i="1"/>
  <c r="W358" i="1"/>
  <c r="W796" i="1"/>
  <c r="W797" i="1"/>
  <c r="W798" i="1"/>
  <c r="W799" i="1"/>
  <c r="W359" i="1"/>
  <c r="W360" i="1"/>
  <c r="W800" i="1"/>
  <c r="W802" i="1"/>
  <c r="W803" i="1"/>
  <c r="W361" i="1"/>
  <c r="W362" i="1"/>
  <c r="W363" i="1"/>
  <c r="W364" i="1"/>
  <c r="W365" i="1"/>
  <c r="W804" i="1"/>
  <c r="W805" i="1"/>
  <c r="W366" i="1"/>
  <c r="W367" i="1"/>
  <c r="W806" i="1"/>
  <c r="W368" i="1"/>
  <c r="W369" i="1"/>
  <c r="W807" i="1"/>
  <c r="W370" i="1"/>
  <c r="W808" i="1"/>
  <c r="W371" i="1"/>
  <c r="W809" i="1"/>
  <c r="W810" i="1"/>
  <c r="W811" i="1"/>
  <c r="W812" i="1"/>
  <c r="W813" i="1"/>
  <c r="W372" i="1"/>
  <c r="W814" i="1"/>
  <c r="W815" i="1"/>
  <c r="W816" i="1"/>
  <c r="W817" i="1"/>
  <c r="W373" i="1"/>
  <c r="W374" i="1"/>
  <c r="W375" i="1"/>
  <c r="W376" i="1"/>
  <c r="W818" i="1"/>
  <c r="W377" i="1"/>
  <c r="W819" i="1"/>
  <c r="W378" i="1"/>
  <c r="W379" i="1"/>
  <c r="W820" i="1"/>
  <c r="W380" i="1"/>
  <c r="W381" i="1"/>
  <c r="W821" i="1"/>
  <c r="W382" i="1"/>
  <c r="W822" i="1"/>
  <c r="W823" i="1"/>
  <c r="W383" i="1"/>
  <c r="W384" i="1"/>
  <c r="W825" i="1"/>
  <c r="W385" i="1"/>
  <c r="W386" i="1"/>
  <c r="W826" i="1"/>
  <c r="W827" i="1"/>
  <c r="W828" i="1"/>
  <c r="W829" i="1"/>
  <c r="W387" i="1"/>
  <c r="W830" i="1"/>
  <c r="W831" i="1"/>
  <c r="W388" i="1"/>
  <c r="W389" i="1"/>
  <c r="W390" i="1"/>
  <c r="W832" i="1"/>
  <c r="W833" i="1"/>
  <c r="W834" i="1"/>
  <c r="W391" i="1"/>
  <c r="W836" i="1"/>
  <c r="W837" i="1"/>
  <c r="W392" i="1"/>
  <c r="W393" i="1"/>
  <c r="W394" i="1"/>
  <c r="W395" i="1"/>
  <c r="W838" i="1"/>
  <c r="W396" i="1"/>
  <c r="W397" i="1"/>
  <c r="W399" i="1"/>
  <c r="W400" i="1"/>
  <c r="W839" i="1"/>
  <c r="W840" i="1"/>
  <c r="W841" i="1"/>
  <c r="W401" i="1"/>
  <c r="W842" i="1"/>
  <c r="W402" i="1"/>
  <c r="W843" i="1"/>
  <c r="W844" i="1"/>
  <c r="W845" i="1"/>
  <c r="W846" i="1"/>
  <c r="W847" i="1"/>
  <c r="W404" i="1"/>
  <c r="W848" i="1"/>
  <c r="W405" i="1"/>
  <c r="W850" i="1"/>
  <c r="W406" i="1"/>
  <c r="W851" i="1"/>
  <c r="W407" i="1"/>
  <c r="W852" i="1"/>
  <c r="W408" i="1"/>
  <c r="W409" i="1"/>
  <c r="W410" i="1"/>
  <c r="W853" i="1"/>
  <c r="W855" i="1"/>
  <c r="W411" i="1"/>
  <c r="W412" i="1"/>
  <c r="W413" i="1"/>
  <c r="W414" i="1"/>
  <c r="W415" i="1"/>
  <c r="W416" i="1"/>
  <c r="W417" i="1"/>
  <c r="W856" i="1"/>
  <c r="W418" i="1"/>
  <c r="W419" i="1"/>
  <c r="W857" i="1"/>
  <c r="W420" i="1"/>
  <c r="W858" i="1"/>
  <c r="W859" i="1"/>
  <c r="W421" i="1"/>
  <c r="W860" i="1"/>
  <c r="W422" i="1"/>
  <c r="W423" i="1"/>
  <c r="W424" i="1"/>
  <c r="W861" i="1"/>
  <c r="W862" i="1"/>
  <c r="W425" i="1"/>
  <c r="W426" i="1"/>
  <c r="W863" i="1"/>
  <c r="W864" i="1"/>
  <c r="W427" i="1"/>
  <c r="W865" i="1"/>
  <c r="W428" i="1"/>
  <c r="W429" i="1"/>
  <c r="W430" i="1"/>
  <c r="W866" i="1"/>
  <c r="W431" i="1"/>
  <c r="W867" i="1"/>
  <c r="W868" i="1"/>
  <c r="W869" i="1"/>
  <c r="W432" i="1"/>
  <c r="W433" i="1"/>
  <c r="W870" i="1"/>
  <c r="W434" i="1"/>
  <c r="W435" i="1"/>
  <c r="W436" i="1"/>
  <c r="W871" i="1"/>
  <c r="W872" i="1"/>
  <c r="W873" i="1"/>
  <c r="W437" i="1"/>
  <c r="W874" i="1"/>
  <c r="W438" i="1"/>
  <c r="W439" i="1"/>
  <c r="W440" i="1"/>
  <c r="W441" i="1"/>
  <c r="W442" i="1"/>
  <c r="W875" i="1"/>
  <c r="W443" i="1"/>
  <c r="W876" i="1"/>
  <c r="W444" i="1"/>
  <c r="W877" i="1"/>
  <c r="W445" i="1"/>
  <c r="W446" i="1"/>
  <c r="W878" i="1"/>
  <c r="W447" i="1"/>
  <c r="W448" i="1"/>
  <c r="W879" i="1"/>
  <c r="W449" i="1"/>
  <c r="W880" i="1"/>
  <c r="W450" i="1"/>
  <c r="W451" i="1"/>
  <c r="W452" i="1"/>
  <c r="W881" i="1"/>
  <c r="W453" i="1"/>
  <c r="W454" i="1"/>
  <c r="W882" i="1"/>
  <c r="W883" i="1"/>
  <c r="W455" i="1"/>
  <c r="W884" i="1"/>
  <c r="W885" i="1"/>
  <c r="W456" i="1"/>
  <c r="W886" i="1"/>
  <c r="W887" i="1"/>
  <c r="W888" i="1"/>
  <c r="W457" i="1"/>
  <c r="W458" i="1"/>
  <c r="W459" i="1"/>
  <c r="W889" i="1"/>
  <c r="W890" i="1"/>
  <c r="W460" i="1"/>
  <c r="W461" i="1"/>
  <c r="W891" i="1"/>
  <c r="W462" i="1"/>
  <c r="W463" i="1"/>
  <c r="W892" i="1"/>
  <c r="W464" i="1"/>
  <c r="W465" i="1"/>
  <c r="W893" i="1"/>
  <c r="W894" i="1"/>
  <c r="W895" i="1"/>
  <c r="W896" i="1"/>
  <c r="W466" i="1"/>
  <c r="W897" i="1"/>
  <c r="W467" i="1"/>
  <c r="W898" i="1"/>
  <c r="W899" i="1"/>
  <c r="W900" i="1"/>
  <c r="W468" i="1"/>
  <c r="W469" i="1"/>
  <c r="W901" i="1"/>
  <c r="W470" i="1"/>
  <c r="W902" i="1"/>
  <c r="W903" i="1"/>
  <c r="W471" i="1"/>
  <c r="W904" i="1"/>
  <c r="W905" i="1"/>
  <c r="W472" i="1"/>
  <c r="W906" i="1"/>
  <c r="W907" i="1"/>
  <c r="W473" i="1"/>
  <c r="W474" i="1"/>
  <c r="W908" i="1"/>
  <c r="W909" i="1"/>
  <c r="W475" i="1"/>
  <c r="W477" i="1"/>
  <c r="W478" i="1"/>
  <c r="W479" i="1"/>
  <c r="W910" i="1"/>
  <c r="W911" i="1"/>
  <c r="W480" i="1"/>
  <c r="W481" i="1"/>
  <c r="W482" i="1"/>
  <c r="W483" i="1"/>
  <c r="W484" i="1"/>
  <c r="W485" i="1"/>
  <c r="W912" i="1"/>
  <c r="W913" i="1"/>
  <c r="W914" i="1"/>
  <c r="W915" i="1"/>
  <c r="W916" i="1"/>
  <c r="W917" i="1"/>
  <c r="W486" i="1"/>
  <c r="W918" i="1"/>
  <c r="W919" i="1"/>
  <c r="W920" i="1"/>
  <c r="W487" i="1"/>
  <c r="W488" i="1"/>
  <c r="W921" i="1"/>
  <c r="W922" i="1"/>
  <c r="W489" i="1"/>
  <c r="W490" i="1"/>
  <c r="W923" i="1"/>
  <c r="W491" i="1"/>
  <c r="W924" i="1"/>
  <c r="W492" i="1"/>
  <c r="W493" i="1"/>
  <c r="W925" i="1"/>
  <c r="W926" i="1"/>
  <c r="W927" i="1"/>
  <c r="W494" i="1"/>
  <c r="W928" i="1"/>
  <c r="W495" i="1"/>
  <c r="W929" i="1"/>
  <c r="W930" i="1"/>
  <c r="W496" i="1"/>
  <c r="W497" i="1"/>
  <c r="W931" i="1"/>
  <c r="W498" i="1"/>
  <c r="W499" i="1"/>
  <c r="W500" i="1"/>
  <c r="W501" i="1"/>
  <c r="W932" i="1"/>
  <c r="W502" i="1"/>
  <c r="W933" i="1"/>
  <c r="W195" i="1"/>
  <c r="W539" i="1"/>
  <c r="W680" i="1"/>
  <c r="W608" i="1"/>
  <c r="W649" i="1"/>
  <c r="W579" i="1"/>
  <c r="W239" i="1"/>
  <c r="W773" i="1"/>
  <c r="W91" i="1"/>
  <c r="W159" i="1"/>
  <c r="W79" i="1"/>
  <c r="W659" i="1"/>
  <c r="W2" i="1"/>
  <c r="U3" i="1"/>
  <c r="U4" i="1"/>
  <c r="U5" i="1"/>
  <c r="U503" i="1"/>
  <c r="U6" i="1"/>
  <c r="U504" i="1"/>
  <c r="U506" i="1"/>
  <c r="U7" i="1"/>
  <c r="U507" i="1"/>
  <c r="U508" i="1"/>
  <c r="U8" i="1"/>
  <c r="U9" i="1"/>
  <c r="U509" i="1"/>
  <c r="U10" i="1"/>
  <c r="U11" i="1"/>
  <c r="U12" i="1"/>
  <c r="U13" i="1"/>
  <c r="U510" i="1"/>
  <c r="U14" i="1"/>
  <c r="U511" i="1"/>
  <c r="U512" i="1"/>
  <c r="U513" i="1"/>
  <c r="U514" i="1"/>
  <c r="U15" i="1"/>
  <c r="U16" i="1"/>
  <c r="U17" i="1"/>
  <c r="U515" i="1"/>
  <c r="U18" i="1"/>
  <c r="U516" i="1"/>
  <c r="U19" i="1"/>
  <c r="U517" i="1"/>
  <c r="U20" i="1"/>
  <c r="U21" i="1"/>
  <c r="U518" i="1"/>
  <c r="U22" i="1"/>
  <c r="U23" i="1"/>
  <c r="U519" i="1"/>
  <c r="U24" i="1"/>
  <c r="U25" i="1"/>
  <c r="U26" i="1"/>
  <c r="U27" i="1"/>
  <c r="U520" i="1"/>
  <c r="U28" i="1"/>
  <c r="U29" i="1"/>
  <c r="U30" i="1"/>
  <c r="U31" i="1"/>
  <c r="U32" i="1"/>
  <c r="U521" i="1"/>
  <c r="U33" i="1"/>
  <c r="U522" i="1"/>
  <c r="U34" i="1"/>
  <c r="U35" i="1"/>
  <c r="U523" i="1"/>
  <c r="U524" i="1"/>
  <c r="U525" i="1"/>
  <c r="U526" i="1"/>
  <c r="U36" i="1"/>
  <c r="U37" i="1"/>
  <c r="U38" i="1"/>
  <c r="U39" i="1"/>
  <c r="U40" i="1"/>
  <c r="U41" i="1"/>
  <c r="U42" i="1"/>
  <c r="U43" i="1"/>
  <c r="U44" i="1"/>
  <c r="U527" i="1"/>
  <c r="U528" i="1"/>
  <c r="U45" i="1"/>
  <c r="U46" i="1"/>
  <c r="U529" i="1"/>
  <c r="U530" i="1"/>
  <c r="U47" i="1"/>
  <c r="U531" i="1"/>
  <c r="U532" i="1"/>
  <c r="U533" i="1"/>
  <c r="U48" i="1"/>
  <c r="U534" i="1"/>
  <c r="U535" i="1"/>
  <c r="U536" i="1"/>
  <c r="U49" i="1"/>
  <c r="U537" i="1"/>
  <c r="U50" i="1"/>
  <c r="U51" i="1"/>
  <c r="U52" i="1"/>
  <c r="U53" i="1"/>
  <c r="U54" i="1"/>
  <c r="U55" i="1"/>
  <c r="U56" i="1"/>
  <c r="U57" i="1"/>
  <c r="U538" i="1"/>
  <c r="U540" i="1"/>
  <c r="U541" i="1"/>
  <c r="U58" i="1"/>
  <c r="U59" i="1"/>
  <c r="U542" i="1"/>
  <c r="U60" i="1"/>
  <c r="U543" i="1"/>
  <c r="U61" i="1"/>
  <c r="U544" i="1"/>
  <c r="U545" i="1"/>
  <c r="U62" i="1"/>
  <c r="U546" i="1"/>
  <c r="U547" i="1"/>
  <c r="U548" i="1"/>
  <c r="U63" i="1"/>
  <c r="U64" i="1"/>
  <c r="U65" i="1"/>
  <c r="U66" i="1"/>
  <c r="U549" i="1"/>
  <c r="U67" i="1"/>
  <c r="U550" i="1"/>
  <c r="U68" i="1"/>
  <c r="U69" i="1"/>
  <c r="U70" i="1"/>
  <c r="U71" i="1"/>
  <c r="U551" i="1"/>
  <c r="U72" i="1"/>
  <c r="U73" i="1"/>
  <c r="U74" i="1"/>
  <c r="U75" i="1"/>
  <c r="U552" i="1"/>
  <c r="U76" i="1"/>
  <c r="U77" i="1"/>
  <c r="U80" i="1"/>
  <c r="U553" i="1"/>
  <c r="U554" i="1"/>
  <c r="U555" i="1"/>
  <c r="U81" i="1"/>
  <c r="U82" i="1"/>
  <c r="U83" i="1"/>
  <c r="U557" i="1"/>
  <c r="U84" i="1"/>
  <c r="U85" i="1"/>
  <c r="U558" i="1"/>
  <c r="U559" i="1"/>
  <c r="U560" i="1"/>
  <c r="U561" i="1"/>
  <c r="U87" i="1"/>
  <c r="U562" i="1"/>
  <c r="U88" i="1"/>
  <c r="U89" i="1"/>
  <c r="U90" i="1"/>
  <c r="U92" i="1"/>
  <c r="U93" i="1"/>
  <c r="U563" i="1"/>
  <c r="U564" i="1"/>
  <c r="U94" i="1"/>
  <c r="U565" i="1"/>
  <c r="U95" i="1"/>
  <c r="U96" i="1"/>
  <c r="U97" i="1"/>
  <c r="U98" i="1"/>
  <c r="U566" i="1"/>
  <c r="U99" i="1"/>
  <c r="U567" i="1"/>
  <c r="U568" i="1"/>
  <c r="U100" i="1"/>
  <c r="U101" i="1"/>
  <c r="U569" i="1"/>
  <c r="U570" i="1"/>
  <c r="U571" i="1"/>
  <c r="U102" i="1"/>
  <c r="U572" i="1"/>
  <c r="U573" i="1"/>
  <c r="U103" i="1"/>
  <c r="U574" i="1"/>
  <c r="U575" i="1"/>
  <c r="U576" i="1"/>
  <c r="U577" i="1"/>
  <c r="U578" i="1"/>
  <c r="U580" i="1"/>
  <c r="U581" i="1"/>
  <c r="U104" i="1"/>
  <c r="U582" i="1"/>
  <c r="U105" i="1"/>
  <c r="U583" i="1"/>
  <c r="U106" i="1"/>
  <c r="U107" i="1"/>
  <c r="U108" i="1"/>
  <c r="U109" i="1"/>
  <c r="U584" i="1"/>
  <c r="U110" i="1"/>
  <c r="U585" i="1"/>
  <c r="U111" i="1"/>
  <c r="U112" i="1"/>
  <c r="U113" i="1"/>
  <c r="U586" i="1"/>
  <c r="U587" i="1"/>
  <c r="U588" i="1"/>
  <c r="U589" i="1"/>
  <c r="U114" i="1"/>
  <c r="U115" i="1"/>
  <c r="U116" i="1"/>
  <c r="U590" i="1"/>
  <c r="U591" i="1"/>
  <c r="U117" i="1"/>
  <c r="U592" i="1"/>
  <c r="U118" i="1"/>
  <c r="U119" i="1"/>
  <c r="U593" i="1"/>
  <c r="U594" i="1"/>
  <c r="U595" i="1"/>
  <c r="U120" i="1"/>
  <c r="U596" i="1"/>
  <c r="U597" i="1"/>
  <c r="U598" i="1"/>
  <c r="U121" i="1"/>
  <c r="U599" i="1"/>
  <c r="U600" i="1"/>
  <c r="U122" i="1"/>
  <c r="U123" i="1"/>
  <c r="U124" i="1"/>
  <c r="U125" i="1"/>
  <c r="U126" i="1"/>
  <c r="U127" i="1"/>
  <c r="U601" i="1"/>
  <c r="U602" i="1"/>
  <c r="U603" i="1"/>
  <c r="U128" i="1"/>
  <c r="U129" i="1"/>
  <c r="U604" i="1"/>
  <c r="U605" i="1"/>
  <c r="U606" i="1"/>
  <c r="U607" i="1"/>
  <c r="U130" i="1"/>
  <c r="U609" i="1"/>
  <c r="U131" i="1"/>
  <c r="U132" i="1"/>
  <c r="U610" i="1"/>
  <c r="U133" i="1"/>
  <c r="U134" i="1"/>
  <c r="U611" i="1"/>
  <c r="U135" i="1"/>
  <c r="U136" i="1"/>
  <c r="U137" i="1"/>
  <c r="U138" i="1"/>
  <c r="U139" i="1"/>
  <c r="U140" i="1"/>
  <c r="U141" i="1"/>
  <c r="U142" i="1"/>
  <c r="U612" i="1"/>
  <c r="U613" i="1"/>
  <c r="U614" i="1"/>
  <c r="U143" i="1"/>
  <c r="U144" i="1"/>
  <c r="U145" i="1"/>
  <c r="U146" i="1"/>
  <c r="U147" i="1"/>
  <c r="U615" i="1"/>
  <c r="U148" i="1"/>
  <c r="U616" i="1"/>
  <c r="U617" i="1"/>
  <c r="U150" i="1"/>
  <c r="U618" i="1"/>
  <c r="U619" i="1"/>
  <c r="U151" i="1"/>
  <c r="U620" i="1"/>
  <c r="U152" i="1"/>
  <c r="U153" i="1"/>
  <c r="U621" i="1"/>
  <c r="U622" i="1"/>
  <c r="U623" i="1"/>
  <c r="U624" i="1"/>
  <c r="U154" i="1"/>
  <c r="U155" i="1"/>
  <c r="U625" i="1"/>
  <c r="U626" i="1"/>
  <c r="U627" i="1"/>
  <c r="U628" i="1"/>
  <c r="U156" i="1"/>
  <c r="U157" i="1"/>
  <c r="U158" i="1"/>
  <c r="U629" i="1"/>
  <c r="U160" i="1"/>
  <c r="U161" i="1"/>
  <c r="U162" i="1"/>
  <c r="U630" i="1"/>
  <c r="U631" i="1"/>
  <c r="U164" i="1"/>
  <c r="U165" i="1"/>
  <c r="U632" i="1"/>
  <c r="U167" i="1"/>
  <c r="U633" i="1"/>
  <c r="U168" i="1"/>
  <c r="U634" i="1"/>
  <c r="U169" i="1"/>
  <c r="U170" i="1"/>
  <c r="U171" i="1"/>
  <c r="U635" i="1"/>
  <c r="U636" i="1"/>
  <c r="U172" i="1"/>
  <c r="U637" i="1"/>
  <c r="U173" i="1"/>
  <c r="U638" i="1"/>
  <c r="U639" i="1"/>
  <c r="U640" i="1"/>
  <c r="U174" i="1"/>
  <c r="U641" i="1"/>
  <c r="U175" i="1"/>
  <c r="U176" i="1"/>
  <c r="U642" i="1"/>
  <c r="U643" i="1"/>
  <c r="U177" i="1"/>
  <c r="U178" i="1"/>
  <c r="U179" i="1"/>
  <c r="U644" i="1"/>
  <c r="U645" i="1"/>
  <c r="U646" i="1"/>
  <c r="U180" i="1"/>
  <c r="U181" i="1"/>
  <c r="U182" i="1"/>
  <c r="U183" i="1"/>
  <c r="U647" i="1"/>
  <c r="U648" i="1"/>
  <c r="U184" i="1"/>
  <c r="U185" i="1"/>
  <c r="U650" i="1"/>
  <c r="U186" i="1"/>
  <c r="U187" i="1"/>
  <c r="U188" i="1"/>
  <c r="U189" i="1"/>
  <c r="U190" i="1"/>
  <c r="U191" i="1"/>
  <c r="U651" i="1"/>
  <c r="U652" i="1"/>
  <c r="U653" i="1"/>
  <c r="U192" i="1"/>
  <c r="U654" i="1"/>
  <c r="U655" i="1"/>
  <c r="U193" i="1"/>
  <c r="U194" i="1"/>
  <c r="U656" i="1"/>
  <c r="U657" i="1"/>
  <c r="U196" i="1"/>
  <c r="U658" i="1"/>
  <c r="U197" i="1"/>
  <c r="U198" i="1"/>
  <c r="U199" i="1"/>
  <c r="U660" i="1"/>
  <c r="U200" i="1"/>
  <c r="U661" i="1"/>
  <c r="U662" i="1"/>
  <c r="U663" i="1"/>
  <c r="U201" i="1"/>
  <c r="U202" i="1"/>
  <c r="U664" i="1"/>
  <c r="U203" i="1"/>
  <c r="U204" i="1"/>
  <c r="U665" i="1"/>
  <c r="U205" i="1"/>
  <c r="U666" i="1"/>
  <c r="U667" i="1"/>
  <c r="U668" i="1"/>
  <c r="U206" i="1"/>
  <c r="U207" i="1"/>
  <c r="U669" i="1"/>
  <c r="U670" i="1"/>
  <c r="U671" i="1"/>
  <c r="U208" i="1"/>
  <c r="U209" i="1"/>
  <c r="U672" i="1"/>
  <c r="U210" i="1"/>
  <c r="U673" i="1"/>
  <c r="U674" i="1"/>
  <c r="U211" i="1"/>
  <c r="U675" i="1"/>
  <c r="U212" i="1"/>
  <c r="U676" i="1"/>
  <c r="U677" i="1"/>
  <c r="U213" i="1"/>
  <c r="U214" i="1"/>
  <c r="U678" i="1"/>
  <c r="U679" i="1"/>
  <c r="U681" i="1"/>
  <c r="U215" i="1"/>
  <c r="U216" i="1"/>
  <c r="U682" i="1"/>
  <c r="U684" i="1"/>
  <c r="U217" i="1"/>
  <c r="U218" i="1"/>
  <c r="U685" i="1"/>
  <c r="U686" i="1"/>
  <c r="U687" i="1"/>
  <c r="U219" i="1"/>
  <c r="U688" i="1"/>
  <c r="U689" i="1"/>
  <c r="U690" i="1"/>
  <c r="U220" i="1"/>
  <c r="U221" i="1"/>
  <c r="U222" i="1"/>
  <c r="U691" i="1"/>
  <c r="U223" i="1"/>
  <c r="U224" i="1"/>
  <c r="U225" i="1"/>
  <c r="U226" i="1"/>
  <c r="U692" i="1"/>
  <c r="U693" i="1"/>
  <c r="U227" i="1"/>
  <c r="U694" i="1"/>
  <c r="U696" i="1"/>
  <c r="U697" i="1"/>
  <c r="U228" i="1"/>
  <c r="U229" i="1"/>
  <c r="U230" i="1"/>
  <c r="U231" i="1"/>
  <c r="U698" i="1"/>
  <c r="U232" i="1"/>
  <c r="U699" i="1"/>
  <c r="U700" i="1"/>
  <c r="U233" i="1"/>
  <c r="U701" i="1"/>
  <c r="U234" i="1"/>
  <c r="U702" i="1"/>
  <c r="U235" i="1"/>
  <c r="U236" i="1"/>
  <c r="U703" i="1"/>
  <c r="U704" i="1"/>
  <c r="U237" i="1"/>
  <c r="U705" i="1"/>
  <c r="U706" i="1"/>
  <c r="U707" i="1"/>
  <c r="U708" i="1"/>
  <c r="U238" i="1"/>
  <c r="U240" i="1"/>
  <c r="U241" i="1"/>
  <c r="U242" i="1"/>
  <c r="U709" i="1"/>
  <c r="U710" i="1"/>
  <c r="U711" i="1"/>
  <c r="U243" i="1"/>
  <c r="U244" i="1"/>
  <c r="U245" i="1"/>
  <c r="U246" i="1"/>
  <c r="U712" i="1"/>
  <c r="U713" i="1"/>
  <c r="U247" i="1"/>
  <c r="U248" i="1"/>
  <c r="U714" i="1"/>
  <c r="U715" i="1"/>
  <c r="U249" i="1"/>
  <c r="U250" i="1"/>
  <c r="U716" i="1"/>
  <c r="U251" i="1"/>
  <c r="U717" i="1"/>
  <c r="U252" i="1"/>
  <c r="U718" i="1"/>
  <c r="U719" i="1"/>
  <c r="U253" i="1"/>
  <c r="U254" i="1"/>
  <c r="U720" i="1"/>
  <c r="U255" i="1"/>
  <c r="U256" i="1"/>
  <c r="U721" i="1"/>
  <c r="U722" i="1"/>
  <c r="U257" i="1"/>
  <c r="U258" i="1"/>
  <c r="U259" i="1"/>
  <c r="U260" i="1"/>
  <c r="U261" i="1"/>
  <c r="U723" i="1"/>
  <c r="U724" i="1"/>
  <c r="U262" i="1"/>
  <c r="U725" i="1"/>
  <c r="U726" i="1"/>
  <c r="U263" i="1"/>
  <c r="U264" i="1"/>
  <c r="U265" i="1"/>
  <c r="U727" i="1"/>
  <c r="U266" i="1"/>
  <c r="U267" i="1"/>
  <c r="U268" i="1"/>
  <c r="U269" i="1"/>
  <c r="U270" i="1"/>
  <c r="U271" i="1"/>
  <c r="U728" i="1"/>
  <c r="U272" i="1"/>
  <c r="U729" i="1"/>
  <c r="U273" i="1"/>
  <c r="U274" i="1"/>
  <c r="U730" i="1"/>
  <c r="U731" i="1"/>
  <c r="U275" i="1"/>
  <c r="U276" i="1"/>
  <c r="U277" i="1"/>
  <c r="U732" i="1"/>
  <c r="U733" i="1"/>
  <c r="U734" i="1"/>
  <c r="U278" i="1"/>
  <c r="U279" i="1"/>
  <c r="U280" i="1"/>
  <c r="U735" i="1"/>
  <c r="U736" i="1"/>
  <c r="U737" i="1"/>
  <c r="U281" i="1"/>
  <c r="U282" i="1"/>
  <c r="U738" i="1"/>
  <c r="U283" i="1"/>
  <c r="U739" i="1"/>
  <c r="U284" i="1"/>
  <c r="U285" i="1"/>
  <c r="U286" i="1"/>
  <c r="U287" i="1"/>
  <c r="U289" i="1"/>
  <c r="U740" i="1"/>
  <c r="U290" i="1"/>
  <c r="U291" i="1"/>
  <c r="U741" i="1"/>
  <c r="U292" i="1"/>
  <c r="U742" i="1"/>
  <c r="U293" i="1"/>
  <c r="U294" i="1"/>
  <c r="U743" i="1"/>
  <c r="U744" i="1"/>
  <c r="U295" i="1"/>
  <c r="U745" i="1"/>
  <c r="U296" i="1"/>
  <c r="U746" i="1"/>
  <c r="U747" i="1"/>
  <c r="U748" i="1"/>
  <c r="U297" i="1"/>
  <c r="U749" i="1"/>
  <c r="U750" i="1"/>
  <c r="U298" i="1"/>
  <c r="U299" i="1"/>
  <c r="U300" i="1"/>
  <c r="U751" i="1"/>
  <c r="U752" i="1"/>
  <c r="U301" i="1"/>
  <c r="U302" i="1"/>
  <c r="U753" i="1"/>
  <c r="U303" i="1"/>
  <c r="U754" i="1"/>
  <c r="U304" i="1"/>
  <c r="U755" i="1"/>
  <c r="U305" i="1"/>
  <c r="U756" i="1"/>
  <c r="U306" i="1"/>
  <c r="U307" i="1"/>
  <c r="U757" i="1"/>
  <c r="U308" i="1"/>
  <c r="U758" i="1"/>
  <c r="U309" i="1"/>
  <c r="U310" i="1"/>
  <c r="U759" i="1"/>
  <c r="U311" i="1"/>
  <c r="U760" i="1"/>
  <c r="U312" i="1"/>
  <c r="U313" i="1"/>
  <c r="U761" i="1"/>
  <c r="U314" i="1"/>
  <c r="U315" i="1"/>
  <c r="U763" i="1"/>
  <c r="U764" i="1"/>
  <c r="U316" i="1"/>
  <c r="U765" i="1"/>
  <c r="U317" i="1"/>
  <c r="U318" i="1"/>
  <c r="U766" i="1"/>
  <c r="U767" i="1"/>
  <c r="U319" i="1"/>
  <c r="U768" i="1"/>
  <c r="U320" i="1"/>
  <c r="U321" i="1"/>
  <c r="U322" i="1"/>
  <c r="U769" i="1"/>
  <c r="U323" i="1"/>
  <c r="U324" i="1"/>
  <c r="U325" i="1"/>
  <c r="U770" i="1"/>
  <c r="U771" i="1"/>
  <c r="U772" i="1"/>
  <c r="U326" i="1"/>
  <c r="U774" i="1"/>
  <c r="U327" i="1"/>
  <c r="U775" i="1"/>
  <c r="U328" i="1"/>
  <c r="U776" i="1"/>
  <c r="U329" i="1"/>
  <c r="U330" i="1"/>
  <c r="U777" i="1"/>
  <c r="U778" i="1"/>
  <c r="U331" i="1"/>
  <c r="U332" i="1"/>
  <c r="U333" i="1"/>
  <c r="U779" i="1"/>
  <c r="U780" i="1"/>
  <c r="U781" i="1"/>
  <c r="U782" i="1"/>
  <c r="U334" i="1"/>
  <c r="U335" i="1"/>
  <c r="U336" i="1"/>
  <c r="U337" i="1"/>
  <c r="U783" i="1"/>
  <c r="U338" i="1"/>
  <c r="U784" i="1"/>
  <c r="U339" i="1"/>
  <c r="U785" i="1"/>
  <c r="U340" i="1"/>
  <c r="U342" i="1"/>
  <c r="U786" i="1"/>
  <c r="U343" i="1"/>
  <c r="U344" i="1"/>
  <c r="U787" i="1"/>
  <c r="U788" i="1"/>
  <c r="U789" i="1"/>
  <c r="U790" i="1"/>
  <c r="U791" i="1"/>
  <c r="U345" i="1"/>
  <c r="U792" i="1"/>
  <c r="U346" i="1"/>
  <c r="U793" i="1"/>
  <c r="U794" i="1"/>
  <c r="U347" i="1"/>
  <c r="U348" i="1"/>
  <c r="U349" i="1"/>
  <c r="U350" i="1"/>
  <c r="U351" i="1"/>
  <c r="U352" i="1"/>
  <c r="U353" i="1"/>
  <c r="U354" i="1"/>
  <c r="U355" i="1"/>
  <c r="U795" i="1"/>
  <c r="U356" i="1"/>
  <c r="U357" i="1"/>
  <c r="U358" i="1"/>
  <c r="U796" i="1"/>
  <c r="U797" i="1"/>
  <c r="U798" i="1"/>
  <c r="U799" i="1"/>
  <c r="U359" i="1"/>
  <c r="U360" i="1"/>
  <c r="U800" i="1"/>
  <c r="U802" i="1"/>
  <c r="U803" i="1"/>
  <c r="U361" i="1"/>
  <c r="U362" i="1"/>
  <c r="U363" i="1"/>
  <c r="U364" i="1"/>
  <c r="U365" i="1"/>
  <c r="U804" i="1"/>
  <c r="U805" i="1"/>
  <c r="U366" i="1"/>
  <c r="U367" i="1"/>
  <c r="U806" i="1"/>
  <c r="U368" i="1"/>
  <c r="U369" i="1"/>
  <c r="U807" i="1"/>
  <c r="U370" i="1"/>
  <c r="U808" i="1"/>
  <c r="U371" i="1"/>
  <c r="U809" i="1"/>
  <c r="U810" i="1"/>
  <c r="U811" i="1"/>
  <c r="U812" i="1"/>
  <c r="U813" i="1"/>
  <c r="U372" i="1"/>
  <c r="U814" i="1"/>
  <c r="U815" i="1"/>
  <c r="U816" i="1"/>
  <c r="U817" i="1"/>
  <c r="U373" i="1"/>
  <c r="U374" i="1"/>
  <c r="U375" i="1"/>
  <c r="U376" i="1"/>
  <c r="U818" i="1"/>
  <c r="U377" i="1"/>
  <c r="U819" i="1"/>
  <c r="U378" i="1"/>
  <c r="U379" i="1"/>
  <c r="U820" i="1"/>
  <c r="U380" i="1"/>
  <c r="U381" i="1"/>
  <c r="U821" i="1"/>
  <c r="U382" i="1"/>
  <c r="U822" i="1"/>
  <c r="U823" i="1"/>
  <c r="U383" i="1"/>
  <c r="U384" i="1"/>
  <c r="U825" i="1"/>
  <c r="U385" i="1"/>
  <c r="U386" i="1"/>
  <c r="U826" i="1"/>
  <c r="U827" i="1"/>
  <c r="U828" i="1"/>
  <c r="U829" i="1"/>
  <c r="U387" i="1"/>
  <c r="U830" i="1"/>
  <c r="U831" i="1"/>
  <c r="U388" i="1"/>
  <c r="U389" i="1"/>
  <c r="U390" i="1"/>
  <c r="U832" i="1"/>
  <c r="U833" i="1"/>
  <c r="U834" i="1"/>
  <c r="U391" i="1"/>
  <c r="U836" i="1"/>
  <c r="U837" i="1"/>
  <c r="U392" i="1"/>
  <c r="U393" i="1"/>
  <c r="U394" i="1"/>
  <c r="U395" i="1"/>
  <c r="U838" i="1"/>
  <c r="U396" i="1"/>
  <c r="U397" i="1"/>
  <c r="U399" i="1"/>
  <c r="U400" i="1"/>
  <c r="U839" i="1"/>
  <c r="U840" i="1"/>
  <c r="U841" i="1"/>
  <c r="U401" i="1"/>
  <c r="U842" i="1"/>
  <c r="U402" i="1"/>
  <c r="U843" i="1"/>
  <c r="U844" i="1"/>
  <c r="U845" i="1"/>
  <c r="U846" i="1"/>
  <c r="U847" i="1"/>
  <c r="U404" i="1"/>
  <c r="U848" i="1"/>
  <c r="U405" i="1"/>
  <c r="U850" i="1"/>
  <c r="U406" i="1"/>
  <c r="U851" i="1"/>
  <c r="U407" i="1"/>
  <c r="U852" i="1"/>
  <c r="U408" i="1"/>
  <c r="U409" i="1"/>
  <c r="U410" i="1"/>
  <c r="U853" i="1"/>
  <c r="U855" i="1"/>
  <c r="U411" i="1"/>
  <c r="U412" i="1"/>
  <c r="U413" i="1"/>
  <c r="U414" i="1"/>
  <c r="U415" i="1"/>
  <c r="U416" i="1"/>
  <c r="U417" i="1"/>
  <c r="U856" i="1"/>
  <c r="U418" i="1"/>
  <c r="U419" i="1"/>
  <c r="U857" i="1"/>
  <c r="U420" i="1"/>
  <c r="U858" i="1"/>
  <c r="U859" i="1"/>
  <c r="U421" i="1"/>
  <c r="U860" i="1"/>
  <c r="U422" i="1"/>
  <c r="U423" i="1"/>
  <c r="U424" i="1"/>
  <c r="U861" i="1"/>
  <c r="U862" i="1"/>
  <c r="U425" i="1"/>
  <c r="U426" i="1"/>
  <c r="U863" i="1"/>
  <c r="U864" i="1"/>
  <c r="U427" i="1"/>
  <c r="U865" i="1"/>
  <c r="U428" i="1"/>
  <c r="U429" i="1"/>
  <c r="U430" i="1"/>
  <c r="U866" i="1"/>
  <c r="U431" i="1"/>
  <c r="U867" i="1"/>
  <c r="U868" i="1"/>
  <c r="U869" i="1"/>
  <c r="U432" i="1"/>
  <c r="U433" i="1"/>
  <c r="U870" i="1"/>
  <c r="U434" i="1"/>
  <c r="U435" i="1"/>
  <c r="U436" i="1"/>
  <c r="U871" i="1"/>
  <c r="U872" i="1"/>
  <c r="U873" i="1"/>
  <c r="U437" i="1"/>
  <c r="U874" i="1"/>
  <c r="U438" i="1"/>
  <c r="U439" i="1"/>
  <c r="U440" i="1"/>
  <c r="U441" i="1"/>
  <c r="U442" i="1"/>
  <c r="U875" i="1"/>
  <c r="U443" i="1"/>
  <c r="U876" i="1"/>
  <c r="U444" i="1"/>
  <c r="U877" i="1"/>
  <c r="U445" i="1"/>
  <c r="U446" i="1"/>
  <c r="U878" i="1"/>
  <c r="U447" i="1"/>
  <c r="U448" i="1"/>
  <c r="U879" i="1"/>
  <c r="U449" i="1"/>
  <c r="U880" i="1"/>
  <c r="U450" i="1"/>
  <c r="U451" i="1"/>
  <c r="U452" i="1"/>
  <c r="U881" i="1"/>
  <c r="U453" i="1"/>
  <c r="U454" i="1"/>
  <c r="U882" i="1"/>
  <c r="U883" i="1"/>
  <c r="U455" i="1"/>
  <c r="U884" i="1"/>
  <c r="U885" i="1"/>
  <c r="U456" i="1"/>
  <c r="U886" i="1"/>
  <c r="U887" i="1"/>
  <c r="U888" i="1"/>
  <c r="U457" i="1"/>
  <c r="U458" i="1"/>
  <c r="U459" i="1"/>
  <c r="U889" i="1"/>
  <c r="U890" i="1"/>
  <c r="U460" i="1"/>
  <c r="U461" i="1"/>
  <c r="U891" i="1"/>
  <c r="U462" i="1"/>
  <c r="U463" i="1"/>
  <c r="U892" i="1"/>
  <c r="U464" i="1"/>
  <c r="U465" i="1"/>
  <c r="U893" i="1"/>
  <c r="U894" i="1"/>
  <c r="U895" i="1"/>
  <c r="U896" i="1"/>
  <c r="U466" i="1"/>
  <c r="U897" i="1"/>
  <c r="U467" i="1"/>
  <c r="U898" i="1"/>
  <c r="U899" i="1"/>
  <c r="U900" i="1"/>
  <c r="U468" i="1"/>
  <c r="U469" i="1"/>
  <c r="U901" i="1"/>
  <c r="U470" i="1"/>
  <c r="U902" i="1"/>
  <c r="U903" i="1"/>
  <c r="U471" i="1"/>
  <c r="U904" i="1"/>
  <c r="U905" i="1"/>
  <c r="U472" i="1"/>
  <c r="U906" i="1"/>
  <c r="U907" i="1"/>
  <c r="U473" i="1"/>
  <c r="U474" i="1"/>
  <c r="U908" i="1"/>
  <c r="U909" i="1"/>
  <c r="U475" i="1"/>
  <c r="U477" i="1"/>
  <c r="U478" i="1"/>
  <c r="U479" i="1"/>
  <c r="U910" i="1"/>
  <c r="U911" i="1"/>
  <c r="U480" i="1"/>
  <c r="U481" i="1"/>
  <c r="U482" i="1"/>
  <c r="U483" i="1"/>
  <c r="U484" i="1"/>
  <c r="U485" i="1"/>
  <c r="U912" i="1"/>
  <c r="U913" i="1"/>
  <c r="U914" i="1"/>
  <c r="U915" i="1"/>
  <c r="U916" i="1"/>
  <c r="U917" i="1"/>
  <c r="U486" i="1"/>
  <c r="U918" i="1"/>
  <c r="U919" i="1"/>
  <c r="U920" i="1"/>
  <c r="U487" i="1"/>
  <c r="U488" i="1"/>
  <c r="U921" i="1"/>
  <c r="U922" i="1"/>
  <c r="U489" i="1"/>
  <c r="U490" i="1"/>
  <c r="U923" i="1"/>
  <c r="U491" i="1"/>
  <c r="U924" i="1"/>
  <c r="U492" i="1"/>
  <c r="U493" i="1"/>
  <c r="U925" i="1"/>
  <c r="U926" i="1"/>
  <c r="U927" i="1"/>
  <c r="U494" i="1"/>
  <c r="U928" i="1"/>
  <c r="U495" i="1"/>
  <c r="U929" i="1"/>
  <c r="U930" i="1"/>
  <c r="U496" i="1"/>
  <c r="U497" i="1"/>
  <c r="U931" i="1"/>
  <c r="U498" i="1"/>
  <c r="U499" i="1"/>
  <c r="U500" i="1"/>
  <c r="U501" i="1"/>
  <c r="U932" i="1"/>
  <c r="U502" i="1"/>
  <c r="U933" i="1"/>
  <c r="U195" i="1"/>
  <c r="U539" i="1"/>
  <c r="U680" i="1"/>
  <c r="U608" i="1"/>
  <c r="U649" i="1"/>
  <c r="U579" i="1"/>
  <c r="U239" i="1"/>
  <c r="U773" i="1"/>
  <c r="U91" i="1"/>
  <c r="U159" i="1"/>
  <c r="U79" i="1"/>
  <c r="U659" i="1"/>
  <c r="U2" i="1"/>
  <c r="R3" i="1"/>
  <c r="R4" i="1"/>
  <c r="R5" i="1"/>
  <c r="R503" i="1"/>
  <c r="R6" i="1"/>
  <c r="R504" i="1"/>
  <c r="R506" i="1"/>
  <c r="R7" i="1"/>
  <c r="R507" i="1"/>
  <c r="R508" i="1"/>
  <c r="R8" i="1"/>
  <c r="R9" i="1"/>
  <c r="R509" i="1"/>
  <c r="R10" i="1"/>
  <c r="R11" i="1"/>
  <c r="R12" i="1"/>
  <c r="R13" i="1"/>
  <c r="R510" i="1"/>
  <c r="R14" i="1"/>
  <c r="R511" i="1"/>
  <c r="R512" i="1"/>
  <c r="R513" i="1"/>
  <c r="R514" i="1"/>
  <c r="R15" i="1"/>
  <c r="R16" i="1"/>
  <c r="R17" i="1"/>
  <c r="R515" i="1"/>
  <c r="R18" i="1"/>
  <c r="R516" i="1"/>
  <c r="R19" i="1"/>
  <c r="R517" i="1"/>
  <c r="R20" i="1"/>
  <c r="R21" i="1"/>
  <c r="R518" i="1"/>
  <c r="R22" i="1"/>
  <c r="R23" i="1"/>
  <c r="R519" i="1"/>
  <c r="R24" i="1"/>
  <c r="R25" i="1"/>
  <c r="R26" i="1"/>
  <c r="R27" i="1"/>
  <c r="R520" i="1"/>
  <c r="R28" i="1"/>
  <c r="R29" i="1"/>
  <c r="R30" i="1"/>
  <c r="R31" i="1"/>
  <c r="R32" i="1"/>
  <c r="R521" i="1"/>
  <c r="R33" i="1"/>
  <c r="R522" i="1"/>
  <c r="R34" i="1"/>
  <c r="R35" i="1"/>
  <c r="R523" i="1"/>
  <c r="R524" i="1"/>
  <c r="R525" i="1"/>
  <c r="R526" i="1"/>
  <c r="R36" i="1"/>
  <c r="R37" i="1"/>
  <c r="R38" i="1"/>
  <c r="R39" i="1"/>
  <c r="R40" i="1"/>
  <c r="R41" i="1"/>
  <c r="R42" i="1"/>
  <c r="R43" i="1"/>
  <c r="R44" i="1"/>
  <c r="R527" i="1"/>
  <c r="R528" i="1"/>
  <c r="R45" i="1"/>
  <c r="R46" i="1"/>
  <c r="R529" i="1"/>
  <c r="R530" i="1"/>
  <c r="R47" i="1"/>
  <c r="R531" i="1"/>
  <c r="R532" i="1"/>
  <c r="R533" i="1"/>
  <c r="R48" i="1"/>
  <c r="R534" i="1"/>
  <c r="R535" i="1"/>
  <c r="R536" i="1"/>
  <c r="R49" i="1"/>
  <c r="R537" i="1"/>
  <c r="R50" i="1"/>
  <c r="R51" i="1"/>
  <c r="R52" i="1"/>
  <c r="R53" i="1"/>
  <c r="R54" i="1"/>
  <c r="R55" i="1"/>
  <c r="R56" i="1"/>
  <c r="R57" i="1"/>
  <c r="R538" i="1"/>
  <c r="R540" i="1"/>
  <c r="R541" i="1"/>
  <c r="R58" i="1"/>
  <c r="R59" i="1"/>
  <c r="R542" i="1"/>
  <c r="R60" i="1"/>
  <c r="R543" i="1"/>
  <c r="R61" i="1"/>
  <c r="R544" i="1"/>
  <c r="R545" i="1"/>
  <c r="R62" i="1"/>
  <c r="R546" i="1"/>
  <c r="R547" i="1"/>
  <c r="R548" i="1"/>
  <c r="R63" i="1"/>
  <c r="R64" i="1"/>
  <c r="R65" i="1"/>
  <c r="R66" i="1"/>
  <c r="R549" i="1"/>
  <c r="R67" i="1"/>
  <c r="R550" i="1"/>
  <c r="R69" i="1"/>
  <c r="R70" i="1"/>
  <c r="R71" i="1"/>
  <c r="R72" i="1"/>
  <c r="R73" i="1"/>
  <c r="R74" i="1"/>
  <c r="R75" i="1"/>
  <c r="R552" i="1"/>
  <c r="R76" i="1"/>
  <c r="R77" i="1"/>
  <c r="R80" i="1"/>
  <c r="R553" i="1"/>
  <c r="R554" i="1"/>
  <c r="R555" i="1"/>
  <c r="R81" i="1"/>
  <c r="R82" i="1"/>
  <c r="R83" i="1"/>
  <c r="R557" i="1"/>
  <c r="R84" i="1"/>
  <c r="R85" i="1"/>
  <c r="R558" i="1"/>
  <c r="R559" i="1"/>
  <c r="R560" i="1"/>
  <c r="R561" i="1"/>
  <c r="R87" i="1"/>
  <c r="R562" i="1"/>
  <c r="R88" i="1"/>
  <c r="R89" i="1"/>
  <c r="R90" i="1"/>
  <c r="R92" i="1"/>
  <c r="R93" i="1"/>
  <c r="R563" i="1"/>
  <c r="R564" i="1"/>
  <c r="R94" i="1"/>
  <c r="R565" i="1"/>
  <c r="R95" i="1"/>
  <c r="R98" i="1"/>
  <c r="R566" i="1"/>
  <c r="R99" i="1"/>
  <c r="R567" i="1"/>
  <c r="R568" i="1"/>
  <c r="R100" i="1"/>
  <c r="R101" i="1"/>
  <c r="R569" i="1"/>
  <c r="R570" i="1"/>
  <c r="R571" i="1"/>
  <c r="R102" i="1"/>
  <c r="R572" i="1"/>
  <c r="R573" i="1"/>
  <c r="R103" i="1"/>
  <c r="R574" i="1"/>
  <c r="R575" i="1"/>
  <c r="R576" i="1"/>
  <c r="R577" i="1"/>
  <c r="R578" i="1"/>
  <c r="R580" i="1"/>
  <c r="R581" i="1"/>
  <c r="R104" i="1"/>
  <c r="R582" i="1"/>
  <c r="R105" i="1"/>
  <c r="R583" i="1"/>
  <c r="R107" i="1"/>
  <c r="R108" i="1"/>
  <c r="R109" i="1"/>
  <c r="R584" i="1"/>
  <c r="R110" i="1"/>
  <c r="R585" i="1"/>
  <c r="R111" i="1"/>
  <c r="R113" i="1"/>
  <c r="R586" i="1"/>
  <c r="R587" i="1"/>
  <c r="R588" i="1"/>
  <c r="R589" i="1"/>
  <c r="R114" i="1"/>
  <c r="R115" i="1"/>
  <c r="R116" i="1"/>
  <c r="R590" i="1"/>
  <c r="R591" i="1"/>
  <c r="R117" i="1"/>
  <c r="R592" i="1"/>
  <c r="R118" i="1"/>
  <c r="R119" i="1"/>
  <c r="R593" i="1"/>
  <c r="R594" i="1"/>
  <c r="R595" i="1"/>
  <c r="R120" i="1"/>
  <c r="R596" i="1"/>
  <c r="R597" i="1"/>
  <c r="R598" i="1"/>
  <c r="R121" i="1"/>
  <c r="R599" i="1"/>
  <c r="R600" i="1"/>
  <c r="R122" i="1"/>
  <c r="R123" i="1"/>
  <c r="R124" i="1"/>
  <c r="R125" i="1"/>
  <c r="R126" i="1"/>
  <c r="R127" i="1"/>
  <c r="R601" i="1"/>
  <c r="R602" i="1"/>
  <c r="R603" i="1"/>
  <c r="R128" i="1"/>
  <c r="R129" i="1"/>
  <c r="R604" i="1"/>
  <c r="R605" i="1"/>
  <c r="R606" i="1"/>
  <c r="R607" i="1"/>
  <c r="R130" i="1"/>
  <c r="R131" i="1"/>
  <c r="R132" i="1"/>
  <c r="R610" i="1"/>
  <c r="R133" i="1"/>
  <c r="R134" i="1"/>
  <c r="R611" i="1"/>
  <c r="R135" i="1"/>
  <c r="R136" i="1"/>
  <c r="R137" i="1"/>
  <c r="R138" i="1"/>
  <c r="R139" i="1"/>
  <c r="R140" i="1"/>
  <c r="R141" i="1"/>
  <c r="R142" i="1"/>
  <c r="R612" i="1"/>
  <c r="R613" i="1"/>
  <c r="R143" i="1"/>
  <c r="R144" i="1"/>
  <c r="R145" i="1"/>
  <c r="R146" i="1"/>
  <c r="R147" i="1"/>
  <c r="R615" i="1"/>
  <c r="R148" i="1"/>
  <c r="R616" i="1"/>
  <c r="R617" i="1"/>
  <c r="R150" i="1"/>
  <c r="R618" i="1"/>
  <c r="R619" i="1"/>
  <c r="R151" i="1"/>
  <c r="R620" i="1"/>
  <c r="R152" i="1"/>
  <c r="R153" i="1"/>
  <c r="R621" i="1"/>
  <c r="R622" i="1"/>
  <c r="R623" i="1"/>
  <c r="R624" i="1"/>
  <c r="R154" i="1"/>
  <c r="R155" i="1"/>
  <c r="R625" i="1"/>
  <c r="R626" i="1"/>
  <c r="R627" i="1"/>
  <c r="R628" i="1"/>
  <c r="R156" i="1"/>
  <c r="R157" i="1"/>
  <c r="R158" i="1"/>
  <c r="R629" i="1"/>
  <c r="R160" i="1"/>
  <c r="R161" i="1"/>
  <c r="R630" i="1"/>
  <c r="R631" i="1"/>
  <c r="R164" i="1"/>
  <c r="R165" i="1"/>
  <c r="R632" i="1"/>
  <c r="R167" i="1"/>
  <c r="R633" i="1"/>
  <c r="R168" i="1"/>
  <c r="R634" i="1"/>
  <c r="R169" i="1"/>
  <c r="R170" i="1"/>
  <c r="R171" i="1"/>
  <c r="R635" i="1"/>
  <c r="R636" i="1"/>
  <c r="R172" i="1"/>
  <c r="R637" i="1"/>
  <c r="R173" i="1"/>
  <c r="R638" i="1"/>
  <c r="R639" i="1"/>
  <c r="R640" i="1"/>
  <c r="R174" i="1"/>
  <c r="R641" i="1"/>
  <c r="R175" i="1"/>
  <c r="R176" i="1"/>
  <c r="R642" i="1"/>
  <c r="R643" i="1"/>
  <c r="R177" i="1"/>
  <c r="R178" i="1"/>
  <c r="R179" i="1"/>
  <c r="R644" i="1"/>
  <c r="R645" i="1"/>
  <c r="R646" i="1"/>
  <c r="R180" i="1"/>
  <c r="R181" i="1"/>
  <c r="R182" i="1"/>
  <c r="R183" i="1"/>
  <c r="R647" i="1"/>
  <c r="R648" i="1"/>
  <c r="R184" i="1"/>
  <c r="R185" i="1"/>
  <c r="R650" i="1"/>
  <c r="R186" i="1"/>
  <c r="R187" i="1"/>
  <c r="R188" i="1"/>
  <c r="R189" i="1"/>
  <c r="R190" i="1"/>
  <c r="R191" i="1"/>
  <c r="R651" i="1"/>
  <c r="R652" i="1"/>
  <c r="R653" i="1"/>
  <c r="R192" i="1"/>
  <c r="R654" i="1"/>
  <c r="R655" i="1"/>
  <c r="R193" i="1"/>
  <c r="R194" i="1"/>
  <c r="R656" i="1"/>
  <c r="R196" i="1"/>
  <c r="R658" i="1"/>
  <c r="R197" i="1"/>
  <c r="R198" i="1"/>
  <c r="R199" i="1"/>
  <c r="R660" i="1"/>
  <c r="R200" i="1"/>
  <c r="R661" i="1"/>
  <c r="R662" i="1"/>
  <c r="R663" i="1"/>
  <c r="R201" i="1"/>
  <c r="R202" i="1"/>
  <c r="R664" i="1"/>
  <c r="R203" i="1"/>
  <c r="R204" i="1"/>
  <c r="R665" i="1"/>
  <c r="R205" i="1"/>
  <c r="R666" i="1"/>
  <c r="R667" i="1"/>
  <c r="R668" i="1"/>
  <c r="R206" i="1"/>
  <c r="R207" i="1"/>
  <c r="R669" i="1"/>
  <c r="R670" i="1"/>
  <c r="R671" i="1"/>
  <c r="R208" i="1"/>
  <c r="R209" i="1"/>
  <c r="R672" i="1"/>
  <c r="R210" i="1"/>
  <c r="R673" i="1"/>
  <c r="R674" i="1"/>
  <c r="R211" i="1"/>
  <c r="R675" i="1"/>
  <c r="R212" i="1"/>
  <c r="R676" i="1"/>
  <c r="R677" i="1"/>
  <c r="R213" i="1"/>
  <c r="R214" i="1"/>
  <c r="R678" i="1"/>
  <c r="R679" i="1"/>
  <c r="R681" i="1"/>
  <c r="R215" i="1"/>
  <c r="R216" i="1"/>
  <c r="R682" i="1"/>
  <c r="R684" i="1"/>
  <c r="R217" i="1"/>
  <c r="R218" i="1"/>
  <c r="R685" i="1"/>
  <c r="R686" i="1"/>
  <c r="R687" i="1"/>
  <c r="R219" i="1"/>
  <c r="R688" i="1"/>
  <c r="R689" i="1"/>
  <c r="R690" i="1"/>
  <c r="R220" i="1"/>
  <c r="R221" i="1"/>
  <c r="R222" i="1"/>
  <c r="R691" i="1"/>
  <c r="R223" i="1"/>
  <c r="R224" i="1"/>
  <c r="R225" i="1"/>
  <c r="R226" i="1"/>
  <c r="R692" i="1"/>
  <c r="R693" i="1"/>
  <c r="R227" i="1"/>
  <c r="R694" i="1"/>
  <c r="R696" i="1"/>
  <c r="R697" i="1"/>
  <c r="R228" i="1"/>
  <c r="R229" i="1"/>
  <c r="R230" i="1"/>
  <c r="R231" i="1"/>
  <c r="R698" i="1"/>
  <c r="R232" i="1"/>
  <c r="R699" i="1"/>
  <c r="R700" i="1"/>
  <c r="R233" i="1"/>
  <c r="R701" i="1"/>
  <c r="R234" i="1"/>
  <c r="R702" i="1"/>
  <c r="R235" i="1"/>
  <c r="R236" i="1"/>
  <c r="R703" i="1"/>
  <c r="R704" i="1"/>
  <c r="R237" i="1"/>
  <c r="R705" i="1"/>
  <c r="R706" i="1"/>
  <c r="R707" i="1"/>
  <c r="R708" i="1"/>
  <c r="R238" i="1"/>
  <c r="R240" i="1"/>
  <c r="R241" i="1"/>
  <c r="R242" i="1"/>
  <c r="R710" i="1"/>
  <c r="R711" i="1"/>
  <c r="R243" i="1"/>
  <c r="R244" i="1"/>
  <c r="R245" i="1"/>
  <c r="R246" i="1"/>
  <c r="R712" i="1"/>
  <c r="R713" i="1"/>
  <c r="R247" i="1"/>
  <c r="R248" i="1"/>
  <c r="R714" i="1"/>
  <c r="R715" i="1"/>
  <c r="R249" i="1"/>
  <c r="R250" i="1"/>
  <c r="R716" i="1"/>
  <c r="R251" i="1"/>
  <c r="R717" i="1"/>
  <c r="R252" i="1"/>
  <c r="R718" i="1"/>
  <c r="R719" i="1"/>
  <c r="R253" i="1"/>
  <c r="R254" i="1"/>
  <c r="R720" i="1"/>
  <c r="R255" i="1"/>
  <c r="R256" i="1"/>
  <c r="R721" i="1"/>
  <c r="R722" i="1"/>
  <c r="R257" i="1"/>
  <c r="R258" i="1"/>
  <c r="R259" i="1"/>
  <c r="R260" i="1"/>
  <c r="R261" i="1"/>
  <c r="R724" i="1"/>
  <c r="R262" i="1"/>
  <c r="R725" i="1"/>
  <c r="R726" i="1"/>
  <c r="R263" i="1"/>
  <c r="R264" i="1"/>
  <c r="R265" i="1"/>
  <c r="R727" i="1"/>
  <c r="R266" i="1"/>
  <c r="R267" i="1"/>
  <c r="R268" i="1"/>
  <c r="R269" i="1"/>
  <c r="R270" i="1"/>
  <c r="R271" i="1"/>
  <c r="R728" i="1"/>
  <c r="R272" i="1"/>
  <c r="R729" i="1"/>
  <c r="R274" i="1"/>
  <c r="R730" i="1"/>
  <c r="R731" i="1"/>
  <c r="R275" i="1"/>
  <c r="R276" i="1"/>
  <c r="R277" i="1"/>
  <c r="R732" i="1"/>
  <c r="R733" i="1"/>
  <c r="R734" i="1"/>
  <c r="R278" i="1"/>
  <c r="R279" i="1"/>
  <c r="R280" i="1"/>
  <c r="R735" i="1"/>
  <c r="R736" i="1"/>
  <c r="R737" i="1"/>
  <c r="R281" i="1"/>
  <c r="R282" i="1"/>
  <c r="R738" i="1"/>
  <c r="R283" i="1"/>
  <c r="R739" i="1"/>
  <c r="R284" i="1"/>
  <c r="R285" i="1"/>
  <c r="R286" i="1"/>
  <c r="R287" i="1"/>
  <c r="R289" i="1"/>
  <c r="R740" i="1"/>
  <c r="R290" i="1"/>
  <c r="R291" i="1"/>
  <c r="R741" i="1"/>
  <c r="R292" i="1"/>
  <c r="R742" i="1"/>
  <c r="R293" i="1"/>
  <c r="R294" i="1"/>
  <c r="R743" i="1"/>
  <c r="R744" i="1"/>
  <c r="R295" i="1"/>
  <c r="R745" i="1"/>
  <c r="R296" i="1"/>
  <c r="R746" i="1"/>
  <c r="R747" i="1"/>
  <c r="R748" i="1"/>
  <c r="R297" i="1"/>
  <c r="R749" i="1"/>
  <c r="R750" i="1"/>
  <c r="R298" i="1"/>
  <c r="R299" i="1"/>
  <c r="R300" i="1"/>
  <c r="R751" i="1"/>
  <c r="R752" i="1"/>
  <c r="R301" i="1"/>
  <c r="R302" i="1"/>
  <c r="R753" i="1"/>
  <c r="R303" i="1"/>
  <c r="R754" i="1"/>
  <c r="R304" i="1"/>
  <c r="R755" i="1"/>
  <c r="R305" i="1"/>
  <c r="R756" i="1"/>
  <c r="R306" i="1"/>
  <c r="R307" i="1"/>
  <c r="R757" i="1"/>
  <c r="R308" i="1"/>
  <c r="R758" i="1"/>
  <c r="R309" i="1"/>
  <c r="R310" i="1"/>
  <c r="R759" i="1"/>
  <c r="R311" i="1"/>
  <c r="R760" i="1"/>
  <c r="R312" i="1"/>
  <c r="R313" i="1"/>
  <c r="R761" i="1"/>
  <c r="R314" i="1"/>
  <c r="R315" i="1"/>
  <c r="R763" i="1"/>
  <c r="R764" i="1"/>
  <c r="R765" i="1"/>
  <c r="R317" i="1"/>
  <c r="R318" i="1"/>
  <c r="R766" i="1"/>
  <c r="R767" i="1"/>
  <c r="R319" i="1"/>
  <c r="R768" i="1"/>
  <c r="R320" i="1"/>
  <c r="R321" i="1"/>
  <c r="R322" i="1"/>
  <c r="R769" i="1"/>
  <c r="R323" i="1"/>
  <c r="R324" i="1"/>
  <c r="R325" i="1"/>
  <c r="R770" i="1"/>
  <c r="R771" i="1"/>
  <c r="R772" i="1"/>
  <c r="R326" i="1"/>
  <c r="R774" i="1"/>
  <c r="R327" i="1"/>
  <c r="R775" i="1"/>
  <c r="R776" i="1"/>
  <c r="R329" i="1"/>
  <c r="R330" i="1"/>
  <c r="R777" i="1"/>
  <c r="R778" i="1"/>
  <c r="R331" i="1"/>
  <c r="R332" i="1"/>
  <c r="R333" i="1"/>
  <c r="R779" i="1"/>
  <c r="R780" i="1"/>
  <c r="R781" i="1"/>
  <c r="R782" i="1"/>
  <c r="R334" i="1"/>
  <c r="R335" i="1"/>
  <c r="R336" i="1"/>
  <c r="R337" i="1"/>
  <c r="R783" i="1"/>
  <c r="R338" i="1"/>
  <c r="R784" i="1"/>
  <c r="R339" i="1"/>
  <c r="R785" i="1"/>
  <c r="R340" i="1"/>
  <c r="R342" i="1"/>
  <c r="R786" i="1"/>
  <c r="R343" i="1"/>
  <c r="R344" i="1"/>
  <c r="R787" i="1"/>
  <c r="R788" i="1"/>
  <c r="R789" i="1"/>
  <c r="R790" i="1"/>
  <c r="R791" i="1"/>
  <c r="R345" i="1"/>
  <c r="R792" i="1"/>
  <c r="R346" i="1"/>
  <c r="R793" i="1"/>
  <c r="R347" i="1"/>
  <c r="R348" i="1"/>
  <c r="R349" i="1"/>
  <c r="R350" i="1"/>
  <c r="R351" i="1"/>
  <c r="R352" i="1"/>
  <c r="R353" i="1"/>
  <c r="R354" i="1"/>
  <c r="R355" i="1"/>
  <c r="R795" i="1"/>
  <c r="R356" i="1"/>
  <c r="R357" i="1"/>
  <c r="R358" i="1"/>
  <c r="R796" i="1"/>
  <c r="R797" i="1"/>
  <c r="R798" i="1"/>
  <c r="R799" i="1"/>
  <c r="R359" i="1"/>
  <c r="R360" i="1"/>
  <c r="R800" i="1"/>
  <c r="R802" i="1"/>
  <c r="R803" i="1"/>
  <c r="R361" i="1"/>
  <c r="R362" i="1"/>
  <c r="R363" i="1"/>
  <c r="R364" i="1"/>
  <c r="R365" i="1"/>
  <c r="R804" i="1"/>
  <c r="R805" i="1"/>
  <c r="R366" i="1"/>
  <c r="R367" i="1"/>
  <c r="R806" i="1"/>
  <c r="R368" i="1"/>
  <c r="R369" i="1"/>
  <c r="R807" i="1"/>
  <c r="R370" i="1"/>
  <c r="R808" i="1"/>
  <c r="R371" i="1"/>
  <c r="R809" i="1"/>
  <c r="R810" i="1"/>
  <c r="R811" i="1"/>
  <c r="R812" i="1"/>
  <c r="R813" i="1"/>
  <c r="R372" i="1"/>
  <c r="R814" i="1"/>
  <c r="R816" i="1"/>
  <c r="R817" i="1"/>
  <c r="R373" i="1"/>
  <c r="R374" i="1"/>
  <c r="R375" i="1"/>
  <c r="R376" i="1"/>
  <c r="R818" i="1"/>
  <c r="R377" i="1"/>
  <c r="R819" i="1"/>
  <c r="R378" i="1"/>
  <c r="R379" i="1"/>
  <c r="R820" i="1"/>
  <c r="R380" i="1"/>
  <c r="R381" i="1"/>
  <c r="R821" i="1"/>
  <c r="R382" i="1"/>
  <c r="R822" i="1"/>
  <c r="R823" i="1"/>
  <c r="R383" i="1"/>
  <c r="R384" i="1"/>
  <c r="R825" i="1"/>
  <c r="R385" i="1"/>
  <c r="R386" i="1"/>
  <c r="R826" i="1"/>
  <c r="R827" i="1"/>
  <c r="R828" i="1"/>
  <c r="R829" i="1"/>
  <c r="R387" i="1"/>
  <c r="R830" i="1"/>
  <c r="R831" i="1"/>
  <c r="R388" i="1"/>
  <c r="R389" i="1"/>
  <c r="R390" i="1"/>
  <c r="R832" i="1"/>
  <c r="R833" i="1"/>
  <c r="R834" i="1"/>
  <c r="R391" i="1"/>
  <c r="R836" i="1"/>
  <c r="R837" i="1"/>
  <c r="R392" i="1"/>
  <c r="R393" i="1"/>
  <c r="R394" i="1"/>
  <c r="R395" i="1"/>
  <c r="R838" i="1"/>
  <c r="R396" i="1"/>
  <c r="R397" i="1"/>
  <c r="R399" i="1"/>
  <c r="R400" i="1"/>
  <c r="R839" i="1"/>
  <c r="R840" i="1"/>
  <c r="R841" i="1"/>
  <c r="R401" i="1"/>
  <c r="R842" i="1"/>
  <c r="R402" i="1"/>
  <c r="R843" i="1"/>
  <c r="R844" i="1"/>
  <c r="R845" i="1"/>
  <c r="R846" i="1"/>
  <c r="R847" i="1"/>
  <c r="R404" i="1"/>
  <c r="R848" i="1"/>
  <c r="R405" i="1"/>
  <c r="R850" i="1"/>
  <c r="R406" i="1"/>
  <c r="R851" i="1"/>
  <c r="R407" i="1"/>
  <c r="R852" i="1"/>
  <c r="R408" i="1"/>
  <c r="R409" i="1"/>
  <c r="R410" i="1"/>
  <c r="R853" i="1"/>
  <c r="R855" i="1"/>
  <c r="R411" i="1"/>
  <c r="R412" i="1"/>
  <c r="R413" i="1"/>
  <c r="R414" i="1"/>
  <c r="R415" i="1"/>
  <c r="R416" i="1"/>
  <c r="R417" i="1"/>
  <c r="R856" i="1"/>
  <c r="R418" i="1"/>
  <c r="R419" i="1"/>
  <c r="R857" i="1"/>
  <c r="R420" i="1"/>
  <c r="R858" i="1"/>
  <c r="R859" i="1"/>
  <c r="R421" i="1"/>
  <c r="R860" i="1"/>
  <c r="R422" i="1"/>
  <c r="R423" i="1"/>
  <c r="R424" i="1"/>
  <c r="R861" i="1"/>
  <c r="R425" i="1"/>
  <c r="R426" i="1"/>
  <c r="R863" i="1"/>
  <c r="R864" i="1"/>
  <c r="R427" i="1"/>
  <c r="R865" i="1"/>
  <c r="R428" i="1"/>
  <c r="R429" i="1"/>
  <c r="R430" i="1"/>
  <c r="R866" i="1"/>
  <c r="R431" i="1"/>
  <c r="R867" i="1"/>
  <c r="R868" i="1"/>
  <c r="R869" i="1"/>
  <c r="R432" i="1"/>
  <c r="R433" i="1"/>
  <c r="R870" i="1"/>
  <c r="R434" i="1"/>
  <c r="R435" i="1"/>
  <c r="R436" i="1"/>
  <c r="R871" i="1"/>
  <c r="R872" i="1"/>
  <c r="R873" i="1"/>
  <c r="R437" i="1"/>
  <c r="R874" i="1"/>
  <c r="R438" i="1"/>
  <c r="R439" i="1"/>
  <c r="R440" i="1"/>
  <c r="R441" i="1"/>
  <c r="R442" i="1"/>
  <c r="R875" i="1"/>
  <c r="R443" i="1"/>
  <c r="R876" i="1"/>
  <c r="R444" i="1"/>
  <c r="R877" i="1"/>
  <c r="R445" i="1"/>
  <c r="R446" i="1"/>
  <c r="R447" i="1"/>
  <c r="R448" i="1"/>
  <c r="R879" i="1"/>
  <c r="R449" i="1"/>
  <c r="R880" i="1"/>
  <c r="R450" i="1"/>
  <c r="R451" i="1"/>
  <c r="R452" i="1"/>
  <c r="R881" i="1"/>
  <c r="R453" i="1"/>
  <c r="R454" i="1"/>
  <c r="R882" i="1"/>
  <c r="R883" i="1"/>
  <c r="R884" i="1"/>
  <c r="R885" i="1"/>
  <c r="R456" i="1"/>
  <c r="R886" i="1"/>
  <c r="R887" i="1"/>
  <c r="R457" i="1"/>
  <c r="R458" i="1"/>
  <c r="R459" i="1"/>
  <c r="R889" i="1"/>
  <c r="R890" i="1"/>
  <c r="R460" i="1"/>
  <c r="R461" i="1"/>
  <c r="R891" i="1"/>
  <c r="R462" i="1"/>
  <c r="R463" i="1"/>
  <c r="R892" i="1"/>
  <c r="R464" i="1"/>
  <c r="R465" i="1"/>
  <c r="R893" i="1"/>
  <c r="R894" i="1"/>
  <c r="R895" i="1"/>
  <c r="R896" i="1"/>
  <c r="R466" i="1"/>
  <c r="R897" i="1"/>
  <c r="R467" i="1"/>
  <c r="R900" i="1"/>
  <c r="R468" i="1"/>
  <c r="R469" i="1"/>
  <c r="R901" i="1"/>
  <c r="R470" i="1"/>
  <c r="R902" i="1"/>
  <c r="R903" i="1"/>
  <c r="R471" i="1"/>
  <c r="R904" i="1"/>
  <c r="R905" i="1"/>
  <c r="R472" i="1"/>
  <c r="R906" i="1"/>
  <c r="R907" i="1"/>
  <c r="R473" i="1"/>
  <c r="R474" i="1"/>
  <c r="R908" i="1"/>
  <c r="R909" i="1"/>
  <c r="R475" i="1"/>
  <c r="R477" i="1"/>
  <c r="R478" i="1"/>
  <c r="R479" i="1"/>
  <c r="R910" i="1"/>
  <c r="R911" i="1"/>
  <c r="R480" i="1"/>
  <c r="R481" i="1"/>
  <c r="R482" i="1"/>
  <c r="R483" i="1"/>
  <c r="R484" i="1"/>
  <c r="R485" i="1"/>
  <c r="R912" i="1"/>
  <c r="R913" i="1"/>
  <c r="R914" i="1"/>
  <c r="R915" i="1"/>
  <c r="R916" i="1"/>
  <c r="R917" i="1"/>
  <c r="R486" i="1"/>
  <c r="R918" i="1"/>
  <c r="R920" i="1"/>
  <c r="R487" i="1"/>
  <c r="R488" i="1"/>
  <c r="R921" i="1"/>
  <c r="R922" i="1"/>
  <c r="R489" i="1"/>
  <c r="R490" i="1"/>
  <c r="R923" i="1"/>
  <c r="R491" i="1"/>
  <c r="R924" i="1"/>
  <c r="R493" i="1"/>
  <c r="R925" i="1"/>
  <c r="R926" i="1"/>
  <c r="R927" i="1"/>
  <c r="R494" i="1"/>
  <c r="R928" i="1"/>
  <c r="R495" i="1"/>
  <c r="R929" i="1"/>
  <c r="R930" i="1"/>
  <c r="R496" i="1"/>
  <c r="R497" i="1"/>
  <c r="R931" i="1"/>
  <c r="R498" i="1"/>
  <c r="R499" i="1"/>
  <c r="R500" i="1"/>
  <c r="R501" i="1"/>
  <c r="R932" i="1"/>
  <c r="R502" i="1"/>
  <c r="R933" i="1"/>
  <c r="R195" i="1"/>
  <c r="R539" i="1"/>
  <c r="R680" i="1"/>
  <c r="R608" i="1"/>
  <c r="R649" i="1"/>
  <c r="R579" i="1"/>
  <c r="R239" i="1"/>
  <c r="R773" i="1"/>
  <c r="R91" i="1"/>
  <c r="R159" i="1"/>
  <c r="R79" i="1"/>
  <c r="R659" i="1"/>
  <c r="R2" i="1"/>
  <c r="P3" i="1"/>
  <c r="P4" i="1"/>
  <c r="P5" i="1"/>
  <c r="P503" i="1"/>
  <c r="P6" i="1"/>
  <c r="P504" i="1"/>
  <c r="P506" i="1"/>
  <c r="P7" i="1"/>
  <c r="P507" i="1"/>
  <c r="P508" i="1"/>
  <c r="P9" i="1"/>
  <c r="P509" i="1"/>
  <c r="P10" i="1"/>
  <c r="P11" i="1"/>
  <c r="P12" i="1"/>
  <c r="P13" i="1"/>
  <c r="P510" i="1"/>
  <c r="P14" i="1"/>
  <c r="P511" i="1"/>
  <c r="P512" i="1"/>
  <c r="P513" i="1"/>
  <c r="P514" i="1"/>
  <c r="P15" i="1"/>
  <c r="P16" i="1"/>
  <c r="P17" i="1"/>
  <c r="P515" i="1"/>
  <c r="P18" i="1"/>
  <c r="P516" i="1"/>
  <c r="P19" i="1"/>
  <c r="P517" i="1"/>
  <c r="P20" i="1"/>
  <c r="P21" i="1"/>
  <c r="P518" i="1"/>
  <c r="P22" i="1"/>
  <c r="P23" i="1"/>
  <c r="P519" i="1"/>
  <c r="P24" i="1"/>
  <c r="P25" i="1"/>
  <c r="P26" i="1"/>
  <c r="P27" i="1"/>
  <c r="P520" i="1"/>
  <c r="P28" i="1"/>
  <c r="P29" i="1"/>
  <c r="P30" i="1"/>
  <c r="P31" i="1"/>
  <c r="P32" i="1"/>
  <c r="P521" i="1"/>
  <c r="P33" i="1"/>
  <c r="P522" i="1"/>
  <c r="P34" i="1"/>
  <c r="P35" i="1"/>
  <c r="P523" i="1"/>
  <c r="P524" i="1"/>
  <c r="P525" i="1"/>
  <c r="P526" i="1"/>
  <c r="P36" i="1"/>
  <c r="P37" i="1"/>
  <c r="P38" i="1"/>
  <c r="P39" i="1"/>
  <c r="P40" i="1"/>
  <c r="P41" i="1"/>
  <c r="P42" i="1"/>
  <c r="P43" i="1"/>
  <c r="P44" i="1"/>
  <c r="P527" i="1"/>
  <c r="P528" i="1"/>
  <c r="P45" i="1"/>
  <c r="P46" i="1"/>
  <c r="P529" i="1"/>
  <c r="P530" i="1"/>
  <c r="P47" i="1"/>
  <c r="P531" i="1"/>
  <c r="P532" i="1"/>
  <c r="P533" i="1"/>
  <c r="P48" i="1"/>
  <c r="P534" i="1"/>
  <c r="P535" i="1"/>
  <c r="P536" i="1"/>
  <c r="P49" i="1"/>
  <c r="P537" i="1"/>
  <c r="P50" i="1"/>
  <c r="P51" i="1"/>
  <c r="P52" i="1"/>
  <c r="P53" i="1"/>
  <c r="P54" i="1"/>
  <c r="P55" i="1"/>
  <c r="P56" i="1"/>
  <c r="P57" i="1"/>
  <c r="P538" i="1"/>
  <c r="P540" i="1"/>
  <c r="P541" i="1"/>
  <c r="P58" i="1"/>
  <c r="P59" i="1"/>
  <c r="P542" i="1"/>
  <c r="P60" i="1"/>
  <c r="P543" i="1"/>
  <c r="P61" i="1"/>
  <c r="P544" i="1"/>
  <c r="P545" i="1"/>
  <c r="P62" i="1"/>
  <c r="P546" i="1"/>
  <c r="P547" i="1"/>
  <c r="P548" i="1"/>
  <c r="P63" i="1"/>
  <c r="P64" i="1"/>
  <c r="P65" i="1"/>
  <c r="P66" i="1"/>
  <c r="P549" i="1"/>
  <c r="P67" i="1"/>
  <c r="P550" i="1"/>
  <c r="P68" i="1"/>
  <c r="P69" i="1"/>
  <c r="P70" i="1"/>
  <c r="P71" i="1"/>
  <c r="P551" i="1"/>
  <c r="P72" i="1"/>
  <c r="P73" i="1"/>
  <c r="P74" i="1"/>
  <c r="P75" i="1"/>
  <c r="P552" i="1"/>
  <c r="P76" i="1"/>
  <c r="P77" i="1"/>
  <c r="P80" i="1"/>
  <c r="P553" i="1"/>
  <c r="P554" i="1"/>
  <c r="P555" i="1"/>
  <c r="P81" i="1"/>
  <c r="P82" i="1"/>
  <c r="P83" i="1"/>
  <c r="P557" i="1"/>
  <c r="P84" i="1"/>
  <c r="P85" i="1"/>
  <c r="P558" i="1"/>
  <c r="P559" i="1"/>
  <c r="P560" i="1"/>
  <c r="P561" i="1"/>
  <c r="P87" i="1"/>
  <c r="P562" i="1"/>
  <c r="P88" i="1"/>
  <c r="P89" i="1"/>
  <c r="P90" i="1"/>
  <c r="P92" i="1"/>
  <c r="P93" i="1"/>
  <c r="P563" i="1"/>
  <c r="P564" i="1"/>
  <c r="P94" i="1"/>
  <c r="P565" i="1"/>
  <c r="P95" i="1"/>
  <c r="P96" i="1"/>
  <c r="P97" i="1"/>
  <c r="P98" i="1"/>
  <c r="P566" i="1"/>
  <c r="P99" i="1"/>
  <c r="P567" i="1"/>
  <c r="P568" i="1"/>
  <c r="P100" i="1"/>
  <c r="P101" i="1"/>
  <c r="P569" i="1"/>
  <c r="P570" i="1"/>
  <c r="P571" i="1"/>
  <c r="P102" i="1"/>
  <c r="P572" i="1"/>
  <c r="P573" i="1"/>
  <c r="P103" i="1"/>
  <c r="P574" i="1"/>
  <c r="P575" i="1"/>
  <c r="P576" i="1"/>
  <c r="P577" i="1"/>
  <c r="P578" i="1"/>
  <c r="P580" i="1"/>
  <c r="P581" i="1"/>
  <c r="P104" i="1"/>
  <c r="P582" i="1"/>
  <c r="P105" i="1"/>
  <c r="P583" i="1"/>
  <c r="P106" i="1"/>
  <c r="P107" i="1"/>
  <c r="P108" i="1"/>
  <c r="P109" i="1"/>
  <c r="P584" i="1"/>
  <c r="P110" i="1"/>
  <c r="P585" i="1"/>
  <c r="P111" i="1"/>
  <c r="P112" i="1"/>
  <c r="P113" i="1"/>
  <c r="P586" i="1"/>
  <c r="P587" i="1"/>
  <c r="P588" i="1"/>
  <c r="P589" i="1"/>
  <c r="P114" i="1"/>
  <c r="P115" i="1"/>
  <c r="P116" i="1"/>
  <c r="P590" i="1"/>
  <c r="P591" i="1"/>
  <c r="P117" i="1"/>
  <c r="P592" i="1"/>
  <c r="P118" i="1"/>
  <c r="P119" i="1"/>
  <c r="P593" i="1"/>
  <c r="P594" i="1"/>
  <c r="P595" i="1"/>
  <c r="P120" i="1"/>
  <c r="P596" i="1"/>
  <c r="P597" i="1"/>
  <c r="P598" i="1"/>
  <c r="P121" i="1"/>
  <c r="P599" i="1"/>
  <c r="P600" i="1"/>
  <c r="P122" i="1"/>
  <c r="P123" i="1"/>
  <c r="P124" i="1"/>
  <c r="P125" i="1"/>
  <c r="P126" i="1"/>
  <c r="P127" i="1"/>
  <c r="P601" i="1"/>
  <c r="P602" i="1"/>
  <c r="P603" i="1"/>
  <c r="P128" i="1"/>
  <c r="P129" i="1"/>
  <c r="P604" i="1"/>
  <c r="P605" i="1"/>
  <c r="P606" i="1"/>
  <c r="P607" i="1"/>
  <c r="P130" i="1"/>
  <c r="P609" i="1"/>
  <c r="P131" i="1"/>
  <c r="P132" i="1"/>
  <c r="P610" i="1"/>
  <c r="P133" i="1"/>
  <c r="P134" i="1"/>
  <c r="P611" i="1"/>
  <c r="P135" i="1"/>
  <c r="P136" i="1"/>
  <c r="P137" i="1"/>
  <c r="P138" i="1"/>
  <c r="P139" i="1"/>
  <c r="P140" i="1"/>
  <c r="P141" i="1"/>
  <c r="P142" i="1"/>
  <c r="P612" i="1"/>
  <c r="P613" i="1"/>
  <c r="P614" i="1"/>
  <c r="P143" i="1"/>
  <c r="P144" i="1"/>
  <c r="P145" i="1"/>
  <c r="P146" i="1"/>
  <c r="P147" i="1"/>
  <c r="P615" i="1"/>
  <c r="P148" i="1"/>
  <c r="P616" i="1"/>
  <c r="P617" i="1"/>
  <c r="P150" i="1"/>
  <c r="P618" i="1"/>
  <c r="P619" i="1"/>
  <c r="P151" i="1"/>
  <c r="P620" i="1"/>
  <c r="P152" i="1"/>
  <c r="P153" i="1"/>
  <c r="P621" i="1"/>
  <c r="P622" i="1"/>
  <c r="P623" i="1"/>
  <c r="P624" i="1"/>
  <c r="P154" i="1"/>
  <c r="P155" i="1"/>
  <c r="P625" i="1"/>
  <c r="P626" i="1"/>
  <c r="P627" i="1"/>
  <c r="P628" i="1"/>
  <c r="P156" i="1"/>
  <c r="P157" i="1"/>
  <c r="P158" i="1"/>
  <c r="P629" i="1"/>
  <c r="P160" i="1"/>
  <c r="P161" i="1"/>
  <c r="P162" i="1"/>
  <c r="P630" i="1"/>
  <c r="P631" i="1"/>
  <c r="P164" i="1"/>
  <c r="P165" i="1"/>
  <c r="P632" i="1"/>
  <c r="P167" i="1"/>
  <c r="P633" i="1"/>
  <c r="P168" i="1"/>
  <c r="P634" i="1"/>
  <c r="P169" i="1"/>
  <c r="P170" i="1"/>
  <c r="P171" i="1"/>
  <c r="P635" i="1"/>
  <c r="P636" i="1"/>
  <c r="P172" i="1"/>
  <c r="P637" i="1"/>
  <c r="P173" i="1"/>
  <c r="P638" i="1"/>
  <c r="P639" i="1"/>
  <c r="P640" i="1"/>
  <c r="P174" i="1"/>
  <c r="P641" i="1"/>
  <c r="P175" i="1"/>
  <c r="P176" i="1"/>
  <c r="P642" i="1"/>
  <c r="P643" i="1"/>
  <c r="P177" i="1"/>
  <c r="P178" i="1"/>
  <c r="P179" i="1"/>
  <c r="P644" i="1"/>
  <c r="P645" i="1"/>
  <c r="P646" i="1"/>
  <c r="P180" i="1"/>
  <c r="P181" i="1"/>
  <c r="P182" i="1"/>
  <c r="P183" i="1"/>
  <c r="P647" i="1"/>
  <c r="P648" i="1"/>
  <c r="P184" i="1"/>
  <c r="P185" i="1"/>
  <c r="P650" i="1"/>
  <c r="P186" i="1"/>
  <c r="P187" i="1"/>
  <c r="P188" i="1"/>
  <c r="P189" i="1"/>
  <c r="P190" i="1"/>
  <c r="P191" i="1"/>
  <c r="P651" i="1"/>
  <c r="P652" i="1"/>
  <c r="P653" i="1"/>
  <c r="P192" i="1"/>
  <c r="P654" i="1"/>
  <c r="P655" i="1"/>
  <c r="P193" i="1"/>
  <c r="P194" i="1"/>
  <c r="P656" i="1"/>
  <c r="P657" i="1"/>
  <c r="P196" i="1"/>
  <c r="P658" i="1"/>
  <c r="P197" i="1"/>
  <c r="P198" i="1"/>
  <c r="P199" i="1"/>
  <c r="P660" i="1"/>
  <c r="P200" i="1"/>
  <c r="P661" i="1"/>
  <c r="P662" i="1"/>
  <c r="P663" i="1"/>
  <c r="P201" i="1"/>
  <c r="P202" i="1"/>
  <c r="P664" i="1"/>
  <c r="P203" i="1"/>
  <c r="P204" i="1"/>
  <c r="P665" i="1"/>
  <c r="P205" i="1"/>
  <c r="P666" i="1"/>
  <c r="P667" i="1"/>
  <c r="P668" i="1"/>
  <c r="P206" i="1"/>
  <c r="P207" i="1"/>
  <c r="P669" i="1"/>
  <c r="P670" i="1"/>
  <c r="P671" i="1"/>
  <c r="P208" i="1"/>
  <c r="P209" i="1"/>
  <c r="P672" i="1"/>
  <c r="P210" i="1"/>
  <c r="P673" i="1"/>
  <c r="P674" i="1"/>
  <c r="P211" i="1"/>
  <c r="P675" i="1"/>
  <c r="P212" i="1"/>
  <c r="P676" i="1"/>
  <c r="P677" i="1"/>
  <c r="P213" i="1"/>
  <c r="P214" i="1"/>
  <c r="P678" i="1"/>
  <c r="P679" i="1"/>
  <c r="P681" i="1"/>
  <c r="P215" i="1"/>
  <c r="P216" i="1"/>
  <c r="P682" i="1"/>
  <c r="P684" i="1"/>
  <c r="P217" i="1"/>
  <c r="P218" i="1"/>
  <c r="P685" i="1"/>
  <c r="P686" i="1"/>
  <c r="P687" i="1"/>
  <c r="P219" i="1"/>
  <c r="P688" i="1"/>
  <c r="P689" i="1"/>
  <c r="P690" i="1"/>
  <c r="P220" i="1"/>
  <c r="P221" i="1"/>
  <c r="P222" i="1"/>
  <c r="P691" i="1"/>
  <c r="P223" i="1"/>
  <c r="P224" i="1"/>
  <c r="P225" i="1"/>
  <c r="P226" i="1"/>
  <c r="P692" i="1"/>
  <c r="P693" i="1"/>
  <c r="P227" i="1"/>
  <c r="P694" i="1"/>
  <c r="P696" i="1"/>
  <c r="P697" i="1"/>
  <c r="P228" i="1"/>
  <c r="P229" i="1"/>
  <c r="P230" i="1"/>
  <c r="P231" i="1"/>
  <c r="P698" i="1"/>
  <c r="P232" i="1"/>
  <c r="P699" i="1"/>
  <c r="P700" i="1"/>
  <c r="P233" i="1"/>
  <c r="P701" i="1"/>
  <c r="P234" i="1"/>
  <c r="P702" i="1"/>
  <c r="P235" i="1"/>
  <c r="P236" i="1"/>
  <c r="P703" i="1"/>
  <c r="P704" i="1"/>
  <c r="P237" i="1"/>
  <c r="P705" i="1"/>
  <c r="P706" i="1"/>
  <c r="P707" i="1"/>
  <c r="P708" i="1"/>
  <c r="P238" i="1"/>
  <c r="P240" i="1"/>
  <c r="P241" i="1"/>
  <c r="P242" i="1"/>
  <c r="P709" i="1"/>
  <c r="P710" i="1"/>
  <c r="P711" i="1"/>
  <c r="P243" i="1"/>
  <c r="P244" i="1"/>
  <c r="P245" i="1"/>
  <c r="P246" i="1"/>
  <c r="P712" i="1"/>
  <c r="P713" i="1"/>
  <c r="P247" i="1"/>
  <c r="P248" i="1"/>
  <c r="P714" i="1"/>
  <c r="P715" i="1"/>
  <c r="P249" i="1"/>
  <c r="P250" i="1"/>
  <c r="P716" i="1"/>
  <c r="P251" i="1"/>
  <c r="P717" i="1"/>
  <c r="P252" i="1"/>
  <c r="P718" i="1"/>
  <c r="P719" i="1"/>
  <c r="P253" i="1"/>
  <c r="P254" i="1"/>
  <c r="P720" i="1"/>
  <c r="P255" i="1"/>
  <c r="P256" i="1"/>
  <c r="P721" i="1"/>
  <c r="P722" i="1"/>
  <c r="P257" i="1"/>
  <c r="P258" i="1"/>
  <c r="P259" i="1"/>
  <c r="P260" i="1"/>
  <c r="P261" i="1"/>
  <c r="P723" i="1"/>
  <c r="P724" i="1"/>
  <c r="P262" i="1"/>
  <c r="P725" i="1"/>
  <c r="P726" i="1"/>
  <c r="P263" i="1"/>
  <c r="P264" i="1"/>
  <c r="P265" i="1"/>
  <c r="P727" i="1"/>
  <c r="P266" i="1"/>
  <c r="P267" i="1"/>
  <c r="P268" i="1"/>
  <c r="P269" i="1"/>
  <c r="P270" i="1"/>
  <c r="P271" i="1"/>
  <c r="P728" i="1"/>
  <c r="P272" i="1"/>
  <c r="P729" i="1"/>
  <c r="P273" i="1"/>
  <c r="P274" i="1"/>
  <c r="P730" i="1"/>
  <c r="P731" i="1"/>
  <c r="P275" i="1"/>
  <c r="P276" i="1"/>
  <c r="P277" i="1"/>
  <c r="P732" i="1"/>
  <c r="P733" i="1"/>
  <c r="P734" i="1"/>
  <c r="P278" i="1"/>
  <c r="P279" i="1"/>
  <c r="P280" i="1"/>
  <c r="P735" i="1"/>
  <c r="P736" i="1"/>
  <c r="P737" i="1"/>
  <c r="P281" i="1"/>
  <c r="P282" i="1"/>
  <c r="P738" i="1"/>
  <c r="P283" i="1"/>
  <c r="P739" i="1"/>
  <c r="P284" i="1"/>
  <c r="P285" i="1"/>
  <c r="P286" i="1"/>
  <c r="P287" i="1"/>
  <c r="P289" i="1"/>
  <c r="P740" i="1"/>
  <c r="P290" i="1"/>
  <c r="P291" i="1"/>
  <c r="P741" i="1"/>
  <c r="P292" i="1"/>
  <c r="P742" i="1"/>
  <c r="P293" i="1"/>
  <c r="P294" i="1"/>
  <c r="P743" i="1"/>
  <c r="P744" i="1"/>
  <c r="P295" i="1"/>
  <c r="P745" i="1"/>
  <c r="P296" i="1"/>
  <c r="P746" i="1"/>
  <c r="P747" i="1"/>
  <c r="P748" i="1"/>
  <c r="P297" i="1"/>
  <c r="P749" i="1"/>
  <c r="P750" i="1"/>
  <c r="P298" i="1"/>
  <c r="P299" i="1"/>
  <c r="P300" i="1"/>
  <c r="P751" i="1"/>
  <c r="P752" i="1"/>
  <c r="P301" i="1"/>
  <c r="P302" i="1"/>
  <c r="P753" i="1"/>
  <c r="P303" i="1"/>
  <c r="P754" i="1"/>
  <c r="P304" i="1"/>
  <c r="P755" i="1"/>
  <c r="P305" i="1"/>
  <c r="P756" i="1"/>
  <c r="P306" i="1"/>
  <c r="P307" i="1"/>
  <c r="P757" i="1"/>
  <c r="P308" i="1"/>
  <c r="P758" i="1"/>
  <c r="P309" i="1"/>
  <c r="P310" i="1"/>
  <c r="P759" i="1"/>
  <c r="P311" i="1"/>
  <c r="P760" i="1"/>
  <c r="P312" i="1"/>
  <c r="P313" i="1"/>
  <c r="P761" i="1"/>
  <c r="P314" i="1"/>
  <c r="P315" i="1"/>
  <c r="P763" i="1"/>
  <c r="P764" i="1"/>
  <c r="P316" i="1"/>
  <c r="P765" i="1"/>
  <c r="P317" i="1"/>
  <c r="P318" i="1"/>
  <c r="P766" i="1"/>
  <c r="P767" i="1"/>
  <c r="P319" i="1"/>
  <c r="P768" i="1"/>
  <c r="P320" i="1"/>
  <c r="P321" i="1"/>
  <c r="P322" i="1"/>
  <c r="P769" i="1"/>
  <c r="P323" i="1"/>
  <c r="P324" i="1"/>
  <c r="P325" i="1"/>
  <c r="P770" i="1"/>
  <c r="P771" i="1"/>
  <c r="P772" i="1"/>
  <c r="P326" i="1"/>
  <c r="P774" i="1"/>
  <c r="P327" i="1"/>
  <c r="P775" i="1"/>
  <c r="P328" i="1"/>
  <c r="P776" i="1"/>
  <c r="P329" i="1"/>
  <c r="P330" i="1"/>
  <c r="P777" i="1"/>
  <c r="P778" i="1"/>
  <c r="P331" i="1"/>
  <c r="P332" i="1"/>
  <c r="P333" i="1"/>
  <c r="P779" i="1"/>
  <c r="P780" i="1"/>
  <c r="P781" i="1"/>
  <c r="P782" i="1"/>
  <c r="P334" i="1"/>
  <c r="P335" i="1"/>
  <c r="P336" i="1"/>
  <c r="P337" i="1"/>
  <c r="P783" i="1"/>
  <c r="P338" i="1"/>
  <c r="P784" i="1"/>
  <c r="P339" i="1"/>
  <c r="P785" i="1"/>
  <c r="P340" i="1"/>
  <c r="P342" i="1"/>
  <c r="P786" i="1"/>
  <c r="P343" i="1"/>
  <c r="P344" i="1"/>
  <c r="P787" i="1"/>
  <c r="P788" i="1"/>
  <c r="P789" i="1"/>
  <c r="P790" i="1"/>
  <c r="P791" i="1"/>
  <c r="P345" i="1"/>
  <c r="P792" i="1"/>
  <c r="P346" i="1"/>
  <c r="P793" i="1"/>
  <c r="P794" i="1"/>
  <c r="P347" i="1"/>
  <c r="P348" i="1"/>
  <c r="P349" i="1"/>
  <c r="P350" i="1"/>
  <c r="P351" i="1"/>
  <c r="P352" i="1"/>
  <c r="P353" i="1"/>
  <c r="P354" i="1"/>
  <c r="P355" i="1"/>
  <c r="P795" i="1"/>
  <c r="P356" i="1"/>
  <c r="P357" i="1"/>
  <c r="P358" i="1"/>
  <c r="P796" i="1"/>
  <c r="P797" i="1"/>
  <c r="P798" i="1"/>
  <c r="P799" i="1"/>
  <c r="P359" i="1"/>
  <c r="P360" i="1"/>
  <c r="P800" i="1"/>
  <c r="P802" i="1"/>
  <c r="P803" i="1"/>
  <c r="P361" i="1"/>
  <c r="P362" i="1"/>
  <c r="P363" i="1"/>
  <c r="P364" i="1"/>
  <c r="P365" i="1"/>
  <c r="P804" i="1"/>
  <c r="P805" i="1"/>
  <c r="P366" i="1"/>
  <c r="P367" i="1"/>
  <c r="P806" i="1"/>
  <c r="P368" i="1"/>
  <c r="P369" i="1"/>
  <c r="P807" i="1"/>
  <c r="P370" i="1"/>
  <c r="P808" i="1"/>
  <c r="P371" i="1"/>
  <c r="P809" i="1"/>
  <c r="P810" i="1"/>
  <c r="P811" i="1"/>
  <c r="P812" i="1"/>
  <c r="P813" i="1"/>
  <c r="P372" i="1"/>
  <c r="P814" i="1"/>
  <c r="P815" i="1"/>
  <c r="P816" i="1"/>
  <c r="P817" i="1"/>
  <c r="P373" i="1"/>
  <c r="P374" i="1"/>
  <c r="P375" i="1"/>
  <c r="P376" i="1"/>
  <c r="P818" i="1"/>
  <c r="P377" i="1"/>
  <c r="P819" i="1"/>
  <c r="P378" i="1"/>
  <c r="P379" i="1"/>
  <c r="P820" i="1"/>
  <c r="P380" i="1"/>
  <c r="P381" i="1"/>
  <c r="P821" i="1"/>
  <c r="P382" i="1"/>
  <c r="P822" i="1"/>
  <c r="P823" i="1"/>
  <c r="P383" i="1"/>
  <c r="P384" i="1"/>
  <c r="P825" i="1"/>
  <c r="P385" i="1"/>
  <c r="P386" i="1"/>
  <c r="P826" i="1"/>
  <c r="P827" i="1"/>
  <c r="P828" i="1"/>
  <c r="P829" i="1"/>
  <c r="P387" i="1"/>
  <c r="P830" i="1"/>
  <c r="P831" i="1"/>
  <c r="P388" i="1"/>
  <c r="P389" i="1"/>
  <c r="P390" i="1"/>
  <c r="P832" i="1"/>
  <c r="P833" i="1"/>
  <c r="P834" i="1"/>
  <c r="P391" i="1"/>
  <c r="P836" i="1"/>
  <c r="P837" i="1"/>
  <c r="P392" i="1"/>
  <c r="P393" i="1"/>
  <c r="P394" i="1"/>
  <c r="P395" i="1"/>
  <c r="P838" i="1"/>
  <c r="P396" i="1"/>
  <c r="P397" i="1"/>
  <c r="P399" i="1"/>
  <c r="P400" i="1"/>
  <c r="P839" i="1"/>
  <c r="P840" i="1"/>
  <c r="P841" i="1"/>
  <c r="P401" i="1"/>
  <c r="P842" i="1"/>
  <c r="P402" i="1"/>
  <c r="P843" i="1"/>
  <c r="P844" i="1"/>
  <c r="P845" i="1"/>
  <c r="P846" i="1"/>
  <c r="P847" i="1"/>
  <c r="P404" i="1"/>
  <c r="P848" i="1"/>
  <c r="P405" i="1"/>
  <c r="P850" i="1"/>
  <c r="P406" i="1"/>
  <c r="P851" i="1"/>
  <c r="P407" i="1"/>
  <c r="P852" i="1"/>
  <c r="P408" i="1"/>
  <c r="P409" i="1"/>
  <c r="P410" i="1"/>
  <c r="P853" i="1"/>
  <c r="P855" i="1"/>
  <c r="P411" i="1"/>
  <c r="P412" i="1"/>
  <c r="P413" i="1"/>
  <c r="P414" i="1"/>
  <c r="P415" i="1"/>
  <c r="P416" i="1"/>
  <c r="P417" i="1"/>
  <c r="P856" i="1"/>
  <c r="P418" i="1"/>
  <c r="P419" i="1"/>
  <c r="P857" i="1"/>
  <c r="P420" i="1"/>
  <c r="P858" i="1"/>
  <c r="P859" i="1"/>
  <c r="P421" i="1"/>
  <c r="P860" i="1"/>
  <c r="P422" i="1"/>
  <c r="P423" i="1"/>
  <c r="P424" i="1"/>
  <c r="P861" i="1"/>
  <c r="P862" i="1"/>
  <c r="P425" i="1"/>
  <c r="P426" i="1"/>
  <c r="P863" i="1"/>
  <c r="P864" i="1"/>
  <c r="P427" i="1"/>
  <c r="P865" i="1"/>
  <c r="P428" i="1"/>
  <c r="P429" i="1"/>
  <c r="P430" i="1"/>
  <c r="P866" i="1"/>
  <c r="P431" i="1"/>
  <c r="P867" i="1"/>
  <c r="P868" i="1"/>
  <c r="P869" i="1"/>
  <c r="P432" i="1"/>
  <c r="P433" i="1"/>
  <c r="P870" i="1"/>
  <c r="P434" i="1"/>
  <c r="P435" i="1"/>
  <c r="P436" i="1"/>
  <c r="P871" i="1"/>
  <c r="P872" i="1"/>
  <c r="P873" i="1"/>
  <c r="P437" i="1"/>
  <c r="P874" i="1"/>
  <c r="P438" i="1"/>
  <c r="P439" i="1"/>
  <c r="P440" i="1"/>
  <c r="P441" i="1"/>
  <c r="P442" i="1"/>
  <c r="P875" i="1"/>
  <c r="P443" i="1"/>
  <c r="P876" i="1"/>
  <c r="P444" i="1"/>
  <c r="P877" i="1"/>
  <c r="P445" i="1"/>
  <c r="P446" i="1"/>
  <c r="P878" i="1"/>
  <c r="P447" i="1"/>
  <c r="P448" i="1"/>
  <c r="P879" i="1"/>
  <c r="P449" i="1"/>
  <c r="P880" i="1"/>
  <c r="P450" i="1"/>
  <c r="P451" i="1"/>
  <c r="P452" i="1"/>
  <c r="P881" i="1"/>
  <c r="P453" i="1"/>
  <c r="P454" i="1"/>
  <c r="P882" i="1"/>
  <c r="P883" i="1"/>
  <c r="P455" i="1"/>
  <c r="P884" i="1"/>
  <c r="P885" i="1"/>
  <c r="P456" i="1"/>
  <c r="P886" i="1"/>
  <c r="P887" i="1"/>
  <c r="P888" i="1"/>
  <c r="P457" i="1"/>
  <c r="P458" i="1"/>
  <c r="P459" i="1"/>
  <c r="P889" i="1"/>
  <c r="P890" i="1"/>
  <c r="P460" i="1"/>
  <c r="P461" i="1"/>
  <c r="P891" i="1"/>
  <c r="P462" i="1"/>
  <c r="P463" i="1"/>
  <c r="P892" i="1"/>
  <c r="P464" i="1"/>
  <c r="P465" i="1"/>
  <c r="P893" i="1"/>
  <c r="P894" i="1"/>
  <c r="P895" i="1"/>
  <c r="P896" i="1"/>
  <c r="P466" i="1"/>
  <c r="P897" i="1"/>
  <c r="P467" i="1"/>
  <c r="P898" i="1"/>
  <c r="P899" i="1"/>
  <c r="P900" i="1"/>
  <c r="P468" i="1"/>
  <c r="P469" i="1"/>
  <c r="P901" i="1"/>
  <c r="P470" i="1"/>
  <c r="P902" i="1"/>
  <c r="P903" i="1"/>
  <c r="P471" i="1"/>
  <c r="P904" i="1"/>
  <c r="P905" i="1"/>
  <c r="P472" i="1"/>
  <c r="P906" i="1"/>
  <c r="P907" i="1"/>
  <c r="P473" i="1"/>
  <c r="P474" i="1"/>
  <c r="P908" i="1"/>
  <c r="P909" i="1"/>
  <c r="P475" i="1"/>
  <c r="P477" i="1"/>
  <c r="P478" i="1"/>
  <c r="P479" i="1"/>
  <c r="P910" i="1"/>
  <c r="P911" i="1"/>
  <c r="P480" i="1"/>
  <c r="P481" i="1"/>
  <c r="P482" i="1"/>
  <c r="P483" i="1"/>
  <c r="P484" i="1"/>
  <c r="P485" i="1"/>
  <c r="P912" i="1"/>
  <c r="P913" i="1"/>
  <c r="P914" i="1"/>
  <c r="P915" i="1"/>
  <c r="P916" i="1"/>
  <c r="P917" i="1"/>
  <c r="P486" i="1"/>
  <c r="P918" i="1"/>
  <c r="P919" i="1"/>
  <c r="P920" i="1"/>
  <c r="P487" i="1"/>
  <c r="P488" i="1"/>
  <c r="P921" i="1"/>
  <c r="P922" i="1"/>
  <c r="P489" i="1"/>
  <c r="P490" i="1"/>
  <c r="P923" i="1"/>
  <c r="P491" i="1"/>
  <c r="P924" i="1"/>
  <c r="P492" i="1"/>
  <c r="P493" i="1"/>
  <c r="P925" i="1"/>
  <c r="P926" i="1"/>
  <c r="P927" i="1"/>
  <c r="P494" i="1"/>
  <c r="P928" i="1"/>
  <c r="P495" i="1"/>
  <c r="P929" i="1"/>
  <c r="P930" i="1"/>
  <c r="P496" i="1"/>
  <c r="P497" i="1"/>
  <c r="P931" i="1"/>
  <c r="P498" i="1"/>
  <c r="P499" i="1"/>
  <c r="P500" i="1"/>
  <c r="P501" i="1"/>
  <c r="P932" i="1"/>
  <c r="P502" i="1"/>
  <c r="P933" i="1"/>
  <c r="P195" i="1"/>
  <c r="P539" i="1"/>
  <c r="P680" i="1"/>
  <c r="P608" i="1"/>
  <c r="P649" i="1"/>
  <c r="P579" i="1"/>
  <c r="P239" i="1"/>
  <c r="P773" i="1"/>
  <c r="P91" i="1"/>
  <c r="P159" i="1"/>
  <c r="P79" i="1"/>
  <c r="P659" i="1"/>
  <c r="P2" i="1"/>
  <c r="N3" i="1"/>
  <c r="N4" i="1"/>
  <c r="N5" i="1"/>
  <c r="N503" i="1"/>
  <c r="N6" i="1"/>
  <c r="N504" i="1"/>
  <c r="N506" i="1"/>
  <c r="N7" i="1"/>
  <c r="N507" i="1"/>
  <c r="N508" i="1"/>
  <c r="N8" i="1"/>
  <c r="N9" i="1"/>
  <c r="N509" i="1"/>
  <c r="N10" i="1"/>
  <c r="N11" i="1"/>
  <c r="N12" i="1"/>
  <c r="N13" i="1"/>
  <c r="N510" i="1"/>
  <c r="N14" i="1"/>
  <c r="N511" i="1"/>
  <c r="N512" i="1"/>
  <c r="N513" i="1"/>
  <c r="N514" i="1"/>
  <c r="N15" i="1"/>
  <c r="N16" i="1"/>
  <c r="N17" i="1"/>
  <c r="N515" i="1"/>
  <c r="N18" i="1"/>
  <c r="N516" i="1"/>
  <c r="N19" i="1"/>
  <c r="N517" i="1"/>
  <c r="N20" i="1"/>
  <c r="N21" i="1"/>
  <c r="N518" i="1"/>
  <c r="N22" i="1"/>
  <c r="N23" i="1"/>
  <c r="N519" i="1"/>
  <c r="N24" i="1"/>
  <c r="N25" i="1"/>
  <c r="N26" i="1"/>
  <c r="N27" i="1"/>
  <c r="N520" i="1"/>
  <c r="N28" i="1"/>
  <c r="N29" i="1"/>
  <c r="N30" i="1"/>
  <c r="N31" i="1"/>
  <c r="N32" i="1"/>
  <c r="N521" i="1"/>
  <c r="N33" i="1"/>
  <c r="N522" i="1"/>
  <c r="N34" i="1"/>
  <c r="N35" i="1"/>
  <c r="N523" i="1"/>
  <c r="N524" i="1"/>
  <c r="N525" i="1"/>
  <c r="N526" i="1"/>
  <c r="N36" i="1"/>
  <c r="N37" i="1"/>
  <c r="N38" i="1"/>
  <c r="N39" i="1"/>
  <c r="N40" i="1"/>
  <c r="N41" i="1"/>
  <c r="N42" i="1"/>
  <c r="N43" i="1"/>
  <c r="N44" i="1"/>
  <c r="N527" i="1"/>
  <c r="N528" i="1"/>
  <c r="N45" i="1"/>
  <c r="N46" i="1"/>
  <c r="N529" i="1"/>
  <c r="N530" i="1"/>
  <c r="N47" i="1"/>
  <c r="N531" i="1"/>
  <c r="N532" i="1"/>
  <c r="N533" i="1"/>
  <c r="N48" i="1"/>
  <c r="N534" i="1"/>
  <c r="N535" i="1"/>
  <c r="N536" i="1"/>
  <c r="N49" i="1"/>
  <c r="N537" i="1"/>
  <c r="N50" i="1"/>
  <c r="N51" i="1"/>
  <c r="N52" i="1"/>
  <c r="N53" i="1"/>
  <c r="N54" i="1"/>
  <c r="N55" i="1"/>
  <c r="N56" i="1"/>
  <c r="N57" i="1"/>
  <c r="N538" i="1"/>
  <c r="N540" i="1"/>
  <c r="N541" i="1"/>
  <c r="N58" i="1"/>
  <c r="N59" i="1"/>
  <c r="N542" i="1"/>
  <c r="N60" i="1"/>
  <c r="N543" i="1"/>
  <c r="N61" i="1"/>
  <c r="N544" i="1"/>
  <c r="N545" i="1"/>
  <c r="N62" i="1"/>
  <c r="N546" i="1"/>
  <c r="N547" i="1"/>
  <c r="N548" i="1"/>
  <c r="N63" i="1"/>
  <c r="N64" i="1"/>
  <c r="N65" i="1"/>
  <c r="N66" i="1"/>
  <c r="N549" i="1"/>
  <c r="N67" i="1"/>
  <c r="N550" i="1"/>
  <c r="N68" i="1"/>
  <c r="N69" i="1"/>
  <c r="N70" i="1"/>
  <c r="N71" i="1"/>
  <c r="N551" i="1"/>
  <c r="N72" i="1"/>
  <c r="N73" i="1"/>
  <c r="N74" i="1"/>
  <c r="N75" i="1"/>
  <c r="N552" i="1"/>
  <c r="N76" i="1"/>
  <c r="N77" i="1"/>
  <c r="N80" i="1"/>
  <c r="N553" i="1"/>
  <c r="N554" i="1"/>
  <c r="N555" i="1"/>
  <c r="N81" i="1"/>
  <c r="N82" i="1"/>
  <c r="N83" i="1"/>
  <c r="N557" i="1"/>
  <c r="N84" i="1"/>
  <c r="N85" i="1"/>
  <c r="N558" i="1"/>
  <c r="N559" i="1"/>
  <c r="N560" i="1"/>
  <c r="N561" i="1"/>
  <c r="N87" i="1"/>
  <c r="N562" i="1"/>
  <c r="N88" i="1"/>
  <c r="N89" i="1"/>
  <c r="N90" i="1"/>
  <c r="N92" i="1"/>
  <c r="N93" i="1"/>
  <c r="N563" i="1"/>
  <c r="N564" i="1"/>
  <c r="N94" i="1"/>
  <c r="N565" i="1"/>
  <c r="N95" i="1"/>
  <c r="N96" i="1"/>
  <c r="N97" i="1"/>
  <c r="N98" i="1"/>
  <c r="N566" i="1"/>
  <c r="N99" i="1"/>
  <c r="N567" i="1"/>
  <c r="N568" i="1"/>
  <c r="N100" i="1"/>
  <c r="N101" i="1"/>
  <c r="N569" i="1"/>
  <c r="N570" i="1"/>
  <c r="N571" i="1"/>
  <c r="N102" i="1"/>
  <c r="N572" i="1"/>
  <c r="N573" i="1"/>
  <c r="N103" i="1"/>
  <c r="N574" i="1"/>
  <c r="N575" i="1"/>
  <c r="N576" i="1"/>
  <c r="N577" i="1"/>
  <c r="N578" i="1"/>
  <c r="N580" i="1"/>
  <c r="N581" i="1"/>
  <c r="N104" i="1"/>
  <c r="N582" i="1"/>
  <c r="N105" i="1"/>
  <c r="N583" i="1"/>
  <c r="N106" i="1"/>
  <c r="N107" i="1"/>
  <c r="N108" i="1"/>
  <c r="N109" i="1"/>
  <c r="N584" i="1"/>
  <c r="N110" i="1"/>
  <c r="N585" i="1"/>
  <c r="N111" i="1"/>
  <c r="N112" i="1"/>
  <c r="N113" i="1"/>
  <c r="N586" i="1"/>
  <c r="N587" i="1"/>
  <c r="N588" i="1"/>
  <c r="N589" i="1"/>
  <c r="N114" i="1"/>
  <c r="N115" i="1"/>
  <c r="N116" i="1"/>
  <c r="N590" i="1"/>
  <c r="N591" i="1"/>
  <c r="N117" i="1"/>
  <c r="N592" i="1"/>
  <c r="N118" i="1"/>
  <c r="N119" i="1"/>
  <c r="N593" i="1"/>
  <c r="N594" i="1"/>
  <c r="N595" i="1"/>
  <c r="N120" i="1"/>
  <c r="N596" i="1"/>
  <c r="N597" i="1"/>
  <c r="N598" i="1"/>
  <c r="N121" i="1"/>
  <c r="N599" i="1"/>
  <c r="N600" i="1"/>
  <c r="N122" i="1"/>
  <c r="N123" i="1"/>
  <c r="N124" i="1"/>
  <c r="N125" i="1"/>
  <c r="N126" i="1"/>
  <c r="N127" i="1"/>
  <c r="N601" i="1"/>
  <c r="N602" i="1"/>
  <c r="N603" i="1"/>
  <c r="N128" i="1"/>
  <c r="N129" i="1"/>
  <c r="N604" i="1"/>
  <c r="N605" i="1"/>
  <c r="N606" i="1"/>
  <c r="N607" i="1"/>
  <c r="N130" i="1"/>
  <c r="N609" i="1"/>
  <c r="N131" i="1"/>
  <c r="N132" i="1"/>
  <c r="N610" i="1"/>
  <c r="N133" i="1"/>
  <c r="N134" i="1"/>
  <c r="N611" i="1"/>
  <c r="N135" i="1"/>
  <c r="N136" i="1"/>
  <c r="N137" i="1"/>
  <c r="N138" i="1"/>
  <c r="N139" i="1"/>
  <c r="N140" i="1"/>
  <c r="N141" i="1"/>
  <c r="N142" i="1"/>
  <c r="N612" i="1"/>
  <c r="N613" i="1"/>
  <c r="N614" i="1"/>
  <c r="N143" i="1"/>
  <c r="N144" i="1"/>
  <c r="N145" i="1"/>
  <c r="N146" i="1"/>
  <c r="N147" i="1"/>
  <c r="N615" i="1"/>
  <c r="N148" i="1"/>
  <c r="N616" i="1"/>
  <c r="N617" i="1"/>
  <c r="N150" i="1"/>
  <c r="N618" i="1"/>
  <c r="N619" i="1"/>
  <c r="N151" i="1"/>
  <c r="N620" i="1"/>
  <c r="N152" i="1"/>
  <c r="N153" i="1"/>
  <c r="N621" i="1"/>
  <c r="N622" i="1"/>
  <c r="N623" i="1"/>
  <c r="N624" i="1"/>
  <c r="N154" i="1"/>
  <c r="N155" i="1"/>
  <c r="N625" i="1"/>
  <c r="N626" i="1"/>
  <c r="N627" i="1"/>
  <c r="N628" i="1"/>
  <c r="N156" i="1"/>
  <c r="N157" i="1"/>
  <c r="N158" i="1"/>
  <c r="N629" i="1"/>
  <c r="N160" i="1"/>
  <c r="N161" i="1"/>
  <c r="N162" i="1"/>
  <c r="N630" i="1"/>
  <c r="N631" i="1"/>
  <c r="N164" i="1"/>
  <c r="N165" i="1"/>
  <c r="N632" i="1"/>
  <c r="N167" i="1"/>
  <c r="N633" i="1"/>
  <c r="N168" i="1"/>
  <c r="N634" i="1"/>
  <c r="N169" i="1"/>
  <c r="N170" i="1"/>
  <c r="N171" i="1"/>
  <c r="N635" i="1"/>
  <c r="N636" i="1"/>
  <c r="N172" i="1"/>
  <c r="N637" i="1"/>
  <c r="N173" i="1"/>
  <c r="N638" i="1"/>
  <c r="N639" i="1"/>
  <c r="N640" i="1"/>
  <c r="N174" i="1"/>
  <c r="N641" i="1"/>
  <c r="N175" i="1"/>
  <c r="N176" i="1"/>
  <c r="N642" i="1"/>
  <c r="N643" i="1"/>
  <c r="N177" i="1"/>
  <c r="N178" i="1"/>
  <c r="N179" i="1"/>
  <c r="N644" i="1"/>
  <c r="N645" i="1"/>
  <c r="N646" i="1"/>
  <c r="N180" i="1"/>
  <c r="N181" i="1"/>
  <c r="N182" i="1"/>
  <c r="N183" i="1"/>
  <c r="N647" i="1"/>
  <c r="N648" i="1"/>
  <c r="N184" i="1"/>
  <c r="N185" i="1"/>
  <c r="N650" i="1"/>
  <c r="N186" i="1"/>
  <c r="N187" i="1"/>
  <c r="N188" i="1"/>
  <c r="N189" i="1"/>
  <c r="N190" i="1"/>
  <c r="N191" i="1"/>
  <c r="N651" i="1"/>
  <c r="N652" i="1"/>
  <c r="N653" i="1"/>
  <c r="N192" i="1"/>
  <c r="N654" i="1"/>
  <c r="N655" i="1"/>
  <c r="N193" i="1"/>
  <c r="N194" i="1"/>
  <c r="N656" i="1"/>
  <c r="N657" i="1"/>
  <c r="N196" i="1"/>
  <c r="N658" i="1"/>
  <c r="N197" i="1"/>
  <c r="N198" i="1"/>
  <c r="N199" i="1"/>
  <c r="N660" i="1"/>
  <c r="N200" i="1"/>
  <c r="N661" i="1"/>
  <c r="N662" i="1"/>
  <c r="N663" i="1"/>
  <c r="N201" i="1"/>
  <c r="N202" i="1"/>
  <c r="N664" i="1"/>
  <c r="N203" i="1"/>
  <c r="N204" i="1"/>
  <c r="N665" i="1"/>
  <c r="N205" i="1"/>
  <c r="N666" i="1"/>
  <c r="N667" i="1"/>
  <c r="N668" i="1"/>
  <c r="N206" i="1"/>
  <c r="N207" i="1"/>
  <c r="N669" i="1"/>
  <c r="N670" i="1"/>
  <c r="N671" i="1"/>
  <c r="N208" i="1"/>
  <c r="N209" i="1"/>
  <c r="N672" i="1"/>
  <c r="N210" i="1"/>
  <c r="N673" i="1"/>
  <c r="N674" i="1"/>
  <c r="N211" i="1"/>
  <c r="N675" i="1"/>
  <c r="N212" i="1"/>
  <c r="N676" i="1"/>
  <c r="N677" i="1"/>
  <c r="N213" i="1"/>
  <c r="N214" i="1"/>
  <c r="N678" i="1"/>
  <c r="N679" i="1"/>
  <c r="N681" i="1"/>
  <c r="N215" i="1"/>
  <c r="N216" i="1"/>
  <c r="N682" i="1"/>
  <c r="N684" i="1"/>
  <c r="N217" i="1"/>
  <c r="N218" i="1"/>
  <c r="N685" i="1"/>
  <c r="N686" i="1"/>
  <c r="N687" i="1"/>
  <c r="N219" i="1"/>
  <c r="N688" i="1"/>
  <c r="N689" i="1"/>
  <c r="N690" i="1"/>
  <c r="N220" i="1"/>
  <c r="N221" i="1"/>
  <c r="N222" i="1"/>
  <c r="N691" i="1"/>
  <c r="N223" i="1"/>
  <c r="N224" i="1"/>
  <c r="N225" i="1"/>
  <c r="N226" i="1"/>
  <c r="N692" i="1"/>
  <c r="N693" i="1"/>
  <c r="N227" i="1"/>
  <c r="N694" i="1"/>
  <c r="N696" i="1"/>
  <c r="N697" i="1"/>
  <c r="N228" i="1"/>
  <c r="N229" i="1"/>
  <c r="N230" i="1"/>
  <c r="N231" i="1"/>
  <c r="N698" i="1"/>
  <c r="N232" i="1"/>
  <c r="N699" i="1"/>
  <c r="N700" i="1"/>
  <c r="N233" i="1"/>
  <c r="N701" i="1"/>
  <c r="N234" i="1"/>
  <c r="N702" i="1"/>
  <c r="N235" i="1"/>
  <c r="N236" i="1"/>
  <c r="N703" i="1"/>
  <c r="N704" i="1"/>
  <c r="N237" i="1"/>
  <c r="N705" i="1"/>
  <c r="N706" i="1"/>
  <c r="N707" i="1"/>
  <c r="N708" i="1"/>
  <c r="N238" i="1"/>
  <c r="N240" i="1"/>
  <c r="N241" i="1"/>
  <c r="N242" i="1"/>
  <c r="N709" i="1"/>
  <c r="N710" i="1"/>
  <c r="N711" i="1"/>
  <c r="N243" i="1"/>
  <c r="N244" i="1"/>
  <c r="N245" i="1"/>
  <c r="N246" i="1"/>
  <c r="N712" i="1"/>
  <c r="N713" i="1"/>
  <c r="N247" i="1"/>
  <c r="N248" i="1"/>
  <c r="N714" i="1"/>
  <c r="N715" i="1"/>
  <c r="N249" i="1"/>
  <c r="N250" i="1"/>
  <c r="N716" i="1"/>
  <c r="N251" i="1"/>
  <c r="N717" i="1"/>
  <c r="N252" i="1"/>
  <c r="N718" i="1"/>
  <c r="N719" i="1"/>
  <c r="N253" i="1"/>
  <c r="N254" i="1"/>
  <c r="N720" i="1"/>
  <c r="N255" i="1"/>
  <c r="N256" i="1"/>
  <c r="N721" i="1"/>
  <c r="N722" i="1"/>
  <c r="N257" i="1"/>
  <c r="N258" i="1"/>
  <c r="N259" i="1"/>
  <c r="N260" i="1"/>
  <c r="N261" i="1"/>
  <c r="N723" i="1"/>
  <c r="N724" i="1"/>
  <c r="N262" i="1"/>
  <c r="N725" i="1"/>
  <c r="N726" i="1"/>
  <c r="N263" i="1"/>
  <c r="N264" i="1"/>
  <c r="N265" i="1"/>
  <c r="N727" i="1"/>
  <c r="N266" i="1"/>
  <c r="N267" i="1"/>
  <c r="N268" i="1"/>
  <c r="N269" i="1"/>
  <c r="N270" i="1"/>
  <c r="N271" i="1"/>
  <c r="N728" i="1"/>
  <c r="N272" i="1"/>
  <c r="N729" i="1"/>
  <c r="N273" i="1"/>
  <c r="N274" i="1"/>
  <c r="N730" i="1"/>
  <c r="N731" i="1"/>
  <c r="N275" i="1"/>
  <c r="N276" i="1"/>
  <c r="N277" i="1"/>
  <c r="N732" i="1"/>
  <c r="N733" i="1"/>
  <c r="N734" i="1"/>
  <c r="N278" i="1"/>
  <c r="N279" i="1"/>
  <c r="N280" i="1"/>
  <c r="N735" i="1"/>
  <c r="N736" i="1"/>
  <c r="N737" i="1"/>
  <c r="N281" i="1"/>
  <c r="N282" i="1"/>
  <c r="N738" i="1"/>
  <c r="N283" i="1"/>
  <c r="N739" i="1"/>
  <c r="N284" i="1"/>
  <c r="N285" i="1"/>
  <c r="N286" i="1"/>
  <c r="N287" i="1"/>
  <c r="N289" i="1"/>
  <c r="N740" i="1"/>
  <c r="N290" i="1"/>
  <c r="N291" i="1"/>
  <c r="N741" i="1"/>
  <c r="N292" i="1"/>
  <c r="N742" i="1"/>
  <c r="N293" i="1"/>
  <c r="N294" i="1"/>
  <c r="N743" i="1"/>
  <c r="N744" i="1"/>
  <c r="N295" i="1"/>
  <c r="N745" i="1"/>
  <c r="N296" i="1"/>
  <c r="N746" i="1"/>
  <c r="N747" i="1"/>
  <c r="N748" i="1"/>
  <c r="N297" i="1"/>
  <c r="N749" i="1"/>
  <c r="N750" i="1"/>
  <c r="N298" i="1"/>
  <c r="N299" i="1"/>
  <c r="N300" i="1"/>
  <c r="N751" i="1"/>
  <c r="N752" i="1"/>
  <c r="N301" i="1"/>
  <c r="N302" i="1"/>
  <c r="N753" i="1"/>
  <c r="N303" i="1"/>
  <c r="N754" i="1"/>
  <c r="N304" i="1"/>
  <c r="N755" i="1"/>
  <c r="N305" i="1"/>
  <c r="N756" i="1"/>
  <c r="N306" i="1"/>
  <c r="N307" i="1"/>
  <c r="N757" i="1"/>
  <c r="N308" i="1"/>
  <c r="N758" i="1"/>
  <c r="N309" i="1"/>
  <c r="N310" i="1"/>
  <c r="N759" i="1"/>
  <c r="N311" i="1"/>
  <c r="N760" i="1"/>
  <c r="N312" i="1"/>
  <c r="N313" i="1"/>
  <c r="N761" i="1"/>
  <c r="N314" i="1"/>
  <c r="N315" i="1"/>
  <c r="N763" i="1"/>
  <c r="N764" i="1"/>
  <c r="N316" i="1"/>
  <c r="N765" i="1"/>
  <c r="N317" i="1"/>
  <c r="N318" i="1"/>
  <c r="N766" i="1"/>
  <c r="N767" i="1"/>
  <c r="N319" i="1"/>
  <c r="N768" i="1"/>
  <c r="N320" i="1"/>
  <c r="N321" i="1"/>
  <c r="N322" i="1"/>
  <c r="N769" i="1"/>
  <c r="N323" i="1"/>
  <c r="N324" i="1"/>
  <c r="N325" i="1"/>
  <c r="N770" i="1"/>
  <c r="N771" i="1"/>
  <c r="N772" i="1"/>
  <c r="N326" i="1"/>
  <c r="N774" i="1"/>
  <c r="N327" i="1"/>
  <c r="N775" i="1"/>
  <c r="N328" i="1"/>
  <c r="N776" i="1"/>
  <c r="N329" i="1"/>
  <c r="N330" i="1"/>
  <c r="N777" i="1"/>
  <c r="N778" i="1"/>
  <c r="N331" i="1"/>
  <c r="N332" i="1"/>
  <c r="N333" i="1"/>
  <c r="N779" i="1"/>
  <c r="N780" i="1"/>
  <c r="N781" i="1"/>
  <c r="N782" i="1"/>
  <c r="N334" i="1"/>
  <c r="N335" i="1"/>
  <c r="N336" i="1"/>
  <c r="N337" i="1"/>
  <c r="N783" i="1"/>
  <c r="N338" i="1"/>
  <c r="N784" i="1"/>
  <c r="N339" i="1"/>
  <c r="N785" i="1"/>
  <c r="N340" i="1"/>
  <c r="N342" i="1"/>
  <c r="N786" i="1"/>
  <c r="N343" i="1"/>
  <c r="N344" i="1"/>
  <c r="N787" i="1"/>
  <c r="N788" i="1"/>
  <c r="N789" i="1"/>
  <c r="N790" i="1"/>
  <c r="N791" i="1"/>
  <c r="N345" i="1"/>
  <c r="N792" i="1"/>
  <c r="N346" i="1"/>
  <c r="N793" i="1"/>
  <c r="N794" i="1"/>
  <c r="N347" i="1"/>
  <c r="N348" i="1"/>
  <c r="N349" i="1"/>
  <c r="N350" i="1"/>
  <c r="N351" i="1"/>
  <c r="N352" i="1"/>
  <c r="N353" i="1"/>
  <c r="N354" i="1"/>
  <c r="N355" i="1"/>
  <c r="N795" i="1"/>
  <c r="N356" i="1"/>
  <c r="N357" i="1"/>
  <c r="N358" i="1"/>
  <c r="N796" i="1"/>
  <c r="N797" i="1"/>
  <c r="N798" i="1"/>
  <c r="N799" i="1"/>
  <c r="N359" i="1"/>
  <c r="N360" i="1"/>
  <c r="N800" i="1"/>
  <c r="N802" i="1"/>
  <c r="N803" i="1"/>
  <c r="N361" i="1"/>
  <c r="N362" i="1"/>
  <c r="N363" i="1"/>
  <c r="N364" i="1"/>
  <c r="N365" i="1"/>
  <c r="N804" i="1"/>
  <c r="N805" i="1"/>
  <c r="N366" i="1"/>
  <c r="N367" i="1"/>
  <c r="N806" i="1"/>
  <c r="N368" i="1"/>
  <c r="N369" i="1"/>
  <c r="N807" i="1"/>
  <c r="N370" i="1"/>
  <c r="N808" i="1"/>
  <c r="N371" i="1"/>
  <c r="N809" i="1"/>
  <c r="N810" i="1"/>
  <c r="N811" i="1"/>
  <c r="N812" i="1"/>
  <c r="N813" i="1"/>
  <c r="N372" i="1"/>
  <c r="N814" i="1"/>
  <c r="N815" i="1"/>
  <c r="N816" i="1"/>
  <c r="N817" i="1"/>
  <c r="N373" i="1"/>
  <c r="N374" i="1"/>
  <c r="N375" i="1"/>
  <c r="N376" i="1"/>
  <c r="N818" i="1"/>
  <c r="N377" i="1"/>
  <c r="N819" i="1"/>
  <c r="N378" i="1"/>
  <c r="N379" i="1"/>
  <c r="N820" i="1"/>
  <c r="N380" i="1"/>
  <c r="N381" i="1"/>
  <c r="N821" i="1"/>
  <c r="N382" i="1"/>
  <c r="N822" i="1"/>
  <c r="N823" i="1"/>
  <c r="N383" i="1"/>
  <c r="N384" i="1"/>
  <c r="N825" i="1"/>
  <c r="N385" i="1"/>
  <c r="N386" i="1"/>
  <c r="N826" i="1"/>
  <c r="N827" i="1"/>
  <c r="N828" i="1"/>
  <c r="N829" i="1"/>
  <c r="N387" i="1"/>
  <c r="N830" i="1"/>
  <c r="N831" i="1"/>
  <c r="N388" i="1"/>
  <c r="N389" i="1"/>
  <c r="N390" i="1"/>
  <c r="N832" i="1"/>
  <c r="N833" i="1"/>
  <c r="N834" i="1"/>
  <c r="N391" i="1"/>
  <c r="N836" i="1"/>
  <c r="N837" i="1"/>
  <c r="N392" i="1"/>
  <c r="N393" i="1"/>
  <c r="N394" i="1"/>
  <c r="N395" i="1"/>
  <c r="N838" i="1"/>
  <c r="N396" i="1"/>
  <c r="N397" i="1"/>
  <c r="N399" i="1"/>
  <c r="N400" i="1"/>
  <c r="N839" i="1"/>
  <c r="N840" i="1"/>
  <c r="N841" i="1"/>
  <c r="N401" i="1"/>
  <c r="N842" i="1"/>
  <c r="N402" i="1"/>
  <c r="N843" i="1"/>
  <c r="N844" i="1"/>
  <c r="N845" i="1"/>
  <c r="N846" i="1"/>
  <c r="N847" i="1"/>
  <c r="N404" i="1"/>
  <c r="N848" i="1"/>
  <c r="N405" i="1"/>
  <c r="N850" i="1"/>
  <c r="N406" i="1"/>
  <c r="N851" i="1"/>
  <c r="N407" i="1"/>
  <c r="N852" i="1"/>
  <c r="N408" i="1"/>
  <c r="N409" i="1"/>
  <c r="N410" i="1"/>
  <c r="N853" i="1"/>
  <c r="N855" i="1"/>
  <c r="N411" i="1"/>
  <c r="N412" i="1"/>
  <c r="N413" i="1"/>
  <c r="N414" i="1"/>
  <c r="N415" i="1"/>
  <c r="N416" i="1"/>
  <c r="N417" i="1"/>
  <c r="N856" i="1"/>
  <c r="N418" i="1"/>
  <c r="N419" i="1"/>
  <c r="N857" i="1"/>
  <c r="N420" i="1"/>
  <c r="N858" i="1"/>
  <c r="N859" i="1"/>
  <c r="N421" i="1"/>
  <c r="N860" i="1"/>
  <c r="N422" i="1"/>
  <c r="N423" i="1"/>
  <c r="N424" i="1"/>
  <c r="N861" i="1"/>
  <c r="N862" i="1"/>
  <c r="N425" i="1"/>
  <c r="N426" i="1"/>
  <c r="N863" i="1"/>
  <c r="N864" i="1"/>
  <c r="N427" i="1"/>
  <c r="N865" i="1"/>
  <c r="N428" i="1"/>
  <c r="N429" i="1"/>
  <c r="N430" i="1"/>
  <c r="N866" i="1"/>
  <c r="N431" i="1"/>
  <c r="N867" i="1"/>
  <c r="N868" i="1"/>
  <c r="N869" i="1"/>
  <c r="N432" i="1"/>
  <c r="N433" i="1"/>
  <c r="N870" i="1"/>
  <c r="N434" i="1"/>
  <c r="N435" i="1"/>
  <c r="N436" i="1"/>
  <c r="N871" i="1"/>
  <c r="N872" i="1"/>
  <c r="N873" i="1"/>
  <c r="N437" i="1"/>
  <c r="N874" i="1"/>
  <c r="N438" i="1"/>
  <c r="N439" i="1"/>
  <c r="N440" i="1"/>
  <c r="N441" i="1"/>
  <c r="N442" i="1"/>
  <c r="N875" i="1"/>
  <c r="N443" i="1"/>
  <c r="N876" i="1"/>
  <c r="N444" i="1"/>
  <c r="N877" i="1"/>
  <c r="N445" i="1"/>
  <c r="N446" i="1"/>
  <c r="N878" i="1"/>
  <c r="N447" i="1"/>
  <c r="N448" i="1"/>
  <c r="N879" i="1"/>
  <c r="N449" i="1"/>
  <c r="N880" i="1"/>
  <c r="N450" i="1"/>
  <c r="N451" i="1"/>
  <c r="N452" i="1"/>
  <c r="N881" i="1"/>
  <c r="N453" i="1"/>
  <c r="N454" i="1"/>
  <c r="N882" i="1"/>
  <c r="N883" i="1"/>
  <c r="N455" i="1"/>
  <c r="N884" i="1"/>
  <c r="N885" i="1"/>
  <c r="N456" i="1"/>
  <c r="N886" i="1"/>
  <c r="N887" i="1"/>
  <c r="N888" i="1"/>
  <c r="N457" i="1"/>
  <c r="N458" i="1"/>
  <c r="N459" i="1"/>
  <c r="N889" i="1"/>
  <c r="N890" i="1"/>
  <c r="N460" i="1"/>
  <c r="N461" i="1"/>
  <c r="N891" i="1"/>
  <c r="N462" i="1"/>
  <c r="N463" i="1"/>
  <c r="N892" i="1"/>
  <c r="N464" i="1"/>
  <c r="N465" i="1"/>
  <c r="N893" i="1"/>
  <c r="N894" i="1"/>
  <c r="N895" i="1"/>
  <c r="N896" i="1"/>
  <c r="N466" i="1"/>
  <c r="N897" i="1"/>
  <c r="N467" i="1"/>
  <c r="N898" i="1"/>
  <c r="N899" i="1"/>
  <c r="N900" i="1"/>
  <c r="N468" i="1"/>
  <c r="N469" i="1"/>
  <c r="N901" i="1"/>
  <c r="N470" i="1"/>
  <c r="N902" i="1"/>
  <c r="N903" i="1"/>
  <c r="N471" i="1"/>
  <c r="N904" i="1"/>
  <c r="N905" i="1"/>
  <c r="N472" i="1"/>
  <c r="N906" i="1"/>
  <c r="N907" i="1"/>
  <c r="N473" i="1"/>
  <c r="N474" i="1"/>
  <c r="N908" i="1"/>
  <c r="N909" i="1"/>
  <c r="N475" i="1"/>
  <c r="N477" i="1"/>
  <c r="N478" i="1"/>
  <c r="N479" i="1"/>
  <c r="N910" i="1"/>
  <c r="N911" i="1"/>
  <c r="N480" i="1"/>
  <c r="N481" i="1"/>
  <c r="N482" i="1"/>
  <c r="N483" i="1"/>
  <c r="N484" i="1"/>
  <c r="N485" i="1"/>
  <c r="N912" i="1"/>
  <c r="N913" i="1"/>
  <c r="N914" i="1"/>
  <c r="N915" i="1"/>
  <c r="N916" i="1"/>
  <c r="N917" i="1"/>
  <c r="N486" i="1"/>
  <c r="N918" i="1"/>
  <c r="N919" i="1"/>
  <c r="N920" i="1"/>
  <c r="N487" i="1"/>
  <c r="N488" i="1"/>
  <c r="N921" i="1"/>
  <c r="N922" i="1"/>
  <c r="N489" i="1"/>
  <c r="N490" i="1"/>
  <c r="N923" i="1"/>
  <c r="N491" i="1"/>
  <c r="N924" i="1"/>
  <c r="N492" i="1"/>
  <c r="N493" i="1"/>
  <c r="N925" i="1"/>
  <c r="N926" i="1"/>
  <c r="N927" i="1"/>
  <c r="N494" i="1"/>
  <c r="N928" i="1"/>
  <c r="N495" i="1"/>
  <c r="N929" i="1"/>
  <c r="N930" i="1"/>
  <c r="N496" i="1"/>
  <c r="N497" i="1"/>
  <c r="N931" i="1"/>
  <c r="N498" i="1"/>
  <c r="N499" i="1"/>
  <c r="N500" i="1"/>
  <c r="N501" i="1"/>
  <c r="N932" i="1"/>
  <c r="N502" i="1"/>
  <c r="N933" i="1"/>
  <c r="N195" i="1"/>
  <c r="N539" i="1"/>
  <c r="N680" i="1"/>
  <c r="N608" i="1"/>
  <c r="N649" i="1"/>
  <c r="N579" i="1"/>
  <c r="N239" i="1"/>
  <c r="N773" i="1"/>
  <c r="N91" i="1"/>
  <c r="N159" i="1"/>
  <c r="N79" i="1"/>
  <c r="N659" i="1"/>
  <c r="N2" i="1"/>
  <c r="AS3" i="1" l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2" i="1"/>
  <c r="AT3" i="1"/>
  <c r="AX3" i="1" s="1"/>
  <c r="AT4" i="1"/>
  <c r="AX4" i="1" s="1"/>
  <c r="AT5" i="1"/>
  <c r="AX5" i="1" s="1"/>
  <c r="AT6" i="1"/>
  <c r="AX6" i="1" s="1"/>
  <c r="AT7" i="1"/>
  <c r="AX7" i="1" s="1"/>
  <c r="AT8" i="1"/>
  <c r="AX8" i="1" s="1"/>
  <c r="AT9" i="1"/>
  <c r="AX9" i="1" s="1"/>
  <c r="AT10" i="1"/>
  <c r="AX10" i="1" s="1"/>
  <c r="AT11" i="1"/>
  <c r="AX11" i="1" s="1"/>
  <c r="AT12" i="1"/>
  <c r="AX12" i="1" s="1"/>
  <c r="AT13" i="1"/>
  <c r="AX13" i="1" s="1"/>
  <c r="AT14" i="1"/>
  <c r="AT15" i="1"/>
  <c r="AX15" i="1" s="1"/>
  <c r="AT16" i="1"/>
  <c r="AX16" i="1" s="1"/>
  <c r="AT17" i="1"/>
  <c r="AX17" i="1" s="1"/>
  <c r="AT18" i="1"/>
  <c r="AX18" i="1" s="1"/>
  <c r="AT19" i="1"/>
  <c r="AX19" i="1" s="1"/>
  <c r="AT20" i="1"/>
  <c r="AX20" i="1" s="1"/>
  <c r="AT21" i="1"/>
  <c r="AX21" i="1" s="1"/>
  <c r="AT22" i="1"/>
  <c r="AX22" i="1" s="1"/>
  <c r="AT23" i="1"/>
  <c r="AX23" i="1" s="1"/>
  <c r="AT24" i="1"/>
  <c r="AX24" i="1" s="1"/>
  <c r="AT25" i="1"/>
  <c r="AX25" i="1" s="1"/>
  <c r="AT26" i="1"/>
  <c r="AX26" i="1" s="1"/>
  <c r="AT27" i="1"/>
  <c r="AX27" i="1" s="1"/>
  <c r="AT28" i="1"/>
  <c r="AX28" i="1" s="1"/>
  <c r="AT29" i="1"/>
  <c r="AX29" i="1" s="1"/>
  <c r="AT30" i="1"/>
  <c r="AX30" i="1" s="1"/>
  <c r="AT31" i="1"/>
  <c r="AX31" i="1" s="1"/>
  <c r="AT32" i="1"/>
  <c r="AX32" i="1" s="1"/>
  <c r="AT33" i="1"/>
  <c r="AX33" i="1" s="1"/>
  <c r="AT34" i="1"/>
  <c r="AX34" i="1" s="1"/>
  <c r="AT35" i="1"/>
  <c r="AX35" i="1" s="1"/>
  <c r="AT36" i="1"/>
  <c r="AX36" i="1" s="1"/>
  <c r="AT37" i="1"/>
  <c r="AX37" i="1" s="1"/>
  <c r="AT38" i="1"/>
  <c r="AX38" i="1" s="1"/>
  <c r="AT39" i="1"/>
  <c r="AX39" i="1" s="1"/>
  <c r="AT40" i="1"/>
  <c r="AX40" i="1" s="1"/>
  <c r="AT41" i="1"/>
  <c r="AX41" i="1" s="1"/>
  <c r="AT42" i="1"/>
  <c r="AX42" i="1" s="1"/>
  <c r="AT43" i="1"/>
  <c r="AX43" i="1" s="1"/>
  <c r="AT44" i="1"/>
  <c r="AX44" i="1" s="1"/>
  <c r="AT45" i="1"/>
  <c r="AX45" i="1" s="1"/>
  <c r="AT46" i="1"/>
  <c r="AX46" i="1" s="1"/>
  <c r="AT47" i="1"/>
  <c r="AX47" i="1" s="1"/>
  <c r="AT48" i="1"/>
  <c r="AX48" i="1" s="1"/>
  <c r="AT49" i="1"/>
  <c r="AX49" i="1" s="1"/>
  <c r="AT50" i="1"/>
  <c r="AX50" i="1" s="1"/>
  <c r="AT51" i="1"/>
  <c r="AX51" i="1" s="1"/>
  <c r="AT52" i="1"/>
  <c r="AX52" i="1" s="1"/>
  <c r="AT53" i="1"/>
  <c r="AX53" i="1" s="1"/>
  <c r="AT54" i="1"/>
  <c r="AX54" i="1" s="1"/>
  <c r="AT55" i="1"/>
  <c r="AX55" i="1" s="1"/>
  <c r="AT56" i="1"/>
  <c r="AX56" i="1" s="1"/>
  <c r="AT57" i="1"/>
  <c r="AX57" i="1" s="1"/>
  <c r="AT58" i="1"/>
  <c r="AT59" i="1"/>
  <c r="AX59" i="1" s="1"/>
  <c r="AT60" i="1"/>
  <c r="AX60" i="1" s="1"/>
  <c r="AT61" i="1"/>
  <c r="AX61" i="1" s="1"/>
  <c r="AT62" i="1"/>
  <c r="AX62" i="1" s="1"/>
  <c r="AT63" i="1"/>
  <c r="AX63" i="1" s="1"/>
  <c r="AT64" i="1"/>
  <c r="AX64" i="1" s="1"/>
  <c r="AT65" i="1"/>
  <c r="AX65" i="1" s="1"/>
  <c r="AT66" i="1"/>
  <c r="AX66" i="1" s="1"/>
  <c r="AT67" i="1"/>
  <c r="AX67" i="1" s="1"/>
  <c r="AT68" i="1"/>
  <c r="AX68" i="1" s="1"/>
  <c r="AT69" i="1"/>
  <c r="AX69" i="1" s="1"/>
  <c r="AT70" i="1"/>
  <c r="AX70" i="1" s="1"/>
  <c r="AT71" i="1"/>
  <c r="AX71" i="1" s="1"/>
  <c r="AT72" i="1"/>
  <c r="AX72" i="1" s="1"/>
  <c r="AT73" i="1"/>
  <c r="AX73" i="1" s="1"/>
  <c r="AT74" i="1"/>
  <c r="AX74" i="1" s="1"/>
  <c r="AT75" i="1"/>
  <c r="AX75" i="1" s="1"/>
  <c r="AT76" i="1"/>
  <c r="AX76" i="1" s="1"/>
  <c r="AT77" i="1"/>
  <c r="AX77" i="1" s="1"/>
  <c r="AT78" i="1"/>
  <c r="AX78" i="1" s="1"/>
  <c r="AT79" i="1"/>
  <c r="AX79" i="1" s="1"/>
  <c r="AT80" i="1"/>
  <c r="AT81" i="1"/>
  <c r="AX81" i="1" s="1"/>
  <c r="AT82" i="1"/>
  <c r="AX82" i="1" s="1"/>
  <c r="AT83" i="1"/>
  <c r="AX83" i="1" s="1"/>
  <c r="AT84" i="1"/>
  <c r="AX84" i="1" s="1"/>
  <c r="AT85" i="1"/>
  <c r="AX85" i="1" s="1"/>
  <c r="AT86" i="1"/>
  <c r="AX86" i="1" s="1"/>
  <c r="AT87" i="1"/>
  <c r="AX87" i="1" s="1"/>
  <c r="AT88" i="1"/>
  <c r="AX88" i="1" s="1"/>
  <c r="AT89" i="1"/>
  <c r="AX89" i="1" s="1"/>
  <c r="AT90" i="1"/>
  <c r="AX90" i="1" s="1"/>
  <c r="AT91" i="1"/>
  <c r="AX91" i="1" s="1"/>
  <c r="AT92" i="1"/>
  <c r="AX92" i="1" s="1"/>
  <c r="AT93" i="1"/>
  <c r="AX93" i="1" s="1"/>
  <c r="AT94" i="1"/>
  <c r="AX94" i="1" s="1"/>
  <c r="AT95" i="1"/>
  <c r="AX95" i="1" s="1"/>
  <c r="AT96" i="1"/>
  <c r="AX96" i="1" s="1"/>
  <c r="AT97" i="1"/>
  <c r="AX97" i="1" s="1"/>
  <c r="AT98" i="1"/>
  <c r="AX98" i="1" s="1"/>
  <c r="AT99" i="1"/>
  <c r="AX99" i="1" s="1"/>
  <c r="AT100" i="1"/>
  <c r="AX100" i="1" s="1"/>
  <c r="AT101" i="1"/>
  <c r="AX101" i="1" s="1"/>
  <c r="AT102" i="1"/>
  <c r="AX102" i="1" s="1"/>
  <c r="AT103" i="1"/>
  <c r="AX103" i="1" s="1"/>
  <c r="AT104" i="1"/>
  <c r="AX104" i="1" s="1"/>
  <c r="AT105" i="1"/>
  <c r="AX105" i="1" s="1"/>
  <c r="AT106" i="1"/>
  <c r="AX106" i="1" s="1"/>
  <c r="AT107" i="1"/>
  <c r="AX107" i="1" s="1"/>
  <c r="AT108" i="1"/>
  <c r="AX108" i="1" s="1"/>
  <c r="AT109" i="1"/>
  <c r="AX109" i="1" s="1"/>
  <c r="AT110" i="1"/>
  <c r="AX110" i="1" s="1"/>
  <c r="AT111" i="1"/>
  <c r="AX111" i="1" s="1"/>
  <c r="AT112" i="1"/>
  <c r="AX112" i="1" s="1"/>
  <c r="AT113" i="1"/>
  <c r="AX113" i="1" s="1"/>
  <c r="AT114" i="1"/>
  <c r="AX114" i="1" s="1"/>
  <c r="AT115" i="1"/>
  <c r="AX115" i="1" s="1"/>
  <c r="AT116" i="1"/>
  <c r="AX116" i="1" s="1"/>
  <c r="AT117" i="1"/>
  <c r="AX117" i="1" s="1"/>
  <c r="AT118" i="1"/>
  <c r="AX118" i="1" s="1"/>
  <c r="AT119" i="1"/>
  <c r="AX119" i="1" s="1"/>
  <c r="AT120" i="1"/>
  <c r="AX120" i="1" s="1"/>
  <c r="AT121" i="1"/>
  <c r="AX121" i="1" s="1"/>
  <c r="AT122" i="1"/>
  <c r="AX122" i="1" s="1"/>
  <c r="AT123" i="1"/>
  <c r="AX123" i="1" s="1"/>
  <c r="AT124" i="1"/>
  <c r="AX124" i="1" s="1"/>
  <c r="AT125" i="1"/>
  <c r="AX125" i="1" s="1"/>
  <c r="AT126" i="1"/>
  <c r="AX126" i="1" s="1"/>
  <c r="AT127" i="1"/>
  <c r="AX127" i="1" s="1"/>
  <c r="AT128" i="1"/>
  <c r="AX128" i="1" s="1"/>
  <c r="AT129" i="1"/>
  <c r="AX129" i="1" s="1"/>
  <c r="AT130" i="1"/>
  <c r="AX130" i="1" s="1"/>
  <c r="AT131" i="1"/>
  <c r="AX131" i="1" s="1"/>
  <c r="AT132" i="1"/>
  <c r="AX132" i="1" s="1"/>
  <c r="AT133" i="1"/>
  <c r="AX133" i="1" s="1"/>
  <c r="AT134" i="1"/>
  <c r="AX134" i="1" s="1"/>
  <c r="AT135" i="1"/>
  <c r="AX135" i="1" s="1"/>
  <c r="AT136" i="1"/>
  <c r="AX136" i="1" s="1"/>
  <c r="AT137" i="1"/>
  <c r="AX137" i="1" s="1"/>
  <c r="AT138" i="1"/>
  <c r="AX138" i="1" s="1"/>
  <c r="AT139" i="1"/>
  <c r="AX139" i="1" s="1"/>
  <c r="AT140" i="1"/>
  <c r="AX140" i="1" s="1"/>
  <c r="AT141" i="1"/>
  <c r="AX141" i="1" s="1"/>
  <c r="AT142" i="1"/>
  <c r="AX142" i="1" s="1"/>
  <c r="AT143" i="1"/>
  <c r="AX143" i="1" s="1"/>
  <c r="AT144" i="1"/>
  <c r="AX144" i="1" s="1"/>
  <c r="AT145" i="1"/>
  <c r="AX145" i="1" s="1"/>
  <c r="AT146" i="1"/>
  <c r="AX146" i="1" s="1"/>
  <c r="AT147" i="1"/>
  <c r="AX147" i="1" s="1"/>
  <c r="AT148" i="1"/>
  <c r="AX148" i="1" s="1"/>
  <c r="AT149" i="1"/>
  <c r="AX149" i="1" s="1"/>
  <c r="AT150" i="1"/>
  <c r="AX150" i="1" s="1"/>
  <c r="AT151" i="1"/>
  <c r="AX151" i="1" s="1"/>
  <c r="AT152" i="1"/>
  <c r="AX152" i="1" s="1"/>
  <c r="AT153" i="1"/>
  <c r="AX153" i="1" s="1"/>
  <c r="AT154" i="1"/>
  <c r="AX154" i="1" s="1"/>
  <c r="AT155" i="1"/>
  <c r="AX155" i="1" s="1"/>
  <c r="AT156" i="1"/>
  <c r="AX156" i="1" s="1"/>
  <c r="AT157" i="1"/>
  <c r="AX157" i="1" s="1"/>
  <c r="AT158" i="1"/>
  <c r="AX158" i="1" s="1"/>
  <c r="AT159" i="1"/>
  <c r="AX159" i="1" s="1"/>
  <c r="AT160" i="1"/>
  <c r="AX160" i="1" s="1"/>
  <c r="AT161" i="1"/>
  <c r="AX161" i="1" s="1"/>
  <c r="AT162" i="1"/>
  <c r="AT163" i="1"/>
  <c r="AT164" i="1"/>
  <c r="AX164" i="1" s="1"/>
  <c r="AT165" i="1"/>
  <c r="AX165" i="1" s="1"/>
  <c r="AT166" i="1"/>
  <c r="AX166" i="1" s="1"/>
  <c r="AT167" i="1"/>
  <c r="AX167" i="1" s="1"/>
  <c r="AT168" i="1"/>
  <c r="AX168" i="1" s="1"/>
  <c r="AT169" i="1"/>
  <c r="AX169" i="1" s="1"/>
  <c r="AT170" i="1"/>
  <c r="AX170" i="1" s="1"/>
  <c r="AT171" i="1"/>
  <c r="AX171" i="1" s="1"/>
  <c r="AT172" i="1"/>
  <c r="AX172" i="1" s="1"/>
  <c r="AT173" i="1"/>
  <c r="AX173" i="1" s="1"/>
  <c r="AT174" i="1"/>
  <c r="AX174" i="1" s="1"/>
  <c r="AT175" i="1"/>
  <c r="AX175" i="1" s="1"/>
  <c r="AT176" i="1"/>
  <c r="AX176" i="1" s="1"/>
  <c r="AT177" i="1"/>
  <c r="AX177" i="1" s="1"/>
  <c r="AT178" i="1"/>
  <c r="AX178" i="1" s="1"/>
  <c r="AT179" i="1"/>
  <c r="AX179" i="1" s="1"/>
  <c r="AT180" i="1"/>
  <c r="AX180" i="1" s="1"/>
  <c r="AT181" i="1"/>
  <c r="AX181" i="1" s="1"/>
  <c r="AT182" i="1"/>
  <c r="AX182" i="1" s="1"/>
  <c r="AT183" i="1"/>
  <c r="AX183" i="1" s="1"/>
  <c r="AT184" i="1"/>
  <c r="AX184" i="1" s="1"/>
  <c r="AT185" i="1"/>
  <c r="AX185" i="1" s="1"/>
  <c r="AT186" i="1"/>
  <c r="AX186" i="1" s="1"/>
  <c r="AT187" i="1"/>
  <c r="AX187" i="1" s="1"/>
  <c r="AT188" i="1"/>
  <c r="AX188" i="1" s="1"/>
  <c r="AT189" i="1"/>
  <c r="AX189" i="1" s="1"/>
  <c r="AT190" i="1"/>
  <c r="AX190" i="1" s="1"/>
  <c r="AT191" i="1"/>
  <c r="AX191" i="1" s="1"/>
  <c r="AT192" i="1"/>
  <c r="AX192" i="1" s="1"/>
  <c r="AT193" i="1"/>
  <c r="AX193" i="1" s="1"/>
  <c r="AT194" i="1"/>
  <c r="AX194" i="1" s="1"/>
  <c r="AT195" i="1"/>
  <c r="AX195" i="1" s="1"/>
  <c r="AT196" i="1"/>
  <c r="AX196" i="1" s="1"/>
  <c r="AT197" i="1"/>
  <c r="AX197" i="1" s="1"/>
  <c r="AT198" i="1"/>
  <c r="AX198" i="1" s="1"/>
  <c r="AT199" i="1"/>
  <c r="AX199" i="1" s="1"/>
  <c r="AT200" i="1"/>
  <c r="AX200" i="1" s="1"/>
  <c r="AT201" i="1"/>
  <c r="AX201" i="1" s="1"/>
  <c r="AT202" i="1"/>
  <c r="AX202" i="1" s="1"/>
  <c r="AT203" i="1"/>
  <c r="AX203" i="1" s="1"/>
  <c r="AT204" i="1"/>
  <c r="AX204" i="1" s="1"/>
  <c r="AT205" i="1"/>
  <c r="AX205" i="1" s="1"/>
  <c r="AT206" i="1"/>
  <c r="AT207" i="1"/>
  <c r="AX207" i="1" s="1"/>
  <c r="AT208" i="1"/>
  <c r="AX208" i="1" s="1"/>
  <c r="AT209" i="1"/>
  <c r="AX209" i="1" s="1"/>
  <c r="AT210" i="1"/>
  <c r="AX210" i="1" s="1"/>
  <c r="AT211" i="1"/>
  <c r="AX211" i="1" s="1"/>
  <c r="AT212" i="1"/>
  <c r="AX212" i="1" s="1"/>
  <c r="AT213" i="1"/>
  <c r="AX213" i="1" s="1"/>
  <c r="AT214" i="1"/>
  <c r="AX214" i="1" s="1"/>
  <c r="AT215" i="1"/>
  <c r="AX215" i="1" s="1"/>
  <c r="AT216" i="1"/>
  <c r="AX216" i="1" s="1"/>
  <c r="AT217" i="1"/>
  <c r="AX217" i="1" s="1"/>
  <c r="AT218" i="1"/>
  <c r="AX218" i="1" s="1"/>
  <c r="AT219" i="1"/>
  <c r="AX219" i="1" s="1"/>
  <c r="AT220" i="1"/>
  <c r="AX220" i="1" s="1"/>
  <c r="AT221" i="1"/>
  <c r="AX221" i="1" s="1"/>
  <c r="AT222" i="1"/>
  <c r="AX222" i="1" s="1"/>
  <c r="AT223" i="1"/>
  <c r="AX223" i="1" s="1"/>
  <c r="AT224" i="1"/>
  <c r="AX224" i="1" s="1"/>
  <c r="AT225" i="1"/>
  <c r="AX225" i="1" s="1"/>
  <c r="AT226" i="1"/>
  <c r="AX226" i="1" s="1"/>
  <c r="AT227" i="1"/>
  <c r="AX227" i="1" s="1"/>
  <c r="AT228" i="1"/>
  <c r="AX228" i="1" s="1"/>
  <c r="AT229" i="1"/>
  <c r="AX229" i="1" s="1"/>
  <c r="AT230" i="1"/>
  <c r="AX230" i="1" s="1"/>
  <c r="AT231" i="1"/>
  <c r="AX231" i="1" s="1"/>
  <c r="AT232" i="1"/>
  <c r="AX232" i="1" s="1"/>
  <c r="AT233" i="1"/>
  <c r="AX233" i="1" s="1"/>
  <c r="AT234" i="1"/>
  <c r="AX234" i="1" s="1"/>
  <c r="AT235" i="1"/>
  <c r="AX235" i="1" s="1"/>
  <c r="AT236" i="1"/>
  <c r="AX236" i="1" s="1"/>
  <c r="AT237" i="1"/>
  <c r="AX237" i="1" s="1"/>
  <c r="AT238" i="1"/>
  <c r="AX238" i="1" s="1"/>
  <c r="AT239" i="1"/>
  <c r="AX239" i="1" s="1"/>
  <c r="AT240" i="1"/>
  <c r="AX240" i="1" s="1"/>
  <c r="AT241" i="1"/>
  <c r="AX241" i="1" s="1"/>
  <c r="AT242" i="1"/>
  <c r="AX242" i="1" s="1"/>
  <c r="AT243" i="1"/>
  <c r="AX243" i="1" s="1"/>
  <c r="AT244" i="1"/>
  <c r="AX244" i="1" s="1"/>
  <c r="AT245" i="1"/>
  <c r="AX245" i="1" s="1"/>
  <c r="AT246" i="1"/>
  <c r="AX246" i="1" s="1"/>
  <c r="AT247" i="1"/>
  <c r="AX247" i="1" s="1"/>
  <c r="AT248" i="1"/>
  <c r="AX248" i="1" s="1"/>
  <c r="AT249" i="1"/>
  <c r="AX249" i="1" s="1"/>
  <c r="AT250" i="1"/>
  <c r="AX250" i="1" s="1"/>
  <c r="AT251" i="1"/>
  <c r="AX251" i="1" s="1"/>
  <c r="AT252" i="1"/>
  <c r="AX252" i="1" s="1"/>
  <c r="AT253" i="1"/>
  <c r="AX253" i="1" s="1"/>
  <c r="AT254" i="1"/>
  <c r="AX254" i="1" s="1"/>
  <c r="AT255" i="1"/>
  <c r="AX255" i="1" s="1"/>
  <c r="AT256" i="1"/>
  <c r="AX256" i="1" s="1"/>
  <c r="AT257" i="1"/>
  <c r="AX257" i="1" s="1"/>
  <c r="AT258" i="1"/>
  <c r="AX258" i="1" s="1"/>
  <c r="AT259" i="1"/>
  <c r="AX259" i="1" s="1"/>
  <c r="AT260" i="1"/>
  <c r="AX260" i="1" s="1"/>
  <c r="AT261" i="1"/>
  <c r="AX261" i="1" s="1"/>
  <c r="AT262" i="1"/>
  <c r="AX262" i="1" s="1"/>
  <c r="AT263" i="1"/>
  <c r="AX263" i="1" s="1"/>
  <c r="AT264" i="1"/>
  <c r="AX264" i="1" s="1"/>
  <c r="AT265" i="1"/>
  <c r="AX265" i="1" s="1"/>
  <c r="AT266" i="1"/>
  <c r="AX266" i="1" s="1"/>
  <c r="AT267" i="1"/>
  <c r="AX267" i="1" s="1"/>
  <c r="AT268" i="1"/>
  <c r="AX268" i="1" s="1"/>
  <c r="AT269" i="1"/>
  <c r="AX269" i="1" s="1"/>
  <c r="AT270" i="1"/>
  <c r="AX270" i="1" s="1"/>
  <c r="AT271" i="1"/>
  <c r="AX271" i="1" s="1"/>
  <c r="AT272" i="1"/>
  <c r="AX272" i="1" s="1"/>
  <c r="AT273" i="1"/>
  <c r="AX273" i="1" s="1"/>
  <c r="AT274" i="1"/>
  <c r="AX274" i="1" s="1"/>
  <c r="AT275" i="1"/>
  <c r="AX275" i="1" s="1"/>
  <c r="AT276" i="1"/>
  <c r="AX276" i="1" s="1"/>
  <c r="AT277" i="1"/>
  <c r="AX277" i="1" s="1"/>
  <c r="AT278" i="1"/>
  <c r="AX278" i="1" s="1"/>
  <c r="AT279" i="1"/>
  <c r="AX279" i="1" s="1"/>
  <c r="AT280" i="1"/>
  <c r="AX280" i="1" s="1"/>
  <c r="AT281" i="1"/>
  <c r="AT282" i="1"/>
  <c r="AX282" i="1" s="1"/>
  <c r="AT283" i="1"/>
  <c r="AX283" i="1" s="1"/>
  <c r="AT284" i="1"/>
  <c r="AX284" i="1" s="1"/>
  <c r="AT285" i="1"/>
  <c r="AX285" i="1" s="1"/>
  <c r="AT286" i="1"/>
  <c r="AX286" i="1" s="1"/>
  <c r="AT287" i="1"/>
  <c r="AX287" i="1" s="1"/>
  <c r="AT288" i="1"/>
  <c r="AX288" i="1" s="1"/>
  <c r="AT289" i="1"/>
  <c r="AX289" i="1" s="1"/>
  <c r="AT290" i="1"/>
  <c r="AX290" i="1" s="1"/>
  <c r="AT291" i="1"/>
  <c r="AX291" i="1" s="1"/>
  <c r="AT292" i="1"/>
  <c r="AX292" i="1" s="1"/>
  <c r="AT293" i="1"/>
  <c r="AX293" i="1" s="1"/>
  <c r="AT294" i="1"/>
  <c r="AX294" i="1" s="1"/>
  <c r="AT295" i="1"/>
  <c r="AX295" i="1" s="1"/>
  <c r="AT296" i="1"/>
  <c r="AX296" i="1" s="1"/>
  <c r="AT297" i="1"/>
  <c r="AX297" i="1" s="1"/>
  <c r="AT298" i="1"/>
  <c r="AX298" i="1" s="1"/>
  <c r="AT299" i="1"/>
  <c r="AX299" i="1" s="1"/>
  <c r="AT300" i="1"/>
  <c r="AX300" i="1" s="1"/>
  <c r="AT301" i="1"/>
  <c r="AX301" i="1" s="1"/>
  <c r="AT302" i="1"/>
  <c r="AX302" i="1" s="1"/>
  <c r="AT303" i="1"/>
  <c r="AX303" i="1" s="1"/>
  <c r="AT304" i="1"/>
  <c r="AX304" i="1" s="1"/>
  <c r="AT305" i="1"/>
  <c r="AX305" i="1" s="1"/>
  <c r="AT306" i="1"/>
  <c r="AX306" i="1" s="1"/>
  <c r="AT307" i="1"/>
  <c r="AX307" i="1" s="1"/>
  <c r="AT308" i="1"/>
  <c r="AX308" i="1" s="1"/>
  <c r="AT309" i="1"/>
  <c r="AX309" i="1" s="1"/>
  <c r="AT310" i="1"/>
  <c r="AX310" i="1" s="1"/>
  <c r="AT311" i="1"/>
  <c r="AX311" i="1" s="1"/>
  <c r="AT312" i="1"/>
  <c r="AX312" i="1" s="1"/>
  <c r="AT313" i="1"/>
  <c r="AX313" i="1" s="1"/>
  <c r="AT314" i="1"/>
  <c r="AX314" i="1" s="1"/>
  <c r="AT315" i="1"/>
  <c r="AX315" i="1" s="1"/>
  <c r="AT316" i="1"/>
  <c r="AX316" i="1" s="1"/>
  <c r="AT317" i="1"/>
  <c r="AX317" i="1" s="1"/>
  <c r="AT318" i="1"/>
  <c r="AX318" i="1" s="1"/>
  <c r="AT319" i="1"/>
  <c r="AX319" i="1" s="1"/>
  <c r="AT320" i="1"/>
  <c r="AX320" i="1" s="1"/>
  <c r="AT321" i="1"/>
  <c r="AX321" i="1" s="1"/>
  <c r="AT322" i="1"/>
  <c r="AX322" i="1" s="1"/>
  <c r="AT323" i="1"/>
  <c r="AX323" i="1" s="1"/>
  <c r="AT324" i="1"/>
  <c r="AX324" i="1" s="1"/>
  <c r="AT325" i="1"/>
  <c r="AX325" i="1" s="1"/>
  <c r="AT326" i="1"/>
  <c r="AX326" i="1" s="1"/>
  <c r="AT327" i="1"/>
  <c r="AX327" i="1" s="1"/>
  <c r="AT328" i="1"/>
  <c r="AX328" i="1" s="1"/>
  <c r="AT329" i="1"/>
  <c r="AX329" i="1" s="1"/>
  <c r="AT330" i="1"/>
  <c r="AX330" i="1" s="1"/>
  <c r="AT331" i="1"/>
  <c r="AX331" i="1" s="1"/>
  <c r="AT332" i="1"/>
  <c r="AX332" i="1" s="1"/>
  <c r="AT333" i="1"/>
  <c r="AX333" i="1" s="1"/>
  <c r="AT334" i="1"/>
  <c r="AX334" i="1" s="1"/>
  <c r="AT335" i="1"/>
  <c r="AX335" i="1" s="1"/>
  <c r="AT336" i="1"/>
  <c r="AX336" i="1" s="1"/>
  <c r="AT337" i="1"/>
  <c r="AX337" i="1" s="1"/>
  <c r="AT338" i="1"/>
  <c r="AX338" i="1" s="1"/>
  <c r="AT339" i="1"/>
  <c r="AX339" i="1" s="1"/>
  <c r="AT340" i="1"/>
  <c r="AX340" i="1" s="1"/>
  <c r="AT341" i="1"/>
  <c r="AX341" i="1" s="1"/>
  <c r="AT342" i="1"/>
  <c r="AX342" i="1" s="1"/>
  <c r="AT343" i="1"/>
  <c r="AX343" i="1" s="1"/>
  <c r="AT344" i="1"/>
  <c r="AX344" i="1" s="1"/>
  <c r="AT345" i="1"/>
  <c r="AX345" i="1" s="1"/>
  <c r="AT346" i="1"/>
  <c r="AX346" i="1" s="1"/>
  <c r="AT347" i="1"/>
  <c r="AX347" i="1" s="1"/>
  <c r="AT348" i="1"/>
  <c r="AX348" i="1" s="1"/>
  <c r="AT349" i="1"/>
  <c r="AX349" i="1" s="1"/>
  <c r="AT350" i="1"/>
  <c r="AX350" i="1" s="1"/>
  <c r="AT351" i="1"/>
  <c r="AX351" i="1" s="1"/>
  <c r="AT352" i="1"/>
  <c r="AX352" i="1" s="1"/>
  <c r="AT353" i="1"/>
  <c r="AX353" i="1" s="1"/>
  <c r="AT354" i="1"/>
  <c r="AX354" i="1" s="1"/>
  <c r="AT355" i="1"/>
  <c r="AX355" i="1" s="1"/>
  <c r="AT356" i="1"/>
  <c r="AX356" i="1" s="1"/>
  <c r="AT357" i="1"/>
  <c r="AX357" i="1" s="1"/>
  <c r="AT358" i="1"/>
  <c r="AX358" i="1" s="1"/>
  <c r="AT359" i="1"/>
  <c r="AX359" i="1" s="1"/>
  <c r="AT360" i="1"/>
  <c r="AX360" i="1" s="1"/>
  <c r="AT361" i="1"/>
  <c r="AX361" i="1" s="1"/>
  <c r="AT362" i="1"/>
  <c r="AX362" i="1" s="1"/>
  <c r="AT363" i="1"/>
  <c r="AX363" i="1" s="1"/>
  <c r="AT364" i="1"/>
  <c r="AX364" i="1" s="1"/>
  <c r="AT365" i="1"/>
  <c r="AX365" i="1" s="1"/>
  <c r="AT366" i="1"/>
  <c r="AX366" i="1" s="1"/>
  <c r="AT367" i="1"/>
  <c r="AX367" i="1" s="1"/>
  <c r="AT368" i="1"/>
  <c r="AX368" i="1" s="1"/>
  <c r="AT369" i="1"/>
  <c r="AX369" i="1" s="1"/>
  <c r="AT370" i="1"/>
  <c r="AX370" i="1" s="1"/>
  <c r="AT371" i="1"/>
  <c r="AX371" i="1" s="1"/>
  <c r="AT372" i="1"/>
  <c r="AT373" i="1"/>
  <c r="AX373" i="1" s="1"/>
  <c r="AT374" i="1"/>
  <c r="AX374" i="1" s="1"/>
  <c r="AT375" i="1"/>
  <c r="AT376" i="1"/>
  <c r="AX376" i="1" s="1"/>
  <c r="AT377" i="1"/>
  <c r="AX377" i="1" s="1"/>
  <c r="AT378" i="1"/>
  <c r="AX378" i="1" s="1"/>
  <c r="AT379" i="1"/>
  <c r="AX379" i="1" s="1"/>
  <c r="AT380" i="1"/>
  <c r="AX380" i="1" s="1"/>
  <c r="AT381" i="1"/>
  <c r="AX381" i="1" s="1"/>
  <c r="AT382" i="1"/>
  <c r="AX382" i="1" s="1"/>
  <c r="AT383" i="1"/>
  <c r="AX383" i="1" s="1"/>
  <c r="AT384" i="1"/>
  <c r="AX384" i="1" s="1"/>
  <c r="AT385" i="1"/>
  <c r="AX385" i="1" s="1"/>
  <c r="AT386" i="1"/>
  <c r="AX386" i="1" s="1"/>
  <c r="AT387" i="1"/>
  <c r="AX387" i="1" s="1"/>
  <c r="AT388" i="1"/>
  <c r="AX388" i="1" s="1"/>
  <c r="AT389" i="1"/>
  <c r="AX389" i="1" s="1"/>
  <c r="AT390" i="1"/>
  <c r="AX390" i="1" s="1"/>
  <c r="AT391" i="1"/>
  <c r="AX391" i="1" s="1"/>
  <c r="AT392" i="1"/>
  <c r="AX392" i="1" s="1"/>
  <c r="AT393" i="1"/>
  <c r="AX393" i="1" s="1"/>
  <c r="AT394" i="1"/>
  <c r="AX394" i="1" s="1"/>
  <c r="AT395" i="1"/>
  <c r="AX395" i="1" s="1"/>
  <c r="AT396" i="1"/>
  <c r="AX396" i="1" s="1"/>
  <c r="AT397" i="1"/>
  <c r="AX397" i="1" s="1"/>
  <c r="AT398" i="1"/>
  <c r="AX398" i="1" s="1"/>
  <c r="AT399" i="1"/>
  <c r="AX399" i="1" s="1"/>
  <c r="AT400" i="1"/>
  <c r="AX400" i="1" s="1"/>
  <c r="AT401" i="1"/>
  <c r="AX401" i="1" s="1"/>
  <c r="AT402" i="1"/>
  <c r="AX402" i="1" s="1"/>
  <c r="AT403" i="1"/>
  <c r="AX403" i="1" s="1"/>
  <c r="AT404" i="1"/>
  <c r="AX404" i="1" s="1"/>
  <c r="AT405" i="1"/>
  <c r="AX405" i="1" s="1"/>
  <c r="AT406" i="1"/>
  <c r="AX406" i="1" s="1"/>
  <c r="AT407" i="1"/>
  <c r="AX407" i="1" s="1"/>
  <c r="AT408" i="1"/>
  <c r="AX408" i="1" s="1"/>
  <c r="AT409" i="1"/>
  <c r="AX409" i="1" s="1"/>
  <c r="AT410" i="1"/>
  <c r="AX410" i="1" s="1"/>
  <c r="AT411" i="1"/>
  <c r="AX411" i="1" s="1"/>
  <c r="AT412" i="1"/>
  <c r="AX412" i="1" s="1"/>
  <c r="AT413" i="1"/>
  <c r="AX413" i="1" s="1"/>
  <c r="AT414" i="1"/>
  <c r="AX414" i="1" s="1"/>
  <c r="AT415" i="1"/>
  <c r="AX415" i="1" s="1"/>
  <c r="AT416" i="1"/>
  <c r="AX416" i="1" s="1"/>
  <c r="AT417" i="1"/>
  <c r="AX417" i="1" s="1"/>
  <c r="AT418" i="1"/>
  <c r="AX418" i="1" s="1"/>
  <c r="AT419" i="1"/>
  <c r="AX419" i="1" s="1"/>
  <c r="AT420" i="1"/>
  <c r="AX420" i="1" s="1"/>
  <c r="AT421" i="1"/>
  <c r="AX421" i="1" s="1"/>
  <c r="AT422" i="1"/>
  <c r="AX422" i="1" s="1"/>
  <c r="AT423" i="1"/>
  <c r="AX423" i="1" s="1"/>
  <c r="AT424" i="1"/>
  <c r="AX424" i="1" s="1"/>
  <c r="AT425" i="1"/>
  <c r="AX425" i="1" s="1"/>
  <c r="AT426" i="1"/>
  <c r="AX426" i="1" s="1"/>
  <c r="AT427" i="1"/>
  <c r="AX427" i="1" s="1"/>
  <c r="AT428" i="1"/>
  <c r="AX428" i="1" s="1"/>
  <c r="AT429" i="1"/>
  <c r="AX429" i="1" s="1"/>
  <c r="AT430" i="1"/>
  <c r="AX430" i="1" s="1"/>
  <c r="AT431" i="1"/>
  <c r="AX431" i="1" s="1"/>
  <c r="AT432" i="1"/>
  <c r="AX432" i="1" s="1"/>
  <c r="AT433" i="1"/>
  <c r="AX433" i="1" s="1"/>
  <c r="AT434" i="1"/>
  <c r="AX434" i="1" s="1"/>
  <c r="AT435" i="1"/>
  <c r="AX435" i="1" s="1"/>
  <c r="AT436" i="1"/>
  <c r="AX436" i="1" s="1"/>
  <c r="AT437" i="1"/>
  <c r="AX437" i="1" s="1"/>
  <c r="AT438" i="1"/>
  <c r="AX438" i="1" s="1"/>
  <c r="AT439" i="1"/>
  <c r="AX439" i="1" s="1"/>
  <c r="AT440" i="1"/>
  <c r="AX440" i="1" s="1"/>
  <c r="AT441" i="1"/>
  <c r="AX441" i="1" s="1"/>
  <c r="AT442" i="1"/>
  <c r="AX442" i="1" s="1"/>
  <c r="AT443" i="1"/>
  <c r="AX443" i="1" s="1"/>
  <c r="AT444" i="1"/>
  <c r="AX444" i="1" s="1"/>
  <c r="AT445" i="1"/>
  <c r="AX445" i="1" s="1"/>
  <c r="AT446" i="1"/>
  <c r="AX446" i="1" s="1"/>
  <c r="AT447" i="1"/>
  <c r="AX447" i="1" s="1"/>
  <c r="AT448" i="1"/>
  <c r="AX448" i="1" s="1"/>
  <c r="AT449" i="1"/>
  <c r="AX449" i="1" s="1"/>
  <c r="AT450" i="1"/>
  <c r="AX450" i="1" s="1"/>
  <c r="AT451" i="1"/>
  <c r="AX451" i="1" s="1"/>
  <c r="AT452" i="1"/>
  <c r="AX452" i="1" s="1"/>
  <c r="AT453" i="1"/>
  <c r="AX453" i="1" s="1"/>
  <c r="AT454" i="1"/>
  <c r="AX454" i="1" s="1"/>
  <c r="AT455" i="1"/>
  <c r="AX455" i="1" s="1"/>
  <c r="AT456" i="1"/>
  <c r="AX456" i="1" s="1"/>
  <c r="AT457" i="1"/>
  <c r="AX457" i="1" s="1"/>
  <c r="AT458" i="1"/>
  <c r="AX458" i="1" s="1"/>
  <c r="AT459" i="1"/>
  <c r="AX459" i="1" s="1"/>
  <c r="AT460" i="1"/>
  <c r="AX460" i="1" s="1"/>
  <c r="AT461" i="1"/>
  <c r="AX461" i="1" s="1"/>
  <c r="AT462" i="1"/>
  <c r="AT463" i="1"/>
  <c r="AX463" i="1" s="1"/>
  <c r="AT464" i="1"/>
  <c r="AX464" i="1" s="1"/>
  <c r="AT465" i="1"/>
  <c r="AX465" i="1" s="1"/>
  <c r="AT466" i="1"/>
  <c r="AX466" i="1" s="1"/>
  <c r="AT467" i="1"/>
  <c r="AX467" i="1" s="1"/>
  <c r="AT468" i="1"/>
  <c r="AX468" i="1" s="1"/>
  <c r="AT469" i="1"/>
  <c r="AX469" i="1" s="1"/>
  <c r="AT470" i="1"/>
  <c r="AX470" i="1" s="1"/>
  <c r="AT471" i="1"/>
  <c r="AX471" i="1" s="1"/>
  <c r="AT472" i="1"/>
  <c r="AX472" i="1" s="1"/>
  <c r="AT473" i="1"/>
  <c r="AX473" i="1" s="1"/>
  <c r="AT474" i="1"/>
  <c r="AX474" i="1" s="1"/>
  <c r="AT475" i="1"/>
  <c r="AX475" i="1" s="1"/>
  <c r="AT476" i="1"/>
  <c r="AX476" i="1" s="1"/>
  <c r="AT477" i="1"/>
  <c r="AX477" i="1" s="1"/>
  <c r="AT478" i="1"/>
  <c r="AX478" i="1" s="1"/>
  <c r="AT479" i="1"/>
  <c r="AX479" i="1" s="1"/>
  <c r="AT480" i="1"/>
  <c r="AX480" i="1" s="1"/>
  <c r="AT481" i="1"/>
  <c r="AT482" i="1"/>
  <c r="AX482" i="1" s="1"/>
  <c r="AT483" i="1"/>
  <c r="AX483" i="1" s="1"/>
  <c r="AT484" i="1"/>
  <c r="AX484" i="1" s="1"/>
  <c r="AT485" i="1"/>
  <c r="AX485" i="1" s="1"/>
  <c r="AT486" i="1"/>
  <c r="AX486" i="1" s="1"/>
  <c r="AT487" i="1"/>
  <c r="AX487" i="1" s="1"/>
  <c r="AT488" i="1"/>
  <c r="AX488" i="1" s="1"/>
  <c r="AT489" i="1"/>
  <c r="AX489" i="1" s="1"/>
  <c r="AT490" i="1"/>
  <c r="AX490" i="1" s="1"/>
  <c r="AT491" i="1"/>
  <c r="AX491" i="1" s="1"/>
  <c r="AT492" i="1"/>
  <c r="AX492" i="1" s="1"/>
  <c r="AT493" i="1"/>
  <c r="AX493" i="1" s="1"/>
  <c r="AT494" i="1"/>
  <c r="AX494" i="1" s="1"/>
  <c r="AT495" i="1"/>
  <c r="AX495" i="1" s="1"/>
  <c r="AT496" i="1"/>
  <c r="AX496" i="1" s="1"/>
  <c r="AT497" i="1"/>
  <c r="AX497" i="1" s="1"/>
  <c r="AT498" i="1"/>
  <c r="AX498" i="1" s="1"/>
  <c r="AT499" i="1"/>
  <c r="AX499" i="1" s="1"/>
  <c r="AT500" i="1"/>
  <c r="AX500" i="1" s="1"/>
  <c r="AT501" i="1"/>
  <c r="AX501" i="1" s="1"/>
  <c r="AT502" i="1"/>
  <c r="AX502" i="1" s="1"/>
  <c r="AT503" i="1"/>
  <c r="AX503" i="1" s="1"/>
  <c r="AT504" i="1"/>
  <c r="AX504" i="1" s="1"/>
  <c r="AT505" i="1"/>
  <c r="AX505" i="1" s="1"/>
  <c r="AT506" i="1"/>
  <c r="AX506" i="1" s="1"/>
  <c r="AT507" i="1"/>
  <c r="AX507" i="1" s="1"/>
  <c r="AT508" i="1"/>
  <c r="AX508" i="1" s="1"/>
  <c r="AT509" i="1"/>
  <c r="AX509" i="1" s="1"/>
  <c r="AT510" i="1"/>
  <c r="AX510" i="1" s="1"/>
  <c r="AT511" i="1"/>
  <c r="AX511" i="1" s="1"/>
  <c r="AT512" i="1"/>
  <c r="AT513" i="1"/>
  <c r="AX513" i="1" s="1"/>
  <c r="AT514" i="1"/>
  <c r="AX514" i="1" s="1"/>
  <c r="AT515" i="1"/>
  <c r="AX515" i="1" s="1"/>
  <c r="AT516" i="1"/>
  <c r="AX516" i="1" s="1"/>
  <c r="AT517" i="1"/>
  <c r="AX517" i="1" s="1"/>
  <c r="AT518" i="1"/>
  <c r="AX518" i="1" s="1"/>
  <c r="AT519" i="1"/>
  <c r="AX519" i="1" s="1"/>
  <c r="AT520" i="1"/>
  <c r="AX520" i="1" s="1"/>
  <c r="AT521" i="1"/>
  <c r="AX521" i="1" s="1"/>
  <c r="AT522" i="1"/>
  <c r="AX522" i="1" s="1"/>
  <c r="AT523" i="1"/>
  <c r="AX523" i="1" s="1"/>
  <c r="AT524" i="1"/>
  <c r="AX524" i="1" s="1"/>
  <c r="AT525" i="1"/>
  <c r="AX525" i="1" s="1"/>
  <c r="AT526" i="1"/>
  <c r="AX526" i="1" s="1"/>
  <c r="AT527" i="1"/>
  <c r="AX527" i="1" s="1"/>
  <c r="AT528" i="1"/>
  <c r="AX528" i="1" s="1"/>
  <c r="AT529" i="1"/>
  <c r="AX529" i="1" s="1"/>
  <c r="AT530" i="1"/>
  <c r="AX530" i="1" s="1"/>
  <c r="AT531" i="1"/>
  <c r="AX531" i="1" s="1"/>
  <c r="AT532" i="1"/>
  <c r="AX532" i="1" s="1"/>
  <c r="AT533" i="1"/>
  <c r="AX533" i="1" s="1"/>
  <c r="AT534" i="1"/>
  <c r="AX534" i="1" s="1"/>
  <c r="AT535" i="1"/>
  <c r="AX535" i="1" s="1"/>
  <c r="AT536" i="1"/>
  <c r="AX536" i="1" s="1"/>
  <c r="AT537" i="1"/>
  <c r="AX537" i="1" s="1"/>
  <c r="AT538" i="1"/>
  <c r="AX538" i="1" s="1"/>
  <c r="AT539" i="1"/>
  <c r="AX539" i="1" s="1"/>
  <c r="AT540" i="1"/>
  <c r="AX540" i="1" s="1"/>
  <c r="AT541" i="1"/>
  <c r="AX541" i="1" s="1"/>
  <c r="AT542" i="1"/>
  <c r="AX542" i="1" s="1"/>
  <c r="AT543" i="1"/>
  <c r="AX543" i="1" s="1"/>
  <c r="AT544" i="1"/>
  <c r="AX544" i="1" s="1"/>
  <c r="AT545" i="1"/>
  <c r="AX545" i="1" s="1"/>
  <c r="AT546" i="1"/>
  <c r="AX546" i="1" s="1"/>
  <c r="AT547" i="1"/>
  <c r="AX547" i="1" s="1"/>
  <c r="AT548" i="1"/>
  <c r="AX548" i="1" s="1"/>
  <c r="AT549" i="1"/>
  <c r="AX549" i="1" s="1"/>
  <c r="AT550" i="1"/>
  <c r="AX550" i="1" s="1"/>
  <c r="AT551" i="1"/>
  <c r="AX551" i="1" s="1"/>
  <c r="AT552" i="1"/>
  <c r="AX552" i="1" s="1"/>
  <c r="AT553" i="1"/>
  <c r="AX553" i="1" s="1"/>
  <c r="AT554" i="1"/>
  <c r="AX554" i="1" s="1"/>
  <c r="AT555" i="1"/>
  <c r="AX555" i="1" s="1"/>
  <c r="AT556" i="1"/>
  <c r="AX556" i="1" s="1"/>
  <c r="AT557" i="1"/>
  <c r="AX557" i="1" s="1"/>
  <c r="AT558" i="1"/>
  <c r="AX558" i="1" s="1"/>
  <c r="AT559" i="1"/>
  <c r="AX559" i="1" s="1"/>
  <c r="AT560" i="1"/>
  <c r="AX560" i="1" s="1"/>
  <c r="AT561" i="1"/>
  <c r="AX561" i="1" s="1"/>
  <c r="AT562" i="1"/>
  <c r="AX562" i="1" s="1"/>
  <c r="AT563" i="1"/>
  <c r="AX563" i="1" s="1"/>
  <c r="AT564" i="1"/>
  <c r="AX564" i="1" s="1"/>
  <c r="AT565" i="1"/>
  <c r="AX565" i="1" s="1"/>
  <c r="AT566" i="1"/>
  <c r="AX566" i="1" s="1"/>
  <c r="AT567" i="1"/>
  <c r="AX567" i="1" s="1"/>
  <c r="AT568" i="1"/>
  <c r="AX568" i="1" s="1"/>
  <c r="AT569" i="1"/>
  <c r="AX569" i="1" s="1"/>
  <c r="AT570" i="1"/>
  <c r="AX570" i="1" s="1"/>
  <c r="AT571" i="1"/>
  <c r="AX571" i="1" s="1"/>
  <c r="AT572" i="1"/>
  <c r="AX572" i="1" s="1"/>
  <c r="AT573" i="1"/>
  <c r="AX573" i="1" s="1"/>
  <c r="AT574" i="1"/>
  <c r="AX574" i="1" s="1"/>
  <c r="AT575" i="1"/>
  <c r="AX575" i="1" s="1"/>
  <c r="AT576" i="1"/>
  <c r="AX576" i="1" s="1"/>
  <c r="AT577" i="1"/>
  <c r="AX577" i="1" s="1"/>
  <c r="AT578" i="1"/>
  <c r="AX578" i="1" s="1"/>
  <c r="AT579" i="1"/>
  <c r="AX579" i="1" s="1"/>
  <c r="AT580" i="1"/>
  <c r="AX580" i="1" s="1"/>
  <c r="AT581" i="1"/>
  <c r="AX581" i="1" s="1"/>
  <c r="AT582" i="1"/>
  <c r="AX582" i="1" s="1"/>
  <c r="AT583" i="1"/>
  <c r="AX583" i="1" s="1"/>
  <c r="AT584" i="1"/>
  <c r="AX584" i="1" s="1"/>
  <c r="AT585" i="1"/>
  <c r="AX585" i="1" s="1"/>
  <c r="AT586" i="1"/>
  <c r="AX586" i="1" s="1"/>
  <c r="AT587" i="1"/>
  <c r="AX587" i="1" s="1"/>
  <c r="AT588" i="1"/>
  <c r="AX588" i="1" s="1"/>
  <c r="AT589" i="1"/>
  <c r="AX589" i="1" s="1"/>
  <c r="AT590" i="1"/>
  <c r="AX590" i="1" s="1"/>
  <c r="AT591" i="1"/>
  <c r="AX591" i="1" s="1"/>
  <c r="AT592" i="1"/>
  <c r="AX592" i="1" s="1"/>
  <c r="AT593" i="1"/>
  <c r="AX593" i="1" s="1"/>
  <c r="AT594" i="1"/>
  <c r="AT595" i="1"/>
  <c r="AX595" i="1" s="1"/>
  <c r="AT596" i="1"/>
  <c r="AX596" i="1" s="1"/>
  <c r="AT597" i="1"/>
  <c r="AX597" i="1" s="1"/>
  <c r="AT598" i="1"/>
  <c r="AX598" i="1" s="1"/>
  <c r="AT599" i="1"/>
  <c r="AX599" i="1" s="1"/>
  <c r="AT600" i="1"/>
  <c r="AX600" i="1" s="1"/>
  <c r="AT601" i="1"/>
  <c r="AX601" i="1" s="1"/>
  <c r="AT602" i="1"/>
  <c r="AX602" i="1" s="1"/>
  <c r="AT603" i="1"/>
  <c r="AX603" i="1" s="1"/>
  <c r="AT604" i="1"/>
  <c r="AX604" i="1" s="1"/>
  <c r="AT605" i="1"/>
  <c r="AX605" i="1" s="1"/>
  <c r="AT606" i="1"/>
  <c r="AX606" i="1" s="1"/>
  <c r="AT607" i="1"/>
  <c r="AX607" i="1" s="1"/>
  <c r="AT608" i="1"/>
  <c r="AX608" i="1" s="1"/>
  <c r="AT609" i="1"/>
  <c r="AX609" i="1" s="1"/>
  <c r="AT610" i="1"/>
  <c r="AX610" i="1" s="1"/>
  <c r="AT611" i="1"/>
  <c r="AX611" i="1" s="1"/>
  <c r="AT612" i="1"/>
  <c r="AX612" i="1" s="1"/>
  <c r="AT613" i="1"/>
  <c r="AX613" i="1" s="1"/>
  <c r="AT614" i="1"/>
  <c r="AX614" i="1" s="1"/>
  <c r="AT615" i="1"/>
  <c r="AX615" i="1" s="1"/>
  <c r="AT616" i="1"/>
  <c r="AX616" i="1" s="1"/>
  <c r="AT617" i="1"/>
  <c r="AX617" i="1" s="1"/>
  <c r="AT618" i="1"/>
  <c r="AX618" i="1" s="1"/>
  <c r="AT619" i="1"/>
  <c r="AX619" i="1" s="1"/>
  <c r="AT620" i="1"/>
  <c r="AX620" i="1" s="1"/>
  <c r="AT621" i="1"/>
  <c r="AX621" i="1" s="1"/>
  <c r="AT622" i="1"/>
  <c r="AX622" i="1" s="1"/>
  <c r="AT623" i="1"/>
  <c r="AX623" i="1" s="1"/>
  <c r="AT624" i="1"/>
  <c r="AX624" i="1" s="1"/>
  <c r="AT625" i="1"/>
  <c r="AX625" i="1" s="1"/>
  <c r="AT626" i="1"/>
  <c r="AX626" i="1" s="1"/>
  <c r="AT627" i="1"/>
  <c r="AX627" i="1" s="1"/>
  <c r="AT628" i="1"/>
  <c r="AX628" i="1" s="1"/>
  <c r="AT629" i="1"/>
  <c r="AX629" i="1" s="1"/>
  <c r="AT630" i="1"/>
  <c r="AX630" i="1" s="1"/>
  <c r="AT631" i="1"/>
  <c r="AX631" i="1" s="1"/>
  <c r="AT632" i="1"/>
  <c r="AX632" i="1" s="1"/>
  <c r="AT633" i="1"/>
  <c r="AX633" i="1" s="1"/>
  <c r="AT634" i="1"/>
  <c r="AX634" i="1" s="1"/>
  <c r="AT635" i="1"/>
  <c r="AX635" i="1" s="1"/>
  <c r="AT636" i="1"/>
  <c r="AX636" i="1" s="1"/>
  <c r="AT637" i="1"/>
  <c r="AX637" i="1" s="1"/>
  <c r="AT638" i="1"/>
  <c r="AX638" i="1" s="1"/>
  <c r="AT639" i="1"/>
  <c r="AX639" i="1" s="1"/>
  <c r="AT640" i="1"/>
  <c r="AX640" i="1" s="1"/>
  <c r="AT641" i="1"/>
  <c r="AX641" i="1" s="1"/>
  <c r="AT642" i="1"/>
  <c r="AX642" i="1" s="1"/>
  <c r="AT643" i="1"/>
  <c r="AX643" i="1" s="1"/>
  <c r="AT644" i="1"/>
  <c r="AX644" i="1" s="1"/>
  <c r="AT645" i="1"/>
  <c r="AX645" i="1" s="1"/>
  <c r="AT646" i="1"/>
  <c r="AX646" i="1" s="1"/>
  <c r="AT647" i="1"/>
  <c r="AX647" i="1" s="1"/>
  <c r="AT648" i="1"/>
  <c r="AX648" i="1" s="1"/>
  <c r="AT649" i="1"/>
  <c r="AX649" i="1" s="1"/>
  <c r="AT650" i="1"/>
  <c r="AX650" i="1" s="1"/>
  <c r="AT651" i="1"/>
  <c r="AX651" i="1" s="1"/>
  <c r="AT652" i="1"/>
  <c r="AX652" i="1" s="1"/>
  <c r="AT653" i="1"/>
  <c r="AX653" i="1" s="1"/>
  <c r="AT654" i="1"/>
  <c r="AX654" i="1" s="1"/>
  <c r="AT655" i="1"/>
  <c r="AX655" i="1" s="1"/>
  <c r="AT656" i="1"/>
  <c r="AX656" i="1" s="1"/>
  <c r="AT657" i="1"/>
  <c r="AX657" i="1" s="1"/>
  <c r="AT658" i="1"/>
  <c r="AX658" i="1" s="1"/>
  <c r="AT659" i="1"/>
  <c r="AX659" i="1" s="1"/>
  <c r="AT660" i="1"/>
  <c r="AX660" i="1" s="1"/>
  <c r="AT661" i="1"/>
  <c r="AX661" i="1" s="1"/>
  <c r="AT662" i="1"/>
  <c r="AX662" i="1" s="1"/>
  <c r="AT663" i="1"/>
  <c r="AX663" i="1" s="1"/>
  <c r="AT664" i="1"/>
  <c r="AX664" i="1" s="1"/>
  <c r="AT665" i="1"/>
  <c r="AX665" i="1" s="1"/>
  <c r="AT666" i="1"/>
  <c r="AX666" i="1" s="1"/>
  <c r="AT667" i="1"/>
  <c r="AX667" i="1" s="1"/>
  <c r="AT668" i="1"/>
  <c r="AX668" i="1" s="1"/>
  <c r="AT669" i="1"/>
  <c r="AX669" i="1" s="1"/>
  <c r="AT670" i="1"/>
  <c r="AX670" i="1" s="1"/>
  <c r="AT671" i="1"/>
  <c r="AX671" i="1" s="1"/>
  <c r="AT672" i="1"/>
  <c r="AX672" i="1" s="1"/>
  <c r="AT673" i="1"/>
  <c r="AX673" i="1" s="1"/>
  <c r="AT674" i="1"/>
  <c r="AX674" i="1" s="1"/>
  <c r="AT675" i="1"/>
  <c r="AX675" i="1" s="1"/>
  <c r="AT676" i="1"/>
  <c r="AX676" i="1" s="1"/>
  <c r="AT677" i="1"/>
  <c r="AX677" i="1" s="1"/>
  <c r="AT678" i="1"/>
  <c r="AX678" i="1" s="1"/>
  <c r="AT679" i="1"/>
  <c r="AX679" i="1" s="1"/>
  <c r="AT680" i="1"/>
  <c r="AX680" i="1" s="1"/>
  <c r="AT681" i="1"/>
  <c r="AX681" i="1" s="1"/>
  <c r="AT682" i="1"/>
  <c r="AX682" i="1" s="1"/>
  <c r="AT683" i="1"/>
  <c r="AX683" i="1" s="1"/>
  <c r="AT684" i="1"/>
  <c r="AX684" i="1" s="1"/>
  <c r="AT685" i="1"/>
  <c r="AX685" i="1" s="1"/>
  <c r="AT686" i="1"/>
  <c r="AX686" i="1" s="1"/>
  <c r="AT687" i="1"/>
  <c r="AX687" i="1" s="1"/>
  <c r="AT688" i="1"/>
  <c r="AX688" i="1" s="1"/>
  <c r="AT689" i="1"/>
  <c r="AX689" i="1" s="1"/>
  <c r="AT690" i="1"/>
  <c r="AX690" i="1" s="1"/>
  <c r="AT691" i="1"/>
  <c r="AX691" i="1" s="1"/>
  <c r="AT692" i="1"/>
  <c r="AX692" i="1" s="1"/>
  <c r="AT693" i="1"/>
  <c r="AX693" i="1" s="1"/>
  <c r="AT694" i="1"/>
  <c r="AX694" i="1" s="1"/>
  <c r="AT695" i="1"/>
  <c r="AX695" i="1" s="1"/>
  <c r="AT696" i="1"/>
  <c r="AT697" i="1"/>
  <c r="AX697" i="1" s="1"/>
  <c r="AT698" i="1"/>
  <c r="AX698" i="1" s="1"/>
  <c r="AT699" i="1"/>
  <c r="AX699" i="1" s="1"/>
  <c r="AT700" i="1"/>
  <c r="AX700" i="1" s="1"/>
  <c r="AT701" i="1"/>
  <c r="AX701" i="1" s="1"/>
  <c r="AT702" i="1"/>
  <c r="AX702" i="1" s="1"/>
  <c r="AT703" i="1"/>
  <c r="AX703" i="1" s="1"/>
  <c r="AT704" i="1"/>
  <c r="AX704" i="1" s="1"/>
  <c r="AT705" i="1"/>
  <c r="AX705" i="1" s="1"/>
  <c r="AT706" i="1"/>
  <c r="AX706" i="1" s="1"/>
  <c r="AT707" i="1"/>
  <c r="AX707" i="1" s="1"/>
  <c r="AT708" i="1"/>
  <c r="AX708" i="1" s="1"/>
  <c r="AT709" i="1"/>
  <c r="AX709" i="1" s="1"/>
  <c r="AT710" i="1"/>
  <c r="AX710" i="1" s="1"/>
  <c r="AT711" i="1"/>
  <c r="AX711" i="1" s="1"/>
  <c r="AT712" i="1"/>
  <c r="AX712" i="1" s="1"/>
  <c r="AT713" i="1"/>
  <c r="AX713" i="1" s="1"/>
  <c r="AT714" i="1"/>
  <c r="AX714" i="1" s="1"/>
  <c r="AT715" i="1"/>
  <c r="AX715" i="1" s="1"/>
  <c r="AT716" i="1"/>
  <c r="AX716" i="1" s="1"/>
  <c r="AT717" i="1"/>
  <c r="AX717" i="1" s="1"/>
  <c r="AT718" i="1"/>
  <c r="AX718" i="1" s="1"/>
  <c r="AT719" i="1"/>
  <c r="AX719" i="1" s="1"/>
  <c r="AT720" i="1"/>
  <c r="AX720" i="1" s="1"/>
  <c r="AT721" i="1"/>
  <c r="AX721" i="1" s="1"/>
  <c r="AT722" i="1"/>
  <c r="AX722" i="1" s="1"/>
  <c r="AT723" i="1"/>
  <c r="AX723" i="1" s="1"/>
  <c r="AT724" i="1"/>
  <c r="AX724" i="1" s="1"/>
  <c r="AT725" i="1"/>
  <c r="AX725" i="1" s="1"/>
  <c r="AT726" i="1"/>
  <c r="AX726" i="1" s="1"/>
  <c r="AT727" i="1"/>
  <c r="AX727" i="1" s="1"/>
  <c r="AT728" i="1"/>
  <c r="AX728" i="1" s="1"/>
  <c r="AT729" i="1"/>
  <c r="AX729" i="1" s="1"/>
  <c r="AT730" i="1"/>
  <c r="AX730" i="1" s="1"/>
  <c r="AT731" i="1"/>
  <c r="AX731" i="1" s="1"/>
  <c r="AT732" i="1"/>
  <c r="AX732" i="1" s="1"/>
  <c r="AT733" i="1"/>
  <c r="AX733" i="1" s="1"/>
  <c r="AT734" i="1"/>
  <c r="AX734" i="1" s="1"/>
  <c r="AT735" i="1"/>
  <c r="AX735" i="1" s="1"/>
  <c r="AT736" i="1"/>
  <c r="AX736" i="1" s="1"/>
  <c r="AT737" i="1"/>
  <c r="AX737" i="1" s="1"/>
  <c r="AT738" i="1"/>
  <c r="AX738" i="1" s="1"/>
  <c r="AT739" i="1"/>
  <c r="AX739" i="1" s="1"/>
  <c r="AT740" i="1"/>
  <c r="AX740" i="1" s="1"/>
  <c r="AT741" i="1"/>
  <c r="AX741" i="1" s="1"/>
  <c r="AT742" i="1"/>
  <c r="AX742" i="1" s="1"/>
  <c r="AT743" i="1"/>
  <c r="AX743" i="1" s="1"/>
  <c r="AT744" i="1"/>
  <c r="AX744" i="1" s="1"/>
  <c r="AT745" i="1"/>
  <c r="AT746" i="1"/>
  <c r="AX746" i="1" s="1"/>
  <c r="AT747" i="1"/>
  <c r="AX747" i="1" s="1"/>
  <c r="AT748" i="1"/>
  <c r="AX748" i="1" s="1"/>
  <c r="AT749" i="1"/>
  <c r="AX749" i="1" s="1"/>
  <c r="AT750" i="1"/>
  <c r="AX750" i="1" s="1"/>
  <c r="AT751" i="1"/>
  <c r="AX751" i="1" s="1"/>
  <c r="AT752" i="1"/>
  <c r="AX752" i="1" s="1"/>
  <c r="AT753" i="1"/>
  <c r="AX753" i="1" s="1"/>
  <c r="AT754" i="1"/>
  <c r="AX754" i="1" s="1"/>
  <c r="AT755" i="1"/>
  <c r="AX755" i="1" s="1"/>
  <c r="AT756" i="1"/>
  <c r="AX756" i="1" s="1"/>
  <c r="AT757" i="1"/>
  <c r="AX757" i="1" s="1"/>
  <c r="AT758" i="1"/>
  <c r="AX758" i="1" s="1"/>
  <c r="AT759" i="1"/>
  <c r="AX759" i="1" s="1"/>
  <c r="AT760" i="1"/>
  <c r="AX760" i="1" s="1"/>
  <c r="AT761" i="1"/>
  <c r="AX761" i="1" s="1"/>
  <c r="AT762" i="1"/>
  <c r="AX762" i="1" s="1"/>
  <c r="AT763" i="1"/>
  <c r="AX763" i="1" s="1"/>
  <c r="AT764" i="1"/>
  <c r="AX764" i="1" s="1"/>
  <c r="AT765" i="1"/>
  <c r="AX765" i="1" s="1"/>
  <c r="AT766" i="1"/>
  <c r="AX766" i="1" s="1"/>
  <c r="AT767" i="1"/>
  <c r="AX767" i="1" s="1"/>
  <c r="AT768" i="1"/>
  <c r="AX768" i="1" s="1"/>
  <c r="AT769" i="1"/>
  <c r="AX769" i="1" s="1"/>
  <c r="AT770" i="1"/>
  <c r="AX770" i="1" s="1"/>
  <c r="AT771" i="1"/>
  <c r="AX771" i="1" s="1"/>
  <c r="AT772" i="1"/>
  <c r="AX772" i="1" s="1"/>
  <c r="AT773" i="1"/>
  <c r="AX773" i="1" s="1"/>
  <c r="AT774" i="1"/>
  <c r="AX774" i="1" s="1"/>
  <c r="AT775" i="1"/>
  <c r="AX775" i="1" s="1"/>
  <c r="AT776" i="1"/>
  <c r="AX776" i="1" s="1"/>
  <c r="AT777" i="1"/>
  <c r="AX777" i="1" s="1"/>
  <c r="AT778" i="1"/>
  <c r="AX778" i="1" s="1"/>
  <c r="AT779" i="1"/>
  <c r="AX779" i="1" s="1"/>
  <c r="AT780" i="1"/>
  <c r="AX780" i="1" s="1"/>
  <c r="AT781" i="1"/>
  <c r="AX781" i="1" s="1"/>
  <c r="AT782" i="1"/>
  <c r="AX782" i="1" s="1"/>
  <c r="AT783" i="1"/>
  <c r="AX783" i="1" s="1"/>
  <c r="AT784" i="1"/>
  <c r="AX784" i="1" s="1"/>
  <c r="AT785" i="1"/>
  <c r="AX785" i="1" s="1"/>
  <c r="AT786" i="1"/>
  <c r="AX786" i="1" s="1"/>
  <c r="AT787" i="1"/>
  <c r="AX787" i="1" s="1"/>
  <c r="AT788" i="1"/>
  <c r="AX788" i="1" s="1"/>
  <c r="AT789" i="1"/>
  <c r="AX789" i="1" s="1"/>
  <c r="AT790" i="1"/>
  <c r="AX790" i="1" s="1"/>
  <c r="AT791" i="1"/>
  <c r="AX791" i="1" s="1"/>
  <c r="AT792" i="1"/>
  <c r="AX792" i="1" s="1"/>
  <c r="AT793" i="1"/>
  <c r="AX793" i="1" s="1"/>
  <c r="AT794" i="1"/>
  <c r="AX794" i="1" s="1"/>
  <c r="AT795" i="1"/>
  <c r="AX795" i="1" s="1"/>
  <c r="AT796" i="1"/>
  <c r="AX796" i="1" s="1"/>
  <c r="AT797" i="1"/>
  <c r="AX797" i="1" s="1"/>
  <c r="AT798" i="1"/>
  <c r="AX798" i="1" s="1"/>
  <c r="AT799" i="1"/>
  <c r="AX799" i="1" s="1"/>
  <c r="AT800" i="1"/>
  <c r="AX800" i="1" s="1"/>
  <c r="AT801" i="1"/>
  <c r="AX801" i="1" s="1"/>
  <c r="AT802" i="1"/>
  <c r="AX802" i="1" s="1"/>
  <c r="AT803" i="1"/>
  <c r="AX803" i="1" s="1"/>
  <c r="AT804" i="1"/>
  <c r="AX804" i="1" s="1"/>
  <c r="AT805" i="1"/>
  <c r="AX805" i="1" s="1"/>
  <c r="AT806" i="1"/>
  <c r="AX806" i="1" s="1"/>
  <c r="AT807" i="1"/>
  <c r="AX807" i="1" s="1"/>
  <c r="AT808" i="1"/>
  <c r="AX808" i="1" s="1"/>
  <c r="AT809" i="1"/>
  <c r="AX809" i="1" s="1"/>
  <c r="AT810" i="1"/>
  <c r="AX810" i="1" s="1"/>
  <c r="AT811" i="1"/>
  <c r="AX811" i="1" s="1"/>
  <c r="AT812" i="1"/>
  <c r="AX812" i="1" s="1"/>
  <c r="AT813" i="1"/>
  <c r="AX813" i="1" s="1"/>
  <c r="AT814" i="1"/>
  <c r="AX814" i="1" s="1"/>
  <c r="AT815" i="1"/>
  <c r="AX815" i="1" s="1"/>
  <c r="AT816" i="1"/>
  <c r="AX816" i="1" s="1"/>
  <c r="AT817" i="1"/>
  <c r="AX817" i="1" s="1"/>
  <c r="AT818" i="1"/>
  <c r="AX818" i="1" s="1"/>
  <c r="AT819" i="1"/>
  <c r="AX819" i="1" s="1"/>
  <c r="AT820" i="1"/>
  <c r="AX820" i="1" s="1"/>
  <c r="AT821" i="1"/>
  <c r="AX821" i="1" s="1"/>
  <c r="AT822" i="1"/>
  <c r="AX822" i="1" s="1"/>
  <c r="AT823" i="1"/>
  <c r="AX823" i="1" s="1"/>
  <c r="AT824" i="1"/>
  <c r="AX824" i="1" s="1"/>
  <c r="AT825" i="1"/>
  <c r="AX825" i="1" s="1"/>
  <c r="AT826" i="1"/>
  <c r="AX826" i="1" s="1"/>
  <c r="AT827" i="1"/>
  <c r="AX827" i="1" s="1"/>
  <c r="AT828" i="1"/>
  <c r="AX828" i="1" s="1"/>
  <c r="AT829" i="1"/>
  <c r="AX829" i="1" s="1"/>
  <c r="AT830" i="1"/>
  <c r="AX830" i="1" s="1"/>
  <c r="AT831" i="1"/>
  <c r="AX831" i="1" s="1"/>
  <c r="AT832" i="1"/>
  <c r="AX832" i="1" s="1"/>
  <c r="AT833" i="1"/>
  <c r="AX833" i="1" s="1"/>
  <c r="AT834" i="1"/>
  <c r="AX834" i="1" s="1"/>
  <c r="AT835" i="1"/>
  <c r="AX835" i="1" s="1"/>
  <c r="AT836" i="1"/>
  <c r="AX836" i="1" s="1"/>
  <c r="AT837" i="1"/>
  <c r="AX837" i="1" s="1"/>
  <c r="AT838" i="1"/>
  <c r="AX838" i="1" s="1"/>
  <c r="AT839" i="1"/>
  <c r="AX839" i="1" s="1"/>
  <c r="AT840" i="1"/>
  <c r="AX840" i="1" s="1"/>
  <c r="AT841" i="1"/>
  <c r="AX841" i="1" s="1"/>
  <c r="AT842" i="1"/>
  <c r="AX842" i="1" s="1"/>
  <c r="AT843" i="1"/>
  <c r="AX843" i="1" s="1"/>
  <c r="AT844" i="1"/>
  <c r="AX844" i="1" s="1"/>
  <c r="AT845" i="1"/>
  <c r="AX845" i="1" s="1"/>
  <c r="AT846" i="1"/>
  <c r="AX846" i="1" s="1"/>
  <c r="AT847" i="1"/>
  <c r="AX847" i="1" s="1"/>
  <c r="AT848" i="1"/>
  <c r="AX848" i="1" s="1"/>
  <c r="AT849" i="1"/>
  <c r="AX849" i="1" s="1"/>
  <c r="AT850" i="1"/>
  <c r="AX850" i="1" s="1"/>
  <c r="AT851" i="1"/>
  <c r="AX851" i="1" s="1"/>
  <c r="AT852" i="1"/>
  <c r="AX852" i="1" s="1"/>
  <c r="AT853" i="1"/>
  <c r="AX853" i="1" s="1"/>
  <c r="AT854" i="1"/>
  <c r="AX854" i="1" s="1"/>
  <c r="AT855" i="1"/>
  <c r="AX855" i="1" s="1"/>
  <c r="AT856" i="1"/>
  <c r="AX856" i="1" s="1"/>
  <c r="AT857" i="1"/>
  <c r="AX857" i="1" s="1"/>
  <c r="AT858" i="1"/>
  <c r="AX858" i="1" s="1"/>
  <c r="AT859" i="1"/>
  <c r="AX859" i="1" s="1"/>
  <c r="AT860" i="1"/>
  <c r="AX860" i="1" s="1"/>
  <c r="AT861" i="1"/>
  <c r="AX861" i="1" s="1"/>
  <c r="AT862" i="1"/>
  <c r="AX862" i="1" s="1"/>
  <c r="AT863" i="1"/>
  <c r="AX863" i="1" s="1"/>
  <c r="AT864" i="1"/>
  <c r="AX864" i="1" s="1"/>
  <c r="AT865" i="1"/>
  <c r="AX865" i="1" s="1"/>
  <c r="AT866" i="1"/>
  <c r="AX866" i="1" s="1"/>
  <c r="AT867" i="1"/>
  <c r="AX867" i="1" s="1"/>
  <c r="AT868" i="1"/>
  <c r="AX868" i="1" s="1"/>
  <c r="AT869" i="1"/>
  <c r="AX869" i="1" s="1"/>
  <c r="AT870" i="1"/>
  <c r="AX870" i="1" s="1"/>
  <c r="AT871" i="1"/>
  <c r="AX871" i="1" s="1"/>
  <c r="AT872" i="1"/>
  <c r="AX872" i="1" s="1"/>
  <c r="AT873" i="1"/>
  <c r="AX873" i="1" s="1"/>
  <c r="AT874" i="1"/>
  <c r="AX874" i="1" s="1"/>
  <c r="AT875" i="1"/>
  <c r="AX875" i="1" s="1"/>
  <c r="AT876" i="1"/>
  <c r="AX876" i="1" s="1"/>
  <c r="AT877" i="1"/>
  <c r="AX877" i="1" s="1"/>
  <c r="AT878" i="1"/>
  <c r="AX878" i="1" s="1"/>
  <c r="AT879" i="1"/>
  <c r="AX879" i="1" s="1"/>
  <c r="AT880" i="1"/>
  <c r="AX880" i="1" s="1"/>
  <c r="AT881" i="1"/>
  <c r="AX881" i="1" s="1"/>
  <c r="AT882" i="1"/>
  <c r="AX882" i="1" s="1"/>
  <c r="AT883" i="1"/>
  <c r="AX883" i="1" s="1"/>
  <c r="AT884" i="1"/>
  <c r="AX884" i="1" s="1"/>
  <c r="AT885" i="1"/>
  <c r="AX885" i="1" s="1"/>
  <c r="AT886" i="1"/>
  <c r="AX886" i="1" s="1"/>
  <c r="AT887" i="1"/>
  <c r="AX887" i="1" s="1"/>
  <c r="AT888" i="1"/>
  <c r="AX888" i="1" s="1"/>
  <c r="AT889" i="1"/>
  <c r="AX889" i="1" s="1"/>
  <c r="AT890" i="1"/>
  <c r="AX890" i="1" s="1"/>
  <c r="AT891" i="1"/>
  <c r="AX891" i="1" s="1"/>
  <c r="AT892" i="1"/>
  <c r="AX892" i="1" s="1"/>
  <c r="AT893" i="1"/>
  <c r="AX893" i="1" s="1"/>
  <c r="AT894" i="1"/>
  <c r="AX894" i="1" s="1"/>
  <c r="AT895" i="1"/>
  <c r="AX895" i="1" s="1"/>
  <c r="AT896" i="1"/>
  <c r="AX896" i="1" s="1"/>
  <c r="AT897" i="1"/>
  <c r="AX897" i="1" s="1"/>
  <c r="AT898" i="1"/>
  <c r="AX898" i="1" s="1"/>
  <c r="AT899" i="1"/>
  <c r="AX899" i="1" s="1"/>
  <c r="AT900" i="1"/>
  <c r="AX900" i="1" s="1"/>
  <c r="AT901" i="1"/>
  <c r="AX901" i="1" s="1"/>
  <c r="AT902" i="1"/>
  <c r="AX902" i="1" s="1"/>
  <c r="AT903" i="1"/>
  <c r="AX903" i="1" s="1"/>
  <c r="AT904" i="1"/>
  <c r="AX904" i="1" s="1"/>
  <c r="AT905" i="1"/>
  <c r="AX905" i="1" s="1"/>
  <c r="AT906" i="1"/>
  <c r="AT907" i="1"/>
  <c r="AX907" i="1" s="1"/>
  <c r="AT908" i="1"/>
  <c r="AX908" i="1" s="1"/>
  <c r="AT909" i="1"/>
  <c r="AX909" i="1" s="1"/>
  <c r="AT910" i="1"/>
  <c r="AX910" i="1" s="1"/>
  <c r="AT911" i="1"/>
  <c r="AX911" i="1" s="1"/>
  <c r="AT912" i="1"/>
  <c r="AX912" i="1" s="1"/>
  <c r="AT913" i="1"/>
  <c r="AX913" i="1" s="1"/>
  <c r="AT914" i="1"/>
  <c r="AX914" i="1" s="1"/>
  <c r="AT915" i="1"/>
  <c r="AX915" i="1" s="1"/>
  <c r="AT916" i="1"/>
  <c r="AX916" i="1" s="1"/>
  <c r="AT917" i="1"/>
  <c r="AX917" i="1" s="1"/>
  <c r="AT918" i="1"/>
  <c r="AX918" i="1" s="1"/>
  <c r="AT919" i="1"/>
  <c r="AX919" i="1" s="1"/>
  <c r="AT920" i="1"/>
  <c r="AX920" i="1" s="1"/>
  <c r="AT921" i="1"/>
  <c r="AX921" i="1" s="1"/>
  <c r="AT922" i="1"/>
  <c r="AX922" i="1" s="1"/>
  <c r="AT923" i="1"/>
  <c r="AX923" i="1" s="1"/>
  <c r="AT924" i="1"/>
  <c r="AX924" i="1" s="1"/>
  <c r="AT925" i="1"/>
  <c r="AX925" i="1" s="1"/>
  <c r="AT926" i="1"/>
  <c r="AX926" i="1" s="1"/>
  <c r="AT927" i="1"/>
  <c r="AX927" i="1" s="1"/>
  <c r="AT928" i="1"/>
  <c r="AX928" i="1" s="1"/>
  <c r="AT929" i="1"/>
  <c r="AX929" i="1" s="1"/>
  <c r="AT930" i="1"/>
  <c r="AX930" i="1" s="1"/>
  <c r="AT931" i="1"/>
  <c r="AX931" i="1" s="1"/>
  <c r="AT932" i="1"/>
  <c r="AX932" i="1" s="1"/>
  <c r="AT933" i="1"/>
  <c r="AX933" i="1" s="1"/>
  <c r="AT2" i="1"/>
  <c r="AX2" i="1" s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9" i="1"/>
  <c r="AE230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9" i="1"/>
  <c r="AE560" i="1"/>
  <c r="AE561" i="1"/>
  <c r="AE562" i="1"/>
  <c r="AE563" i="1"/>
  <c r="AE564" i="1"/>
  <c r="AE566" i="1"/>
  <c r="AE567" i="1"/>
  <c r="AE568" i="1"/>
  <c r="AE569" i="1"/>
  <c r="AE570" i="1"/>
  <c r="AE571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3" i="1"/>
  <c r="AE864" i="1"/>
  <c r="AE865" i="1"/>
  <c r="AE866" i="1"/>
  <c r="AE867" i="1"/>
  <c r="AE868" i="1"/>
  <c r="AE869" i="1"/>
  <c r="AE870" i="1"/>
  <c r="AE871" i="1"/>
  <c r="AE874" i="1"/>
  <c r="AE875" i="1"/>
  <c r="AE876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8" i="1"/>
  <c r="S99" i="1"/>
  <c r="S100" i="1"/>
  <c r="S101" i="1"/>
  <c r="S102" i="1"/>
  <c r="S103" i="1"/>
  <c r="S104" i="1"/>
  <c r="S105" i="1"/>
  <c r="S107" i="1"/>
  <c r="S108" i="1"/>
  <c r="S109" i="1"/>
  <c r="S110" i="1"/>
  <c r="S111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7" i="1"/>
  <c r="S318" i="1"/>
  <c r="S319" i="1"/>
  <c r="S320" i="1"/>
  <c r="S321" i="1"/>
  <c r="S322" i="1"/>
  <c r="S323" i="1"/>
  <c r="S324" i="1"/>
  <c r="S325" i="1"/>
  <c r="S326" i="1"/>
  <c r="S327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10" i="1"/>
  <c r="S611" i="1"/>
  <c r="S612" i="1"/>
  <c r="S613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9" i="1"/>
  <c r="S880" i="1"/>
  <c r="S881" i="1"/>
  <c r="S882" i="1"/>
  <c r="S883" i="1"/>
  <c r="S884" i="1"/>
  <c r="S885" i="1"/>
  <c r="S886" i="1"/>
  <c r="S887" i="1"/>
  <c r="S889" i="1"/>
  <c r="S890" i="1"/>
  <c r="S891" i="1"/>
  <c r="S892" i="1"/>
  <c r="S893" i="1"/>
  <c r="S894" i="1"/>
  <c r="S895" i="1"/>
  <c r="S896" i="1"/>
  <c r="S897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2" i="1"/>
  <c r="J166" i="1"/>
  <c r="K166" i="1" s="1"/>
  <c r="AW166" i="1" s="1"/>
  <c r="J398" i="1"/>
  <c r="K398" i="1" s="1"/>
  <c r="AW398" i="1" s="1"/>
  <c r="J403" i="1"/>
  <c r="K403" i="1" s="1"/>
  <c r="AW403" i="1" s="1"/>
  <c r="J476" i="1"/>
  <c r="K476" i="1" s="1"/>
  <c r="AW476" i="1" s="1"/>
  <c r="J683" i="1"/>
  <c r="K683" i="1" s="1"/>
  <c r="J695" i="1"/>
  <c r="K695" i="1" s="1"/>
  <c r="J762" i="1"/>
  <c r="K762" i="1" s="1"/>
  <c r="J78" i="1"/>
  <c r="K78" i="1" s="1"/>
  <c r="AW78" i="1" s="1"/>
  <c r="J86" i="1"/>
  <c r="K86" i="1" s="1"/>
  <c r="AW86" i="1" s="1"/>
  <c r="J163" i="1"/>
  <c r="K163" i="1" s="1"/>
  <c r="AW163" i="1" s="1"/>
  <c r="J505" i="1"/>
  <c r="K505" i="1" s="1"/>
  <c r="AW505" i="1" s="1"/>
  <c r="J556" i="1"/>
  <c r="K556" i="1" s="1"/>
  <c r="AW556" i="1" s="1"/>
  <c r="J801" i="1"/>
  <c r="K801" i="1" s="1"/>
  <c r="J824" i="1"/>
  <c r="K824" i="1" s="1"/>
  <c r="J854" i="1"/>
  <c r="K854" i="1" s="1"/>
  <c r="J288" i="1"/>
  <c r="K288" i="1" s="1"/>
  <c r="AW288" i="1" s="1"/>
  <c r="J341" i="1"/>
  <c r="K341" i="1" s="1"/>
  <c r="AW341" i="1" s="1"/>
  <c r="J835" i="1"/>
  <c r="K835" i="1" s="1"/>
  <c r="J849" i="1"/>
  <c r="K849" i="1" s="1"/>
  <c r="J149" i="1"/>
  <c r="K149" i="1" s="1"/>
  <c r="AW149" i="1" s="1"/>
  <c r="J3" i="1"/>
  <c r="K3" i="1" s="1"/>
  <c r="AW3" i="1" s="1"/>
  <c r="J4" i="1"/>
  <c r="K4" i="1" s="1"/>
  <c r="AW4" i="1" s="1"/>
  <c r="J5" i="1"/>
  <c r="K5" i="1" s="1"/>
  <c r="AW5" i="1" s="1"/>
  <c r="J503" i="1"/>
  <c r="K503" i="1" s="1"/>
  <c r="AW503" i="1" s="1"/>
  <c r="J6" i="1"/>
  <c r="K6" i="1" s="1"/>
  <c r="AW6" i="1" s="1"/>
  <c r="J504" i="1"/>
  <c r="K504" i="1" s="1"/>
  <c r="AW504" i="1" s="1"/>
  <c r="J506" i="1"/>
  <c r="K506" i="1" s="1"/>
  <c r="AW506" i="1" s="1"/>
  <c r="J7" i="1"/>
  <c r="K7" i="1" s="1"/>
  <c r="AW7" i="1" s="1"/>
  <c r="J507" i="1"/>
  <c r="K507" i="1" s="1"/>
  <c r="AW507" i="1" s="1"/>
  <c r="J508" i="1"/>
  <c r="K508" i="1" s="1"/>
  <c r="AW508" i="1" s="1"/>
  <c r="J8" i="1"/>
  <c r="K8" i="1" s="1"/>
  <c r="AW8" i="1" s="1"/>
  <c r="J9" i="1"/>
  <c r="K9" i="1" s="1"/>
  <c r="AW9" i="1" s="1"/>
  <c r="J509" i="1"/>
  <c r="K509" i="1" s="1"/>
  <c r="AW509" i="1" s="1"/>
  <c r="J10" i="1"/>
  <c r="K10" i="1" s="1"/>
  <c r="AW10" i="1" s="1"/>
  <c r="J11" i="1"/>
  <c r="K11" i="1" s="1"/>
  <c r="AW11" i="1" s="1"/>
  <c r="J12" i="1"/>
  <c r="K12" i="1" s="1"/>
  <c r="AW12" i="1" s="1"/>
  <c r="J13" i="1"/>
  <c r="K13" i="1" s="1"/>
  <c r="AW13" i="1" s="1"/>
  <c r="J510" i="1"/>
  <c r="K510" i="1" s="1"/>
  <c r="AW510" i="1" s="1"/>
  <c r="J14" i="1"/>
  <c r="K14" i="1" s="1"/>
  <c r="AW14" i="1" s="1"/>
  <c r="J511" i="1"/>
  <c r="K511" i="1" s="1"/>
  <c r="AW511" i="1" s="1"/>
  <c r="J512" i="1"/>
  <c r="K512" i="1" s="1"/>
  <c r="AW512" i="1" s="1"/>
  <c r="J513" i="1"/>
  <c r="K513" i="1" s="1"/>
  <c r="AW513" i="1" s="1"/>
  <c r="J514" i="1"/>
  <c r="K514" i="1" s="1"/>
  <c r="AW514" i="1" s="1"/>
  <c r="J15" i="1"/>
  <c r="K15" i="1" s="1"/>
  <c r="AW15" i="1" s="1"/>
  <c r="J16" i="1"/>
  <c r="K16" i="1" s="1"/>
  <c r="AW16" i="1" s="1"/>
  <c r="J17" i="1"/>
  <c r="K17" i="1" s="1"/>
  <c r="AW17" i="1" s="1"/>
  <c r="J515" i="1"/>
  <c r="K515" i="1" s="1"/>
  <c r="AW515" i="1" s="1"/>
  <c r="J18" i="1"/>
  <c r="K18" i="1" s="1"/>
  <c r="AW18" i="1" s="1"/>
  <c r="J516" i="1"/>
  <c r="K516" i="1" s="1"/>
  <c r="AW516" i="1" s="1"/>
  <c r="J19" i="1"/>
  <c r="K19" i="1" s="1"/>
  <c r="AW19" i="1" s="1"/>
  <c r="J517" i="1"/>
  <c r="K517" i="1" s="1"/>
  <c r="AW517" i="1" s="1"/>
  <c r="J20" i="1"/>
  <c r="K20" i="1" s="1"/>
  <c r="AW20" i="1" s="1"/>
  <c r="J21" i="1"/>
  <c r="K21" i="1" s="1"/>
  <c r="AW21" i="1" s="1"/>
  <c r="J518" i="1"/>
  <c r="K518" i="1" s="1"/>
  <c r="AW518" i="1" s="1"/>
  <c r="J22" i="1"/>
  <c r="K22" i="1" s="1"/>
  <c r="AW22" i="1" s="1"/>
  <c r="J23" i="1"/>
  <c r="K23" i="1" s="1"/>
  <c r="AW23" i="1" s="1"/>
  <c r="J519" i="1"/>
  <c r="K519" i="1" s="1"/>
  <c r="AW519" i="1" s="1"/>
  <c r="J24" i="1"/>
  <c r="K24" i="1" s="1"/>
  <c r="AW24" i="1" s="1"/>
  <c r="J25" i="1"/>
  <c r="K25" i="1" s="1"/>
  <c r="AW25" i="1" s="1"/>
  <c r="J26" i="1"/>
  <c r="K26" i="1" s="1"/>
  <c r="AW26" i="1" s="1"/>
  <c r="J27" i="1"/>
  <c r="K27" i="1" s="1"/>
  <c r="AW27" i="1" s="1"/>
  <c r="J520" i="1"/>
  <c r="K520" i="1" s="1"/>
  <c r="AW520" i="1" s="1"/>
  <c r="J28" i="1"/>
  <c r="K28" i="1" s="1"/>
  <c r="AW28" i="1" s="1"/>
  <c r="J29" i="1"/>
  <c r="K29" i="1" s="1"/>
  <c r="AW29" i="1" s="1"/>
  <c r="J30" i="1"/>
  <c r="K30" i="1" s="1"/>
  <c r="AW30" i="1" s="1"/>
  <c r="J31" i="1"/>
  <c r="K31" i="1" s="1"/>
  <c r="AW31" i="1" s="1"/>
  <c r="J32" i="1"/>
  <c r="K32" i="1" s="1"/>
  <c r="AW32" i="1" s="1"/>
  <c r="J521" i="1"/>
  <c r="K521" i="1" s="1"/>
  <c r="AW521" i="1" s="1"/>
  <c r="J33" i="1"/>
  <c r="K33" i="1" s="1"/>
  <c r="AW33" i="1" s="1"/>
  <c r="J522" i="1"/>
  <c r="K522" i="1" s="1"/>
  <c r="AW522" i="1" s="1"/>
  <c r="J34" i="1"/>
  <c r="K34" i="1" s="1"/>
  <c r="AW34" i="1" s="1"/>
  <c r="J35" i="1"/>
  <c r="K35" i="1" s="1"/>
  <c r="AW35" i="1" s="1"/>
  <c r="J523" i="1"/>
  <c r="K523" i="1" s="1"/>
  <c r="AW523" i="1" s="1"/>
  <c r="J524" i="1"/>
  <c r="K524" i="1" s="1"/>
  <c r="AW524" i="1" s="1"/>
  <c r="J525" i="1"/>
  <c r="K525" i="1" s="1"/>
  <c r="AW525" i="1" s="1"/>
  <c r="J526" i="1"/>
  <c r="K526" i="1" s="1"/>
  <c r="AW526" i="1" s="1"/>
  <c r="J36" i="1"/>
  <c r="K36" i="1" s="1"/>
  <c r="AW36" i="1" s="1"/>
  <c r="J37" i="1"/>
  <c r="K37" i="1" s="1"/>
  <c r="AW37" i="1" s="1"/>
  <c r="J38" i="1"/>
  <c r="K38" i="1" s="1"/>
  <c r="AW38" i="1" s="1"/>
  <c r="J39" i="1"/>
  <c r="K39" i="1" s="1"/>
  <c r="AW39" i="1" s="1"/>
  <c r="J40" i="1"/>
  <c r="K40" i="1" s="1"/>
  <c r="AW40" i="1" s="1"/>
  <c r="J41" i="1"/>
  <c r="K41" i="1" s="1"/>
  <c r="AW41" i="1" s="1"/>
  <c r="J42" i="1"/>
  <c r="K42" i="1" s="1"/>
  <c r="AW42" i="1" s="1"/>
  <c r="J43" i="1"/>
  <c r="K43" i="1" s="1"/>
  <c r="AW43" i="1" s="1"/>
  <c r="J44" i="1"/>
  <c r="K44" i="1" s="1"/>
  <c r="AW44" i="1" s="1"/>
  <c r="J527" i="1"/>
  <c r="K527" i="1" s="1"/>
  <c r="AW527" i="1" s="1"/>
  <c r="J528" i="1"/>
  <c r="K528" i="1" s="1"/>
  <c r="AW528" i="1" s="1"/>
  <c r="J45" i="1"/>
  <c r="K45" i="1" s="1"/>
  <c r="AW45" i="1" s="1"/>
  <c r="J46" i="1"/>
  <c r="K46" i="1" s="1"/>
  <c r="AW46" i="1" s="1"/>
  <c r="J529" i="1"/>
  <c r="K529" i="1" s="1"/>
  <c r="AW529" i="1" s="1"/>
  <c r="J530" i="1"/>
  <c r="K530" i="1" s="1"/>
  <c r="AW530" i="1" s="1"/>
  <c r="J47" i="1"/>
  <c r="K47" i="1" s="1"/>
  <c r="AW47" i="1" s="1"/>
  <c r="J531" i="1"/>
  <c r="K531" i="1" s="1"/>
  <c r="AW531" i="1" s="1"/>
  <c r="J532" i="1"/>
  <c r="K532" i="1" s="1"/>
  <c r="AW532" i="1" s="1"/>
  <c r="J533" i="1"/>
  <c r="K533" i="1" s="1"/>
  <c r="AW533" i="1" s="1"/>
  <c r="J48" i="1"/>
  <c r="K48" i="1" s="1"/>
  <c r="AW48" i="1" s="1"/>
  <c r="J534" i="1"/>
  <c r="K534" i="1" s="1"/>
  <c r="AW534" i="1" s="1"/>
  <c r="J535" i="1"/>
  <c r="K535" i="1" s="1"/>
  <c r="AW535" i="1" s="1"/>
  <c r="J536" i="1"/>
  <c r="K536" i="1" s="1"/>
  <c r="AW536" i="1" s="1"/>
  <c r="J49" i="1"/>
  <c r="K49" i="1" s="1"/>
  <c r="AW49" i="1" s="1"/>
  <c r="J537" i="1"/>
  <c r="K537" i="1" s="1"/>
  <c r="AW537" i="1" s="1"/>
  <c r="J50" i="1"/>
  <c r="K50" i="1" s="1"/>
  <c r="AW50" i="1" s="1"/>
  <c r="J51" i="1"/>
  <c r="K51" i="1" s="1"/>
  <c r="AW51" i="1" s="1"/>
  <c r="J52" i="1"/>
  <c r="K52" i="1" s="1"/>
  <c r="AW52" i="1" s="1"/>
  <c r="J53" i="1"/>
  <c r="K53" i="1" s="1"/>
  <c r="AW53" i="1" s="1"/>
  <c r="J54" i="1"/>
  <c r="K54" i="1" s="1"/>
  <c r="AW54" i="1" s="1"/>
  <c r="J55" i="1"/>
  <c r="K55" i="1" s="1"/>
  <c r="AW55" i="1" s="1"/>
  <c r="J56" i="1"/>
  <c r="K56" i="1" s="1"/>
  <c r="AW56" i="1" s="1"/>
  <c r="J57" i="1"/>
  <c r="K57" i="1" s="1"/>
  <c r="AW57" i="1" s="1"/>
  <c r="J538" i="1"/>
  <c r="K538" i="1" s="1"/>
  <c r="AW538" i="1" s="1"/>
  <c r="J540" i="1"/>
  <c r="K540" i="1" s="1"/>
  <c r="AW540" i="1" s="1"/>
  <c r="J541" i="1"/>
  <c r="K541" i="1" s="1"/>
  <c r="AW541" i="1" s="1"/>
  <c r="J58" i="1"/>
  <c r="K58" i="1" s="1"/>
  <c r="AW58" i="1" s="1"/>
  <c r="J59" i="1"/>
  <c r="K59" i="1" s="1"/>
  <c r="AW59" i="1" s="1"/>
  <c r="J542" i="1"/>
  <c r="K542" i="1" s="1"/>
  <c r="AW542" i="1" s="1"/>
  <c r="J60" i="1"/>
  <c r="K60" i="1" s="1"/>
  <c r="AW60" i="1" s="1"/>
  <c r="J543" i="1"/>
  <c r="K543" i="1" s="1"/>
  <c r="AW543" i="1" s="1"/>
  <c r="J61" i="1"/>
  <c r="K61" i="1" s="1"/>
  <c r="AW61" i="1" s="1"/>
  <c r="J544" i="1"/>
  <c r="K544" i="1" s="1"/>
  <c r="AW544" i="1" s="1"/>
  <c r="J545" i="1"/>
  <c r="K545" i="1" s="1"/>
  <c r="AW545" i="1" s="1"/>
  <c r="J62" i="1"/>
  <c r="K62" i="1" s="1"/>
  <c r="AW62" i="1" s="1"/>
  <c r="J546" i="1"/>
  <c r="K546" i="1" s="1"/>
  <c r="AW546" i="1" s="1"/>
  <c r="J547" i="1"/>
  <c r="K547" i="1" s="1"/>
  <c r="AW547" i="1" s="1"/>
  <c r="J548" i="1"/>
  <c r="K548" i="1" s="1"/>
  <c r="AW548" i="1" s="1"/>
  <c r="J63" i="1"/>
  <c r="K63" i="1" s="1"/>
  <c r="AW63" i="1" s="1"/>
  <c r="J64" i="1"/>
  <c r="K64" i="1" s="1"/>
  <c r="AW64" i="1" s="1"/>
  <c r="J65" i="1"/>
  <c r="K65" i="1" s="1"/>
  <c r="AW65" i="1" s="1"/>
  <c r="J66" i="1"/>
  <c r="K66" i="1" s="1"/>
  <c r="AW66" i="1" s="1"/>
  <c r="J549" i="1"/>
  <c r="K549" i="1" s="1"/>
  <c r="AW549" i="1" s="1"/>
  <c r="J67" i="1"/>
  <c r="K67" i="1" s="1"/>
  <c r="AW67" i="1" s="1"/>
  <c r="J550" i="1"/>
  <c r="K550" i="1" s="1"/>
  <c r="AW550" i="1" s="1"/>
  <c r="J68" i="1"/>
  <c r="K68" i="1" s="1"/>
  <c r="AW68" i="1" s="1"/>
  <c r="J69" i="1"/>
  <c r="K69" i="1" s="1"/>
  <c r="AW69" i="1" s="1"/>
  <c r="J70" i="1"/>
  <c r="K70" i="1" s="1"/>
  <c r="AW70" i="1" s="1"/>
  <c r="J71" i="1"/>
  <c r="K71" i="1" s="1"/>
  <c r="AW71" i="1" s="1"/>
  <c r="J551" i="1"/>
  <c r="K551" i="1" s="1"/>
  <c r="AW551" i="1" s="1"/>
  <c r="J72" i="1"/>
  <c r="K72" i="1" s="1"/>
  <c r="AW72" i="1" s="1"/>
  <c r="J73" i="1"/>
  <c r="K73" i="1" s="1"/>
  <c r="AW73" i="1" s="1"/>
  <c r="J74" i="1"/>
  <c r="K74" i="1" s="1"/>
  <c r="AW74" i="1" s="1"/>
  <c r="J75" i="1"/>
  <c r="K75" i="1" s="1"/>
  <c r="AW75" i="1" s="1"/>
  <c r="J552" i="1"/>
  <c r="K552" i="1" s="1"/>
  <c r="AW552" i="1" s="1"/>
  <c r="J76" i="1"/>
  <c r="K76" i="1" s="1"/>
  <c r="AW76" i="1" s="1"/>
  <c r="J77" i="1"/>
  <c r="K77" i="1" s="1"/>
  <c r="AW77" i="1" s="1"/>
  <c r="J80" i="1"/>
  <c r="K80" i="1" s="1"/>
  <c r="AW80" i="1" s="1"/>
  <c r="J553" i="1"/>
  <c r="K553" i="1" s="1"/>
  <c r="AW553" i="1" s="1"/>
  <c r="J554" i="1"/>
  <c r="K554" i="1" s="1"/>
  <c r="AW554" i="1" s="1"/>
  <c r="J555" i="1"/>
  <c r="K555" i="1" s="1"/>
  <c r="AW555" i="1" s="1"/>
  <c r="J81" i="1"/>
  <c r="K81" i="1" s="1"/>
  <c r="AW81" i="1" s="1"/>
  <c r="J82" i="1"/>
  <c r="K82" i="1" s="1"/>
  <c r="AW82" i="1" s="1"/>
  <c r="J83" i="1"/>
  <c r="K83" i="1" s="1"/>
  <c r="AW83" i="1" s="1"/>
  <c r="J557" i="1"/>
  <c r="K557" i="1" s="1"/>
  <c r="AW557" i="1" s="1"/>
  <c r="J84" i="1"/>
  <c r="K84" i="1" s="1"/>
  <c r="AW84" i="1" s="1"/>
  <c r="J85" i="1"/>
  <c r="K85" i="1" s="1"/>
  <c r="AW85" i="1" s="1"/>
  <c r="J558" i="1"/>
  <c r="K558" i="1" s="1"/>
  <c r="AW558" i="1" s="1"/>
  <c r="J559" i="1"/>
  <c r="K559" i="1" s="1"/>
  <c r="AW559" i="1" s="1"/>
  <c r="J560" i="1"/>
  <c r="K560" i="1" s="1"/>
  <c r="AW560" i="1" s="1"/>
  <c r="J561" i="1"/>
  <c r="K561" i="1" s="1"/>
  <c r="AW561" i="1" s="1"/>
  <c r="J87" i="1"/>
  <c r="K87" i="1" s="1"/>
  <c r="AW87" i="1" s="1"/>
  <c r="J562" i="1"/>
  <c r="K562" i="1" s="1"/>
  <c r="AW562" i="1" s="1"/>
  <c r="J88" i="1"/>
  <c r="K88" i="1" s="1"/>
  <c r="AW88" i="1" s="1"/>
  <c r="J89" i="1"/>
  <c r="K89" i="1" s="1"/>
  <c r="AW89" i="1" s="1"/>
  <c r="J90" i="1"/>
  <c r="K90" i="1" s="1"/>
  <c r="AW90" i="1" s="1"/>
  <c r="J92" i="1"/>
  <c r="K92" i="1" s="1"/>
  <c r="AW92" i="1" s="1"/>
  <c r="J93" i="1"/>
  <c r="K93" i="1" s="1"/>
  <c r="AW93" i="1" s="1"/>
  <c r="J563" i="1"/>
  <c r="K563" i="1" s="1"/>
  <c r="AW563" i="1" s="1"/>
  <c r="J564" i="1"/>
  <c r="K564" i="1" s="1"/>
  <c r="AW564" i="1" s="1"/>
  <c r="J94" i="1"/>
  <c r="K94" i="1" s="1"/>
  <c r="AW94" i="1" s="1"/>
  <c r="J565" i="1"/>
  <c r="K565" i="1" s="1"/>
  <c r="AW565" i="1" s="1"/>
  <c r="J95" i="1"/>
  <c r="K95" i="1" s="1"/>
  <c r="AW95" i="1" s="1"/>
  <c r="J96" i="1"/>
  <c r="K96" i="1" s="1"/>
  <c r="AW96" i="1" s="1"/>
  <c r="J97" i="1"/>
  <c r="K97" i="1" s="1"/>
  <c r="AW97" i="1" s="1"/>
  <c r="J98" i="1"/>
  <c r="K98" i="1" s="1"/>
  <c r="AW98" i="1" s="1"/>
  <c r="J566" i="1"/>
  <c r="K566" i="1" s="1"/>
  <c r="AW566" i="1" s="1"/>
  <c r="J99" i="1"/>
  <c r="K99" i="1" s="1"/>
  <c r="AW99" i="1" s="1"/>
  <c r="J567" i="1"/>
  <c r="K567" i="1" s="1"/>
  <c r="AW567" i="1" s="1"/>
  <c r="J568" i="1"/>
  <c r="K568" i="1" s="1"/>
  <c r="AW568" i="1" s="1"/>
  <c r="J100" i="1"/>
  <c r="K100" i="1" s="1"/>
  <c r="AW100" i="1" s="1"/>
  <c r="J101" i="1"/>
  <c r="K101" i="1" s="1"/>
  <c r="AW101" i="1" s="1"/>
  <c r="J569" i="1"/>
  <c r="K569" i="1" s="1"/>
  <c r="AW569" i="1" s="1"/>
  <c r="J570" i="1"/>
  <c r="K570" i="1" s="1"/>
  <c r="AW570" i="1" s="1"/>
  <c r="J571" i="1"/>
  <c r="K571" i="1" s="1"/>
  <c r="AW571" i="1" s="1"/>
  <c r="J102" i="1"/>
  <c r="K102" i="1" s="1"/>
  <c r="AW102" i="1" s="1"/>
  <c r="J572" i="1"/>
  <c r="K572" i="1" s="1"/>
  <c r="AW572" i="1" s="1"/>
  <c r="J573" i="1"/>
  <c r="K573" i="1" s="1"/>
  <c r="AW573" i="1" s="1"/>
  <c r="J103" i="1"/>
  <c r="K103" i="1" s="1"/>
  <c r="AW103" i="1" s="1"/>
  <c r="J574" i="1"/>
  <c r="K574" i="1" s="1"/>
  <c r="AW574" i="1" s="1"/>
  <c r="J575" i="1"/>
  <c r="K575" i="1" s="1"/>
  <c r="AW575" i="1" s="1"/>
  <c r="J576" i="1"/>
  <c r="K576" i="1" s="1"/>
  <c r="AW576" i="1" s="1"/>
  <c r="J577" i="1"/>
  <c r="K577" i="1" s="1"/>
  <c r="AW577" i="1" s="1"/>
  <c r="J578" i="1"/>
  <c r="K578" i="1" s="1"/>
  <c r="AW578" i="1" s="1"/>
  <c r="J580" i="1"/>
  <c r="K580" i="1" s="1"/>
  <c r="AW580" i="1" s="1"/>
  <c r="J581" i="1"/>
  <c r="K581" i="1" s="1"/>
  <c r="AW581" i="1" s="1"/>
  <c r="J104" i="1"/>
  <c r="K104" i="1" s="1"/>
  <c r="AW104" i="1" s="1"/>
  <c r="J582" i="1"/>
  <c r="K582" i="1" s="1"/>
  <c r="AW582" i="1" s="1"/>
  <c r="J105" i="1"/>
  <c r="K105" i="1" s="1"/>
  <c r="AW105" i="1" s="1"/>
  <c r="J583" i="1"/>
  <c r="K583" i="1" s="1"/>
  <c r="AW583" i="1" s="1"/>
  <c r="J106" i="1"/>
  <c r="K106" i="1" s="1"/>
  <c r="AW106" i="1" s="1"/>
  <c r="J107" i="1"/>
  <c r="K107" i="1" s="1"/>
  <c r="AW107" i="1" s="1"/>
  <c r="J108" i="1"/>
  <c r="K108" i="1" s="1"/>
  <c r="AW108" i="1" s="1"/>
  <c r="J109" i="1"/>
  <c r="K109" i="1" s="1"/>
  <c r="AW109" i="1" s="1"/>
  <c r="J584" i="1"/>
  <c r="K584" i="1" s="1"/>
  <c r="AW584" i="1" s="1"/>
  <c r="J110" i="1"/>
  <c r="K110" i="1" s="1"/>
  <c r="AW110" i="1" s="1"/>
  <c r="J585" i="1"/>
  <c r="K585" i="1" s="1"/>
  <c r="AW585" i="1" s="1"/>
  <c r="J111" i="1"/>
  <c r="K111" i="1" s="1"/>
  <c r="AW111" i="1" s="1"/>
  <c r="J112" i="1"/>
  <c r="K112" i="1" s="1"/>
  <c r="AW112" i="1" s="1"/>
  <c r="J113" i="1"/>
  <c r="K113" i="1" s="1"/>
  <c r="AW113" i="1" s="1"/>
  <c r="J586" i="1"/>
  <c r="K586" i="1" s="1"/>
  <c r="AW586" i="1" s="1"/>
  <c r="J587" i="1"/>
  <c r="K587" i="1" s="1"/>
  <c r="AW587" i="1" s="1"/>
  <c r="J588" i="1"/>
  <c r="K588" i="1" s="1"/>
  <c r="AW588" i="1" s="1"/>
  <c r="J589" i="1"/>
  <c r="K589" i="1" s="1"/>
  <c r="AW589" i="1" s="1"/>
  <c r="J114" i="1"/>
  <c r="K114" i="1" s="1"/>
  <c r="AW114" i="1" s="1"/>
  <c r="J115" i="1"/>
  <c r="K115" i="1" s="1"/>
  <c r="AW115" i="1" s="1"/>
  <c r="J116" i="1"/>
  <c r="K116" i="1" s="1"/>
  <c r="AW116" i="1" s="1"/>
  <c r="J590" i="1"/>
  <c r="K590" i="1" s="1"/>
  <c r="AW590" i="1" s="1"/>
  <c r="J591" i="1"/>
  <c r="K591" i="1" s="1"/>
  <c r="AW591" i="1" s="1"/>
  <c r="J117" i="1"/>
  <c r="K117" i="1" s="1"/>
  <c r="AW117" i="1" s="1"/>
  <c r="J592" i="1"/>
  <c r="K592" i="1" s="1"/>
  <c r="AW592" i="1" s="1"/>
  <c r="J118" i="1"/>
  <c r="K118" i="1" s="1"/>
  <c r="AW118" i="1" s="1"/>
  <c r="J119" i="1"/>
  <c r="K119" i="1" s="1"/>
  <c r="AW119" i="1" s="1"/>
  <c r="J593" i="1"/>
  <c r="K593" i="1" s="1"/>
  <c r="AW593" i="1" s="1"/>
  <c r="J594" i="1"/>
  <c r="K594" i="1" s="1"/>
  <c r="AW594" i="1" s="1"/>
  <c r="J595" i="1"/>
  <c r="K595" i="1" s="1"/>
  <c r="AW595" i="1" s="1"/>
  <c r="J120" i="1"/>
  <c r="K120" i="1" s="1"/>
  <c r="AW120" i="1" s="1"/>
  <c r="J596" i="1"/>
  <c r="K596" i="1" s="1"/>
  <c r="AW596" i="1" s="1"/>
  <c r="J597" i="1"/>
  <c r="K597" i="1" s="1"/>
  <c r="AW597" i="1" s="1"/>
  <c r="J598" i="1"/>
  <c r="K598" i="1" s="1"/>
  <c r="AW598" i="1" s="1"/>
  <c r="J121" i="1"/>
  <c r="K121" i="1" s="1"/>
  <c r="AW121" i="1" s="1"/>
  <c r="J599" i="1"/>
  <c r="K599" i="1" s="1"/>
  <c r="AW599" i="1" s="1"/>
  <c r="J600" i="1"/>
  <c r="K600" i="1" s="1"/>
  <c r="AW600" i="1" s="1"/>
  <c r="J122" i="1"/>
  <c r="K122" i="1" s="1"/>
  <c r="AW122" i="1" s="1"/>
  <c r="J123" i="1"/>
  <c r="K123" i="1" s="1"/>
  <c r="AW123" i="1" s="1"/>
  <c r="J124" i="1"/>
  <c r="K124" i="1" s="1"/>
  <c r="AW124" i="1" s="1"/>
  <c r="J125" i="1"/>
  <c r="K125" i="1" s="1"/>
  <c r="AW125" i="1" s="1"/>
  <c r="J126" i="1"/>
  <c r="K126" i="1" s="1"/>
  <c r="AW126" i="1" s="1"/>
  <c r="J127" i="1"/>
  <c r="K127" i="1" s="1"/>
  <c r="AW127" i="1" s="1"/>
  <c r="J601" i="1"/>
  <c r="K601" i="1" s="1"/>
  <c r="AW601" i="1" s="1"/>
  <c r="J602" i="1"/>
  <c r="K602" i="1" s="1"/>
  <c r="AW602" i="1" s="1"/>
  <c r="J603" i="1"/>
  <c r="K603" i="1" s="1"/>
  <c r="AW603" i="1" s="1"/>
  <c r="J128" i="1"/>
  <c r="K128" i="1" s="1"/>
  <c r="AW128" i="1" s="1"/>
  <c r="J129" i="1"/>
  <c r="K129" i="1" s="1"/>
  <c r="AW129" i="1" s="1"/>
  <c r="J604" i="1"/>
  <c r="K604" i="1" s="1"/>
  <c r="AW604" i="1" s="1"/>
  <c r="J605" i="1"/>
  <c r="K605" i="1" s="1"/>
  <c r="AW605" i="1" s="1"/>
  <c r="J606" i="1"/>
  <c r="K606" i="1" s="1"/>
  <c r="AW606" i="1" s="1"/>
  <c r="J607" i="1"/>
  <c r="K607" i="1" s="1"/>
  <c r="AW607" i="1" s="1"/>
  <c r="J130" i="1"/>
  <c r="K130" i="1" s="1"/>
  <c r="AW130" i="1" s="1"/>
  <c r="J609" i="1"/>
  <c r="K609" i="1" s="1"/>
  <c r="AW609" i="1" s="1"/>
  <c r="J131" i="1"/>
  <c r="K131" i="1" s="1"/>
  <c r="AW131" i="1" s="1"/>
  <c r="J132" i="1"/>
  <c r="K132" i="1" s="1"/>
  <c r="AW132" i="1" s="1"/>
  <c r="J610" i="1"/>
  <c r="K610" i="1" s="1"/>
  <c r="AW610" i="1" s="1"/>
  <c r="J133" i="1"/>
  <c r="K133" i="1" s="1"/>
  <c r="AW133" i="1" s="1"/>
  <c r="J134" i="1"/>
  <c r="K134" i="1" s="1"/>
  <c r="AW134" i="1" s="1"/>
  <c r="J611" i="1"/>
  <c r="K611" i="1" s="1"/>
  <c r="AW611" i="1" s="1"/>
  <c r="J135" i="1"/>
  <c r="K135" i="1" s="1"/>
  <c r="AW135" i="1" s="1"/>
  <c r="J136" i="1"/>
  <c r="K136" i="1" s="1"/>
  <c r="AW136" i="1" s="1"/>
  <c r="J137" i="1"/>
  <c r="K137" i="1" s="1"/>
  <c r="AW137" i="1" s="1"/>
  <c r="J138" i="1"/>
  <c r="K138" i="1" s="1"/>
  <c r="AW138" i="1" s="1"/>
  <c r="J139" i="1"/>
  <c r="K139" i="1" s="1"/>
  <c r="AW139" i="1" s="1"/>
  <c r="J140" i="1"/>
  <c r="K140" i="1" s="1"/>
  <c r="AW140" i="1" s="1"/>
  <c r="J141" i="1"/>
  <c r="K141" i="1" s="1"/>
  <c r="AW141" i="1" s="1"/>
  <c r="J142" i="1"/>
  <c r="K142" i="1" s="1"/>
  <c r="AW142" i="1" s="1"/>
  <c r="J612" i="1"/>
  <c r="K612" i="1" s="1"/>
  <c r="AW612" i="1" s="1"/>
  <c r="J613" i="1"/>
  <c r="K613" i="1" s="1"/>
  <c r="AW613" i="1" s="1"/>
  <c r="J614" i="1"/>
  <c r="K614" i="1" s="1"/>
  <c r="AW614" i="1" s="1"/>
  <c r="J143" i="1"/>
  <c r="K143" i="1" s="1"/>
  <c r="AW143" i="1" s="1"/>
  <c r="J144" i="1"/>
  <c r="K144" i="1" s="1"/>
  <c r="AW144" i="1" s="1"/>
  <c r="J145" i="1"/>
  <c r="K145" i="1" s="1"/>
  <c r="AW145" i="1" s="1"/>
  <c r="J146" i="1"/>
  <c r="K146" i="1" s="1"/>
  <c r="AW146" i="1" s="1"/>
  <c r="J147" i="1"/>
  <c r="K147" i="1" s="1"/>
  <c r="AW147" i="1" s="1"/>
  <c r="J615" i="1"/>
  <c r="K615" i="1" s="1"/>
  <c r="AW615" i="1" s="1"/>
  <c r="J148" i="1"/>
  <c r="K148" i="1" s="1"/>
  <c r="AW148" i="1" s="1"/>
  <c r="J616" i="1"/>
  <c r="K616" i="1" s="1"/>
  <c r="AW616" i="1" s="1"/>
  <c r="J617" i="1"/>
  <c r="K617" i="1" s="1"/>
  <c r="AW617" i="1" s="1"/>
  <c r="J150" i="1"/>
  <c r="K150" i="1" s="1"/>
  <c r="AW150" i="1" s="1"/>
  <c r="J618" i="1"/>
  <c r="K618" i="1" s="1"/>
  <c r="AW618" i="1" s="1"/>
  <c r="J619" i="1"/>
  <c r="K619" i="1" s="1"/>
  <c r="AW619" i="1" s="1"/>
  <c r="J151" i="1"/>
  <c r="K151" i="1" s="1"/>
  <c r="AW151" i="1" s="1"/>
  <c r="J620" i="1"/>
  <c r="K620" i="1" s="1"/>
  <c r="AW620" i="1" s="1"/>
  <c r="J152" i="1"/>
  <c r="K152" i="1" s="1"/>
  <c r="AW152" i="1" s="1"/>
  <c r="J153" i="1"/>
  <c r="K153" i="1" s="1"/>
  <c r="AW153" i="1" s="1"/>
  <c r="J621" i="1"/>
  <c r="K621" i="1" s="1"/>
  <c r="AW621" i="1" s="1"/>
  <c r="J622" i="1"/>
  <c r="K622" i="1" s="1"/>
  <c r="AW622" i="1" s="1"/>
  <c r="J623" i="1"/>
  <c r="K623" i="1" s="1"/>
  <c r="AW623" i="1" s="1"/>
  <c r="J624" i="1"/>
  <c r="K624" i="1" s="1"/>
  <c r="AW624" i="1" s="1"/>
  <c r="J154" i="1"/>
  <c r="K154" i="1" s="1"/>
  <c r="AW154" i="1" s="1"/>
  <c r="J155" i="1"/>
  <c r="K155" i="1" s="1"/>
  <c r="AW155" i="1" s="1"/>
  <c r="J625" i="1"/>
  <c r="K625" i="1" s="1"/>
  <c r="AW625" i="1" s="1"/>
  <c r="J626" i="1"/>
  <c r="K626" i="1" s="1"/>
  <c r="AW626" i="1" s="1"/>
  <c r="J627" i="1"/>
  <c r="K627" i="1" s="1"/>
  <c r="AW627" i="1" s="1"/>
  <c r="J628" i="1"/>
  <c r="K628" i="1" s="1"/>
  <c r="AW628" i="1" s="1"/>
  <c r="J156" i="1"/>
  <c r="K156" i="1" s="1"/>
  <c r="AW156" i="1" s="1"/>
  <c r="J157" i="1"/>
  <c r="K157" i="1" s="1"/>
  <c r="AW157" i="1" s="1"/>
  <c r="J158" i="1"/>
  <c r="K158" i="1" s="1"/>
  <c r="AW158" i="1" s="1"/>
  <c r="J629" i="1"/>
  <c r="K629" i="1" s="1"/>
  <c r="AW629" i="1" s="1"/>
  <c r="J160" i="1"/>
  <c r="K160" i="1" s="1"/>
  <c r="AW160" i="1" s="1"/>
  <c r="J161" i="1"/>
  <c r="K161" i="1" s="1"/>
  <c r="AW161" i="1" s="1"/>
  <c r="J162" i="1"/>
  <c r="K162" i="1" s="1"/>
  <c r="AW162" i="1" s="1"/>
  <c r="J630" i="1"/>
  <c r="K630" i="1" s="1"/>
  <c r="AW630" i="1" s="1"/>
  <c r="J631" i="1"/>
  <c r="K631" i="1" s="1"/>
  <c r="AW631" i="1" s="1"/>
  <c r="J164" i="1"/>
  <c r="K164" i="1" s="1"/>
  <c r="AW164" i="1" s="1"/>
  <c r="J165" i="1"/>
  <c r="K165" i="1" s="1"/>
  <c r="AW165" i="1" s="1"/>
  <c r="J632" i="1"/>
  <c r="K632" i="1" s="1"/>
  <c r="AW632" i="1" s="1"/>
  <c r="J167" i="1"/>
  <c r="K167" i="1" s="1"/>
  <c r="AW167" i="1" s="1"/>
  <c r="J633" i="1"/>
  <c r="K633" i="1" s="1"/>
  <c r="AW633" i="1" s="1"/>
  <c r="J168" i="1"/>
  <c r="K168" i="1" s="1"/>
  <c r="AW168" i="1" s="1"/>
  <c r="J634" i="1"/>
  <c r="K634" i="1" s="1"/>
  <c r="AW634" i="1" s="1"/>
  <c r="J169" i="1"/>
  <c r="K169" i="1" s="1"/>
  <c r="AW169" i="1" s="1"/>
  <c r="J170" i="1"/>
  <c r="K170" i="1" s="1"/>
  <c r="AW170" i="1" s="1"/>
  <c r="J171" i="1"/>
  <c r="K171" i="1" s="1"/>
  <c r="AW171" i="1" s="1"/>
  <c r="J635" i="1"/>
  <c r="K635" i="1" s="1"/>
  <c r="AW635" i="1" s="1"/>
  <c r="J636" i="1"/>
  <c r="K636" i="1" s="1"/>
  <c r="J172" i="1"/>
  <c r="K172" i="1" s="1"/>
  <c r="AW172" i="1" s="1"/>
  <c r="J637" i="1"/>
  <c r="K637" i="1" s="1"/>
  <c r="J173" i="1"/>
  <c r="K173" i="1" s="1"/>
  <c r="AW173" i="1" s="1"/>
  <c r="J638" i="1"/>
  <c r="K638" i="1" s="1"/>
  <c r="J639" i="1"/>
  <c r="K639" i="1" s="1"/>
  <c r="J640" i="1"/>
  <c r="K640" i="1" s="1"/>
  <c r="J174" i="1"/>
  <c r="K174" i="1" s="1"/>
  <c r="AW174" i="1" s="1"/>
  <c r="J641" i="1"/>
  <c r="K641" i="1" s="1"/>
  <c r="J175" i="1"/>
  <c r="K175" i="1" s="1"/>
  <c r="AW175" i="1" s="1"/>
  <c r="J176" i="1"/>
  <c r="K176" i="1" s="1"/>
  <c r="AW176" i="1" s="1"/>
  <c r="J642" i="1"/>
  <c r="K642" i="1" s="1"/>
  <c r="J643" i="1"/>
  <c r="K643" i="1" s="1"/>
  <c r="J177" i="1"/>
  <c r="K177" i="1" s="1"/>
  <c r="AW177" i="1" s="1"/>
  <c r="J178" i="1"/>
  <c r="K178" i="1" s="1"/>
  <c r="AW178" i="1" s="1"/>
  <c r="J179" i="1"/>
  <c r="K179" i="1" s="1"/>
  <c r="AW179" i="1" s="1"/>
  <c r="J644" i="1"/>
  <c r="K644" i="1" s="1"/>
  <c r="J645" i="1"/>
  <c r="K645" i="1" s="1"/>
  <c r="J646" i="1"/>
  <c r="K646" i="1" s="1"/>
  <c r="J180" i="1"/>
  <c r="K180" i="1" s="1"/>
  <c r="AW180" i="1" s="1"/>
  <c r="J181" i="1"/>
  <c r="K181" i="1" s="1"/>
  <c r="AW181" i="1" s="1"/>
  <c r="J182" i="1"/>
  <c r="K182" i="1" s="1"/>
  <c r="AW182" i="1" s="1"/>
  <c r="J183" i="1"/>
  <c r="K183" i="1" s="1"/>
  <c r="AW183" i="1" s="1"/>
  <c r="J647" i="1"/>
  <c r="K647" i="1" s="1"/>
  <c r="J648" i="1"/>
  <c r="K648" i="1" s="1"/>
  <c r="J184" i="1"/>
  <c r="K184" i="1" s="1"/>
  <c r="AW184" i="1" s="1"/>
  <c r="J185" i="1"/>
  <c r="K185" i="1" s="1"/>
  <c r="AW185" i="1" s="1"/>
  <c r="J650" i="1"/>
  <c r="K650" i="1" s="1"/>
  <c r="J186" i="1"/>
  <c r="K186" i="1" s="1"/>
  <c r="AW186" i="1" s="1"/>
  <c r="J187" i="1"/>
  <c r="K187" i="1" s="1"/>
  <c r="AW187" i="1" s="1"/>
  <c r="J188" i="1"/>
  <c r="K188" i="1" s="1"/>
  <c r="AW188" i="1" s="1"/>
  <c r="J189" i="1"/>
  <c r="K189" i="1" s="1"/>
  <c r="AW189" i="1" s="1"/>
  <c r="J190" i="1"/>
  <c r="K190" i="1" s="1"/>
  <c r="AW190" i="1" s="1"/>
  <c r="J191" i="1"/>
  <c r="K191" i="1" s="1"/>
  <c r="AW191" i="1" s="1"/>
  <c r="J651" i="1"/>
  <c r="K651" i="1" s="1"/>
  <c r="J652" i="1"/>
  <c r="K652" i="1" s="1"/>
  <c r="J653" i="1"/>
  <c r="K653" i="1" s="1"/>
  <c r="J192" i="1"/>
  <c r="K192" i="1" s="1"/>
  <c r="AW192" i="1" s="1"/>
  <c r="J654" i="1"/>
  <c r="K654" i="1" s="1"/>
  <c r="J655" i="1"/>
  <c r="K655" i="1" s="1"/>
  <c r="J193" i="1"/>
  <c r="K193" i="1" s="1"/>
  <c r="AW193" i="1" s="1"/>
  <c r="J194" i="1"/>
  <c r="K194" i="1" s="1"/>
  <c r="AW194" i="1" s="1"/>
  <c r="J656" i="1"/>
  <c r="K656" i="1" s="1"/>
  <c r="J657" i="1"/>
  <c r="K657" i="1" s="1"/>
  <c r="J196" i="1"/>
  <c r="K196" i="1" s="1"/>
  <c r="AW196" i="1" s="1"/>
  <c r="J658" i="1"/>
  <c r="K658" i="1" s="1"/>
  <c r="J197" i="1"/>
  <c r="K197" i="1" s="1"/>
  <c r="AW197" i="1" s="1"/>
  <c r="J198" i="1"/>
  <c r="K198" i="1" s="1"/>
  <c r="AW198" i="1" s="1"/>
  <c r="J199" i="1"/>
  <c r="K199" i="1" s="1"/>
  <c r="AW199" i="1" s="1"/>
  <c r="J660" i="1"/>
  <c r="K660" i="1" s="1"/>
  <c r="J200" i="1"/>
  <c r="K200" i="1" s="1"/>
  <c r="AW200" i="1" s="1"/>
  <c r="J661" i="1"/>
  <c r="K661" i="1" s="1"/>
  <c r="J662" i="1"/>
  <c r="K662" i="1" s="1"/>
  <c r="J663" i="1"/>
  <c r="K663" i="1" s="1"/>
  <c r="J201" i="1"/>
  <c r="K201" i="1" s="1"/>
  <c r="AW201" i="1" s="1"/>
  <c r="J202" i="1"/>
  <c r="K202" i="1" s="1"/>
  <c r="AW202" i="1" s="1"/>
  <c r="J664" i="1"/>
  <c r="K664" i="1" s="1"/>
  <c r="J203" i="1"/>
  <c r="K203" i="1" s="1"/>
  <c r="AW203" i="1" s="1"/>
  <c r="J204" i="1"/>
  <c r="K204" i="1" s="1"/>
  <c r="AW204" i="1" s="1"/>
  <c r="J665" i="1"/>
  <c r="K665" i="1" s="1"/>
  <c r="J205" i="1"/>
  <c r="K205" i="1" s="1"/>
  <c r="AW205" i="1" s="1"/>
  <c r="J666" i="1"/>
  <c r="K666" i="1" s="1"/>
  <c r="J667" i="1"/>
  <c r="K667" i="1" s="1"/>
  <c r="J668" i="1"/>
  <c r="K668" i="1" s="1"/>
  <c r="J206" i="1"/>
  <c r="K206" i="1" s="1"/>
  <c r="AW206" i="1" s="1"/>
  <c r="J207" i="1"/>
  <c r="K207" i="1" s="1"/>
  <c r="AW207" i="1" s="1"/>
  <c r="J669" i="1"/>
  <c r="K669" i="1" s="1"/>
  <c r="J670" i="1"/>
  <c r="K670" i="1" s="1"/>
  <c r="J671" i="1"/>
  <c r="K671" i="1" s="1"/>
  <c r="J208" i="1"/>
  <c r="K208" i="1" s="1"/>
  <c r="AW208" i="1" s="1"/>
  <c r="J209" i="1"/>
  <c r="K209" i="1" s="1"/>
  <c r="AW209" i="1" s="1"/>
  <c r="J672" i="1"/>
  <c r="K672" i="1" s="1"/>
  <c r="J210" i="1"/>
  <c r="K210" i="1" s="1"/>
  <c r="AW210" i="1" s="1"/>
  <c r="J673" i="1"/>
  <c r="K673" i="1" s="1"/>
  <c r="J674" i="1"/>
  <c r="K674" i="1" s="1"/>
  <c r="J211" i="1"/>
  <c r="K211" i="1" s="1"/>
  <c r="AW211" i="1" s="1"/>
  <c r="J675" i="1"/>
  <c r="K675" i="1" s="1"/>
  <c r="J212" i="1"/>
  <c r="K212" i="1" s="1"/>
  <c r="AW212" i="1" s="1"/>
  <c r="J676" i="1"/>
  <c r="K676" i="1" s="1"/>
  <c r="J677" i="1"/>
  <c r="K677" i="1" s="1"/>
  <c r="J213" i="1"/>
  <c r="K213" i="1" s="1"/>
  <c r="AW213" i="1" s="1"/>
  <c r="J214" i="1"/>
  <c r="K214" i="1" s="1"/>
  <c r="AW214" i="1" s="1"/>
  <c r="J678" i="1"/>
  <c r="K678" i="1" s="1"/>
  <c r="J679" i="1"/>
  <c r="K679" i="1" s="1"/>
  <c r="J681" i="1"/>
  <c r="K681" i="1" s="1"/>
  <c r="J215" i="1"/>
  <c r="K215" i="1" s="1"/>
  <c r="AW215" i="1" s="1"/>
  <c r="J216" i="1"/>
  <c r="K216" i="1" s="1"/>
  <c r="AW216" i="1" s="1"/>
  <c r="J682" i="1"/>
  <c r="K682" i="1" s="1"/>
  <c r="J684" i="1"/>
  <c r="K684" i="1" s="1"/>
  <c r="J217" i="1"/>
  <c r="K217" i="1" s="1"/>
  <c r="AW217" i="1" s="1"/>
  <c r="J218" i="1"/>
  <c r="K218" i="1" s="1"/>
  <c r="AW218" i="1" s="1"/>
  <c r="J685" i="1"/>
  <c r="K685" i="1" s="1"/>
  <c r="J686" i="1"/>
  <c r="K686" i="1" s="1"/>
  <c r="J687" i="1"/>
  <c r="K687" i="1" s="1"/>
  <c r="J219" i="1"/>
  <c r="K219" i="1" s="1"/>
  <c r="AW219" i="1" s="1"/>
  <c r="J688" i="1"/>
  <c r="K688" i="1" s="1"/>
  <c r="J689" i="1"/>
  <c r="K689" i="1" s="1"/>
  <c r="J690" i="1"/>
  <c r="K690" i="1" s="1"/>
  <c r="J220" i="1"/>
  <c r="K220" i="1" s="1"/>
  <c r="AW220" i="1" s="1"/>
  <c r="J221" i="1"/>
  <c r="K221" i="1" s="1"/>
  <c r="AW221" i="1" s="1"/>
  <c r="J222" i="1"/>
  <c r="K222" i="1" s="1"/>
  <c r="AW222" i="1" s="1"/>
  <c r="J691" i="1"/>
  <c r="K691" i="1" s="1"/>
  <c r="J223" i="1"/>
  <c r="K223" i="1" s="1"/>
  <c r="AW223" i="1" s="1"/>
  <c r="J224" i="1"/>
  <c r="K224" i="1" s="1"/>
  <c r="AW224" i="1" s="1"/>
  <c r="J225" i="1"/>
  <c r="K225" i="1" s="1"/>
  <c r="AW225" i="1" s="1"/>
  <c r="J226" i="1"/>
  <c r="K226" i="1" s="1"/>
  <c r="AW226" i="1" s="1"/>
  <c r="J692" i="1"/>
  <c r="K692" i="1" s="1"/>
  <c r="J693" i="1"/>
  <c r="K693" i="1" s="1"/>
  <c r="J227" i="1"/>
  <c r="K227" i="1" s="1"/>
  <c r="AW227" i="1" s="1"/>
  <c r="J694" i="1"/>
  <c r="K694" i="1" s="1"/>
  <c r="J696" i="1"/>
  <c r="K696" i="1" s="1"/>
  <c r="J697" i="1"/>
  <c r="K697" i="1" s="1"/>
  <c r="J228" i="1"/>
  <c r="K228" i="1" s="1"/>
  <c r="AW228" i="1" s="1"/>
  <c r="J229" i="1"/>
  <c r="K229" i="1" s="1"/>
  <c r="AW229" i="1" s="1"/>
  <c r="J230" i="1"/>
  <c r="K230" i="1" s="1"/>
  <c r="AW230" i="1" s="1"/>
  <c r="J231" i="1"/>
  <c r="K231" i="1" s="1"/>
  <c r="AW231" i="1" s="1"/>
  <c r="J698" i="1"/>
  <c r="K698" i="1" s="1"/>
  <c r="J232" i="1"/>
  <c r="K232" i="1" s="1"/>
  <c r="AW232" i="1" s="1"/>
  <c r="J699" i="1"/>
  <c r="K699" i="1" s="1"/>
  <c r="J700" i="1"/>
  <c r="K700" i="1" s="1"/>
  <c r="J233" i="1"/>
  <c r="K233" i="1" s="1"/>
  <c r="AW233" i="1" s="1"/>
  <c r="J701" i="1"/>
  <c r="K701" i="1" s="1"/>
  <c r="J234" i="1"/>
  <c r="K234" i="1" s="1"/>
  <c r="AW234" i="1" s="1"/>
  <c r="J702" i="1"/>
  <c r="K702" i="1" s="1"/>
  <c r="J235" i="1"/>
  <c r="K235" i="1" s="1"/>
  <c r="AW235" i="1" s="1"/>
  <c r="J236" i="1"/>
  <c r="K236" i="1" s="1"/>
  <c r="AW236" i="1" s="1"/>
  <c r="J703" i="1"/>
  <c r="K703" i="1" s="1"/>
  <c r="J704" i="1"/>
  <c r="K704" i="1" s="1"/>
  <c r="J237" i="1"/>
  <c r="K237" i="1" s="1"/>
  <c r="AW237" i="1" s="1"/>
  <c r="J705" i="1"/>
  <c r="K705" i="1" s="1"/>
  <c r="J706" i="1"/>
  <c r="K706" i="1" s="1"/>
  <c r="J707" i="1"/>
  <c r="K707" i="1" s="1"/>
  <c r="J708" i="1"/>
  <c r="K708" i="1" s="1"/>
  <c r="J238" i="1"/>
  <c r="K238" i="1" s="1"/>
  <c r="AW238" i="1" s="1"/>
  <c r="J240" i="1"/>
  <c r="K240" i="1" s="1"/>
  <c r="AW240" i="1" s="1"/>
  <c r="J241" i="1"/>
  <c r="K241" i="1" s="1"/>
  <c r="AW241" i="1" s="1"/>
  <c r="J242" i="1"/>
  <c r="K242" i="1" s="1"/>
  <c r="AW242" i="1" s="1"/>
  <c r="J709" i="1"/>
  <c r="K709" i="1" s="1"/>
  <c r="J710" i="1"/>
  <c r="K710" i="1" s="1"/>
  <c r="J711" i="1"/>
  <c r="K711" i="1" s="1"/>
  <c r="J243" i="1"/>
  <c r="K243" i="1" s="1"/>
  <c r="AW243" i="1" s="1"/>
  <c r="J244" i="1"/>
  <c r="K244" i="1" s="1"/>
  <c r="AW244" i="1" s="1"/>
  <c r="J245" i="1"/>
  <c r="K245" i="1" s="1"/>
  <c r="AW245" i="1" s="1"/>
  <c r="J246" i="1"/>
  <c r="K246" i="1" s="1"/>
  <c r="AW246" i="1" s="1"/>
  <c r="J712" i="1"/>
  <c r="K712" i="1" s="1"/>
  <c r="J713" i="1"/>
  <c r="K713" i="1" s="1"/>
  <c r="J247" i="1"/>
  <c r="K247" i="1" s="1"/>
  <c r="AW247" i="1" s="1"/>
  <c r="J248" i="1"/>
  <c r="K248" i="1" s="1"/>
  <c r="AW248" i="1" s="1"/>
  <c r="J714" i="1"/>
  <c r="K714" i="1" s="1"/>
  <c r="J715" i="1"/>
  <c r="K715" i="1" s="1"/>
  <c r="J249" i="1"/>
  <c r="K249" i="1" s="1"/>
  <c r="AW249" i="1" s="1"/>
  <c r="J250" i="1"/>
  <c r="K250" i="1" s="1"/>
  <c r="AW250" i="1" s="1"/>
  <c r="J716" i="1"/>
  <c r="K716" i="1" s="1"/>
  <c r="J251" i="1"/>
  <c r="K251" i="1" s="1"/>
  <c r="AW251" i="1" s="1"/>
  <c r="J717" i="1"/>
  <c r="K717" i="1" s="1"/>
  <c r="J252" i="1"/>
  <c r="K252" i="1" s="1"/>
  <c r="AW252" i="1" s="1"/>
  <c r="J718" i="1"/>
  <c r="K718" i="1" s="1"/>
  <c r="J719" i="1"/>
  <c r="K719" i="1" s="1"/>
  <c r="J253" i="1"/>
  <c r="K253" i="1" s="1"/>
  <c r="AW253" i="1" s="1"/>
  <c r="J254" i="1"/>
  <c r="K254" i="1" s="1"/>
  <c r="AW254" i="1" s="1"/>
  <c r="J720" i="1"/>
  <c r="K720" i="1" s="1"/>
  <c r="J255" i="1"/>
  <c r="K255" i="1" s="1"/>
  <c r="AW255" i="1" s="1"/>
  <c r="J256" i="1"/>
  <c r="K256" i="1" s="1"/>
  <c r="AW256" i="1" s="1"/>
  <c r="J721" i="1"/>
  <c r="K721" i="1" s="1"/>
  <c r="J722" i="1"/>
  <c r="K722" i="1" s="1"/>
  <c r="J257" i="1"/>
  <c r="K257" i="1" s="1"/>
  <c r="AW257" i="1" s="1"/>
  <c r="J258" i="1"/>
  <c r="K258" i="1" s="1"/>
  <c r="AW258" i="1" s="1"/>
  <c r="J259" i="1"/>
  <c r="K259" i="1" s="1"/>
  <c r="AW259" i="1" s="1"/>
  <c r="J260" i="1"/>
  <c r="K260" i="1" s="1"/>
  <c r="AW260" i="1" s="1"/>
  <c r="J261" i="1"/>
  <c r="K261" i="1" s="1"/>
  <c r="AW261" i="1" s="1"/>
  <c r="J723" i="1"/>
  <c r="K723" i="1" s="1"/>
  <c r="J724" i="1"/>
  <c r="K724" i="1" s="1"/>
  <c r="J262" i="1"/>
  <c r="K262" i="1" s="1"/>
  <c r="AW262" i="1" s="1"/>
  <c r="J725" i="1"/>
  <c r="K725" i="1" s="1"/>
  <c r="J726" i="1"/>
  <c r="K726" i="1" s="1"/>
  <c r="J263" i="1"/>
  <c r="K263" i="1" s="1"/>
  <c r="AW263" i="1" s="1"/>
  <c r="J264" i="1"/>
  <c r="K264" i="1" s="1"/>
  <c r="AW264" i="1" s="1"/>
  <c r="J265" i="1"/>
  <c r="K265" i="1" s="1"/>
  <c r="AW265" i="1" s="1"/>
  <c r="J727" i="1"/>
  <c r="K727" i="1" s="1"/>
  <c r="J266" i="1"/>
  <c r="K266" i="1" s="1"/>
  <c r="AW266" i="1" s="1"/>
  <c r="J267" i="1"/>
  <c r="K267" i="1" s="1"/>
  <c r="AW267" i="1" s="1"/>
  <c r="J268" i="1"/>
  <c r="K268" i="1" s="1"/>
  <c r="AW268" i="1" s="1"/>
  <c r="J269" i="1"/>
  <c r="K269" i="1" s="1"/>
  <c r="AW269" i="1" s="1"/>
  <c r="J270" i="1"/>
  <c r="K270" i="1" s="1"/>
  <c r="AW270" i="1" s="1"/>
  <c r="J271" i="1"/>
  <c r="K271" i="1" s="1"/>
  <c r="AW271" i="1" s="1"/>
  <c r="J728" i="1"/>
  <c r="K728" i="1" s="1"/>
  <c r="J272" i="1"/>
  <c r="K272" i="1" s="1"/>
  <c r="AW272" i="1" s="1"/>
  <c r="J729" i="1"/>
  <c r="K729" i="1" s="1"/>
  <c r="J273" i="1"/>
  <c r="K273" i="1" s="1"/>
  <c r="AW273" i="1" s="1"/>
  <c r="J274" i="1"/>
  <c r="K274" i="1" s="1"/>
  <c r="AW274" i="1" s="1"/>
  <c r="J730" i="1"/>
  <c r="K730" i="1" s="1"/>
  <c r="J731" i="1"/>
  <c r="K731" i="1" s="1"/>
  <c r="J275" i="1"/>
  <c r="K275" i="1" s="1"/>
  <c r="AW275" i="1" s="1"/>
  <c r="J276" i="1"/>
  <c r="K276" i="1" s="1"/>
  <c r="AW276" i="1" s="1"/>
  <c r="J277" i="1"/>
  <c r="K277" i="1" s="1"/>
  <c r="AW277" i="1" s="1"/>
  <c r="J732" i="1"/>
  <c r="K732" i="1" s="1"/>
  <c r="J733" i="1"/>
  <c r="K733" i="1" s="1"/>
  <c r="J734" i="1"/>
  <c r="K734" i="1" s="1"/>
  <c r="J278" i="1"/>
  <c r="K278" i="1" s="1"/>
  <c r="AW278" i="1" s="1"/>
  <c r="J279" i="1"/>
  <c r="K279" i="1" s="1"/>
  <c r="AW279" i="1" s="1"/>
  <c r="J280" i="1"/>
  <c r="K280" i="1" s="1"/>
  <c r="AW280" i="1" s="1"/>
  <c r="J735" i="1"/>
  <c r="K735" i="1" s="1"/>
  <c r="J736" i="1"/>
  <c r="K736" i="1" s="1"/>
  <c r="J737" i="1"/>
  <c r="K737" i="1" s="1"/>
  <c r="J281" i="1"/>
  <c r="K281" i="1" s="1"/>
  <c r="AW281" i="1" s="1"/>
  <c r="J282" i="1"/>
  <c r="K282" i="1" s="1"/>
  <c r="AW282" i="1" s="1"/>
  <c r="J738" i="1"/>
  <c r="K738" i="1" s="1"/>
  <c r="J283" i="1"/>
  <c r="K283" i="1" s="1"/>
  <c r="AW283" i="1" s="1"/>
  <c r="J739" i="1"/>
  <c r="K739" i="1" s="1"/>
  <c r="J284" i="1"/>
  <c r="K284" i="1" s="1"/>
  <c r="AW284" i="1" s="1"/>
  <c r="J285" i="1"/>
  <c r="K285" i="1" s="1"/>
  <c r="AW285" i="1" s="1"/>
  <c r="J286" i="1"/>
  <c r="K286" i="1" s="1"/>
  <c r="AW286" i="1" s="1"/>
  <c r="J287" i="1"/>
  <c r="K287" i="1" s="1"/>
  <c r="AW287" i="1" s="1"/>
  <c r="J289" i="1"/>
  <c r="K289" i="1" s="1"/>
  <c r="AW289" i="1" s="1"/>
  <c r="J740" i="1"/>
  <c r="K740" i="1" s="1"/>
  <c r="J290" i="1"/>
  <c r="K290" i="1" s="1"/>
  <c r="AW290" i="1" s="1"/>
  <c r="J291" i="1"/>
  <c r="K291" i="1" s="1"/>
  <c r="AW291" i="1" s="1"/>
  <c r="J741" i="1"/>
  <c r="K741" i="1" s="1"/>
  <c r="J292" i="1"/>
  <c r="K292" i="1" s="1"/>
  <c r="AW292" i="1" s="1"/>
  <c r="J742" i="1"/>
  <c r="K742" i="1" s="1"/>
  <c r="J293" i="1"/>
  <c r="K293" i="1" s="1"/>
  <c r="AW293" i="1" s="1"/>
  <c r="J294" i="1"/>
  <c r="K294" i="1" s="1"/>
  <c r="AW294" i="1" s="1"/>
  <c r="J743" i="1"/>
  <c r="K743" i="1" s="1"/>
  <c r="J744" i="1"/>
  <c r="K744" i="1" s="1"/>
  <c r="J295" i="1"/>
  <c r="K295" i="1" s="1"/>
  <c r="AW295" i="1" s="1"/>
  <c r="J745" i="1"/>
  <c r="K745" i="1" s="1"/>
  <c r="J296" i="1"/>
  <c r="K296" i="1" s="1"/>
  <c r="AW296" i="1" s="1"/>
  <c r="J746" i="1"/>
  <c r="K746" i="1" s="1"/>
  <c r="J747" i="1"/>
  <c r="K747" i="1" s="1"/>
  <c r="J748" i="1"/>
  <c r="K748" i="1" s="1"/>
  <c r="J297" i="1"/>
  <c r="K297" i="1" s="1"/>
  <c r="AW297" i="1" s="1"/>
  <c r="J749" i="1"/>
  <c r="K749" i="1" s="1"/>
  <c r="J750" i="1"/>
  <c r="K750" i="1" s="1"/>
  <c r="J298" i="1"/>
  <c r="K298" i="1" s="1"/>
  <c r="AW298" i="1" s="1"/>
  <c r="J299" i="1"/>
  <c r="K299" i="1" s="1"/>
  <c r="AW299" i="1" s="1"/>
  <c r="J300" i="1"/>
  <c r="K300" i="1" s="1"/>
  <c r="AW300" i="1" s="1"/>
  <c r="J751" i="1"/>
  <c r="K751" i="1" s="1"/>
  <c r="J752" i="1"/>
  <c r="K752" i="1" s="1"/>
  <c r="J301" i="1"/>
  <c r="K301" i="1" s="1"/>
  <c r="AW301" i="1" s="1"/>
  <c r="J302" i="1"/>
  <c r="K302" i="1" s="1"/>
  <c r="AW302" i="1" s="1"/>
  <c r="J753" i="1"/>
  <c r="K753" i="1" s="1"/>
  <c r="J303" i="1"/>
  <c r="K303" i="1" s="1"/>
  <c r="AW303" i="1" s="1"/>
  <c r="J754" i="1"/>
  <c r="K754" i="1" s="1"/>
  <c r="J304" i="1"/>
  <c r="K304" i="1" s="1"/>
  <c r="AW304" i="1" s="1"/>
  <c r="J755" i="1"/>
  <c r="K755" i="1" s="1"/>
  <c r="J305" i="1"/>
  <c r="K305" i="1" s="1"/>
  <c r="AW305" i="1" s="1"/>
  <c r="J756" i="1"/>
  <c r="K756" i="1" s="1"/>
  <c r="J306" i="1"/>
  <c r="K306" i="1" s="1"/>
  <c r="AW306" i="1" s="1"/>
  <c r="J307" i="1"/>
  <c r="K307" i="1" s="1"/>
  <c r="AW307" i="1" s="1"/>
  <c r="J757" i="1"/>
  <c r="K757" i="1" s="1"/>
  <c r="J308" i="1"/>
  <c r="K308" i="1" s="1"/>
  <c r="AW308" i="1" s="1"/>
  <c r="J758" i="1"/>
  <c r="K758" i="1" s="1"/>
  <c r="J309" i="1"/>
  <c r="K309" i="1" s="1"/>
  <c r="AW309" i="1" s="1"/>
  <c r="J310" i="1"/>
  <c r="K310" i="1" s="1"/>
  <c r="AW310" i="1" s="1"/>
  <c r="J759" i="1"/>
  <c r="K759" i="1" s="1"/>
  <c r="J311" i="1"/>
  <c r="K311" i="1" s="1"/>
  <c r="AW311" i="1" s="1"/>
  <c r="J760" i="1"/>
  <c r="K760" i="1" s="1"/>
  <c r="J312" i="1"/>
  <c r="K312" i="1" s="1"/>
  <c r="AW312" i="1" s="1"/>
  <c r="J313" i="1"/>
  <c r="K313" i="1" s="1"/>
  <c r="AW313" i="1" s="1"/>
  <c r="J761" i="1"/>
  <c r="K761" i="1" s="1"/>
  <c r="J314" i="1"/>
  <c r="K314" i="1" s="1"/>
  <c r="AW314" i="1" s="1"/>
  <c r="J315" i="1"/>
  <c r="K315" i="1" s="1"/>
  <c r="AW315" i="1" s="1"/>
  <c r="J763" i="1"/>
  <c r="K763" i="1" s="1"/>
  <c r="J764" i="1"/>
  <c r="K764" i="1" s="1"/>
  <c r="J316" i="1"/>
  <c r="K316" i="1" s="1"/>
  <c r="AW316" i="1" s="1"/>
  <c r="J765" i="1"/>
  <c r="K765" i="1" s="1"/>
  <c r="J317" i="1"/>
  <c r="K317" i="1" s="1"/>
  <c r="AW317" i="1" s="1"/>
  <c r="J318" i="1"/>
  <c r="K318" i="1" s="1"/>
  <c r="AW318" i="1" s="1"/>
  <c r="J766" i="1"/>
  <c r="K766" i="1" s="1"/>
  <c r="J767" i="1"/>
  <c r="K767" i="1" s="1"/>
  <c r="J319" i="1"/>
  <c r="K319" i="1" s="1"/>
  <c r="AW319" i="1" s="1"/>
  <c r="J768" i="1"/>
  <c r="K768" i="1" s="1"/>
  <c r="J320" i="1"/>
  <c r="K320" i="1" s="1"/>
  <c r="AW320" i="1" s="1"/>
  <c r="J321" i="1"/>
  <c r="K321" i="1" s="1"/>
  <c r="AW321" i="1" s="1"/>
  <c r="J322" i="1"/>
  <c r="K322" i="1" s="1"/>
  <c r="AW322" i="1" s="1"/>
  <c r="J769" i="1"/>
  <c r="K769" i="1" s="1"/>
  <c r="J323" i="1"/>
  <c r="K323" i="1" s="1"/>
  <c r="AW323" i="1" s="1"/>
  <c r="J324" i="1"/>
  <c r="K324" i="1" s="1"/>
  <c r="AW324" i="1" s="1"/>
  <c r="J325" i="1"/>
  <c r="K325" i="1" s="1"/>
  <c r="AW325" i="1" s="1"/>
  <c r="J770" i="1"/>
  <c r="K770" i="1" s="1"/>
  <c r="J771" i="1"/>
  <c r="K771" i="1" s="1"/>
  <c r="J772" i="1"/>
  <c r="K772" i="1" s="1"/>
  <c r="J326" i="1"/>
  <c r="K326" i="1" s="1"/>
  <c r="AW326" i="1" s="1"/>
  <c r="J774" i="1"/>
  <c r="K774" i="1" s="1"/>
  <c r="J327" i="1"/>
  <c r="K327" i="1" s="1"/>
  <c r="AW327" i="1" s="1"/>
  <c r="J775" i="1"/>
  <c r="K775" i="1" s="1"/>
  <c r="J328" i="1"/>
  <c r="K328" i="1" s="1"/>
  <c r="AW328" i="1" s="1"/>
  <c r="J776" i="1"/>
  <c r="K776" i="1" s="1"/>
  <c r="J329" i="1"/>
  <c r="K329" i="1" s="1"/>
  <c r="AW329" i="1" s="1"/>
  <c r="J330" i="1"/>
  <c r="K330" i="1" s="1"/>
  <c r="AW330" i="1" s="1"/>
  <c r="J777" i="1"/>
  <c r="K777" i="1" s="1"/>
  <c r="J778" i="1"/>
  <c r="K778" i="1" s="1"/>
  <c r="J331" i="1"/>
  <c r="K331" i="1" s="1"/>
  <c r="AW331" i="1" s="1"/>
  <c r="J332" i="1"/>
  <c r="K332" i="1" s="1"/>
  <c r="AW332" i="1" s="1"/>
  <c r="J333" i="1"/>
  <c r="K333" i="1" s="1"/>
  <c r="AW333" i="1" s="1"/>
  <c r="J779" i="1"/>
  <c r="K779" i="1" s="1"/>
  <c r="J780" i="1"/>
  <c r="K780" i="1" s="1"/>
  <c r="J781" i="1"/>
  <c r="K781" i="1" s="1"/>
  <c r="J782" i="1"/>
  <c r="K782" i="1" s="1"/>
  <c r="J334" i="1"/>
  <c r="K334" i="1" s="1"/>
  <c r="AW334" i="1" s="1"/>
  <c r="J335" i="1"/>
  <c r="K335" i="1" s="1"/>
  <c r="AW335" i="1" s="1"/>
  <c r="J336" i="1"/>
  <c r="K336" i="1" s="1"/>
  <c r="AW336" i="1" s="1"/>
  <c r="J337" i="1"/>
  <c r="K337" i="1" s="1"/>
  <c r="AW337" i="1" s="1"/>
  <c r="J783" i="1"/>
  <c r="K783" i="1" s="1"/>
  <c r="J338" i="1"/>
  <c r="K338" i="1" s="1"/>
  <c r="AW338" i="1" s="1"/>
  <c r="J784" i="1"/>
  <c r="K784" i="1" s="1"/>
  <c r="J339" i="1"/>
  <c r="K339" i="1" s="1"/>
  <c r="AW339" i="1" s="1"/>
  <c r="J785" i="1"/>
  <c r="K785" i="1" s="1"/>
  <c r="J340" i="1"/>
  <c r="K340" i="1" s="1"/>
  <c r="AW340" i="1" s="1"/>
  <c r="J342" i="1"/>
  <c r="K342" i="1" s="1"/>
  <c r="AW342" i="1" s="1"/>
  <c r="J786" i="1"/>
  <c r="K786" i="1" s="1"/>
  <c r="J343" i="1"/>
  <c r="K343" i="1" s="1"/>
  <c r="AW343" i="1" s="1"/>
  <c r="J344" i="1"/>
  <c r="K344" i="1" s="1"/>
  <c r="AW344" i="1" s="1"/>
  <c r="J787" i="1"/>
  <c r="K787" i="1" s="1"/>
  <c r="J788" i="1"/>
  <c r="K788" i="1" s="1"/>
  <c r="J789" i="1"/>
  <c r="K789" i="1" s="1"/>
  <c r="J790" i="1"/>
  <c r="K790" i="1" s="1"/>
  <c r="J791" i="1"/>
  <c r="K791" i="1" s="1"/>
  <c r="J345" i="1"/>
  <c r="K345" i="1" s="1"/>
  <c r="AW345" i="1" s="1"/>
  <c r="J792" i="1"/>
  <c r="K792" i="1" s="1"/>
  <c r="J346" i="1"/>
  <c r="K346" i="1" s="1"/>
  <c r="AW346" i="1" s="1"/>
  <c r="J793" i="1"/>
  <c r="K793" i="1" s="1"/>
  <c r="J794" i="1"/>
  <c r="K794" i="1" s="1"/>
  <c r="J347" i="1"/>
  <c r="K347" i="1" s="1"/>
  <c r="AW347" i="1" s="1"/>
  <c r="J348" i="1"/>
  <c r="K348" i="1" s="1"/>
  <c r="AW348" i="1" s="1"/>
  <c r="J349" i="1"/>
  <c r="K349" i="1" s="1"/>
  <c r="AW349" i="1" s="1"/>
  <c r="J350" i="1"/>
  <c r="K350" i="1" s="1"/>
  <c r="AW350" i="1" s="1"/>
  <c r="J351" i="1"/>
  <c r="K351" i="1" s="1"/>
  <c r="AW351" i="1" s="1"/>
  <c r="J352" i="1"/>
  <c r="K352" i="1" s="1"/>
  <c r="AW352" i="1" s="1"/>
  <c r="J353" i="1"/>
  <c r="K353" i="1" s="1"/>
  <c r="AW353" i="1" s="1"/>
  <c r="J354" i="1"/>
  <c r="K354" i="1" s="1"/>
  <c r="AW354" i="1" s="1"/>
  <c r="J355" i="1"/>
  <c r="K355" i="1" s="1"/>
  <c r="AW355" i="1" s="1"/>
  <c r="J795" i="1"/>
  <c r="K795" i="1" s="1"/>
  <c r="J356" i="1"/>
  <c r="K356" i="1" s="1"/>
  <c r="AW356" i="1" s="1"/>
  <c r="J357" i="1"/>
  <c r="K357" i="1" s="1"/>
  <c r="AW357" i="1" s="1"/>
  <c r="J358" i="1"/>
  <c r="K358" i="1" s="1"/>
  <c r="AW358" i="1" s="1"/>
  <c r="J796" i="1"/>
  <c r="K796" i="1" s="1"/>
  <c r="J797" i="1"/>
  <c r="K797" i="1" s="1"/>
  <c r="J798" i="1"/>
  <c r="K798" i="1" s="1"/>
  <c r="J799" i="1"/>
  <c r="K799" i="1" s="1"/>
  <c r="J359" i="1"/>
  <c r="K359" i="1" s="1"/>
  <c r="AW359" i="1" s="1"/>
  <c r="J360" i="1"/>
  <c r="K360" i="1" s="1"/>
  <c r="AW360" i="1" s="1"/>
  <c r="J800" i="1"/>
  <c r="K800" i="1" s="1"/>
  <c r="J802" i="1"/>
  <c r="K802" i="1" s="1"/>
  <c r="J803" i="1"/>
  <c r="K803" i="1" s="1"/>
  <c r="J361" i="1"/>
  <c r="K361" i="1" s="1"/>
  <c r="AW361" i="1" s="1"/>
  <c r="J362" i="1"/>
  <c r="K362" i="1" s="1"/>
  <c r="AW362" i="1" s="1"/>
  <c r="J363" i="1"/>
  <c r="K363" i="1" s="1"/>
  <c r="AW363" i="1" s="1"/>
  <c r="J364" i="1"/>
  <c r="K364" i="1" s="1"/>
  <c r="AW364" i="1" s="1"/>
  <c r="J365" i="1"/>
  <c r="K365" i="1" s="1"/>
  <c r="AW365" i="1" s="1"/>
  <c r="J804" i="1"/>
  <c r="K804" i="1" s="1"/>
  <c r="J805" i="1"/>
  <c r="K805" i="1" s="1"/>
  <c r="J366" i="1"/>
  <c r="K366" i="1" s="1"/>
  <c r="AW366" i="1" s="1"/>
  <c r="J367" i="1"/>
  <c r="K367" i="1" s="1"/>
  <c r="AW367" i="1" s="1"/>
  <c r="J806" i="1"/>
  <c r="K806" i="1" s="1"/>
  <c r="J368" i="1"/>
  <c r="K368" i="1" s="1"/>
  <c r="AW368" i="1" s="1"/>
  <c r="J369" i="1"/>
  <c r="K369" i="1" s="1"/>
  <c r="AW369" i="1" s="1"/>
  <c r="J807" i="1"/>
  <c r="K807" i="1" s="1"/>
  <c r="J370" i="1"/>
  <c r="K370" i="1" s="1"/>
  <c r="AW370" i="1" s="1"/>
  <c r="J808" i="1"/>
  <c r="K808" i="1" s="1"/>
  <c r="J371" i="1"/>
  <c r="K371" i="1" s="1"/>
  <c r="AW371" i="1" s="1"/>
  <c r="J809" i="1"/>
  <c r="K809" i="1" s="1"/>
  <c r="J810" i="1"/>
  <c r="K810" i="1" s="1"/>
  <c r="J811" i="1"/>
  <c r="K811" i="1" s="1"/>
  <c r="J812" i="1"/>
  <c r="K812" i="1" s="1"/>
  <c r="J813" i="1"/>
  <c r="K813" i="1" s="1"/>
  <c r="J372" i="1"/>
  <c r="K372" i="1" s="1"/>
  <c r="AW372" i="1" s="1"/>
  <c r="J814" i="1"/>
  <c r="K814" i="1" s="1"/>
  <c r="J815" i="1"/>
  <c r="K815" i="1" s="1"/>
  <c r="J816" i="1"/>
  <c r="K816" i="1" s="1"/>
  <c r="J817" i="1"/>
  <c r="K817" i="1" s="1"/>
  <c r="J373" i="1"/>
  <c r="K373" i="1" s="1"/>
  <c r="AW373" i="1" s="1"/>
  <c r="J374" i="1"/>
  <c r="K374" i="1" s="1"/>
  <c r="AW374" i="1" s="1"/>
  <c r="J375" i="1"/>
  <c r="K375" i="1" s="1"/>
  <c r="AW375" i="1" s="1"/>
  <c r="J376" i="1"/>
  <c r="K376" i="1" s="1"/>
  <c r="AW376" i="1" s="1"/>
  <c r="J818" i="1"/>
  <c r="K818" i="1" s="1"/>
  <c r="J377" i="1"/>
  <c r="K377" i="1" s="1"/>
  <c r="AW377" i="1" s="1"/>
  <c r="J819" i="1"/>
  <c r="K819" i="1" s="1"/>
  <c r="J378" i="1"/>
  <c r="K378" i="1" s="1"/>
  <c r="AW378" i="1" s="1"/>
  <c r="J379" i="1"/>
  <c r="K379" i="1" s="1"/>
  <c r="AW379" i="1" s="1"/>
  <c r="J820" i="1"/>
  <c r="K820" i="1" s="1"/>
  <c r="J380" i="1"/>
  <c r="K380" i="1" s="1"/>
  <c r="AW380" i="1" s="1"/>
  <c r="J381" i="1"/>
  <c r="K381" i="1" s="1"/>
  <c r="AW381" i="1" s="1"/>
  <c r="J821" i="1"/>
  <c r="K821" i="1" s="1"/>
  <c r="J382" i="1"/>
  <c r="K382" i="1" s="1"/>
  <c r="AW382" i="1" s="1"/>
  <c r="J822" i="1"/>
  <c r="K822" i="1" s="1"/>
  <c r="J823" i="1"/>
  <c r="K823" i="1" s="1"/>
  <c r="J383" i="1"/>
  <c r="K383" i="1" s="1"/>
  <c r="AW383" i="1" s="1"/>
  <c r="J384" i="1"/>
  <c r="K384" i="1" s="1"/>
  <c r="AW384" i="1" s="1"/>
  <c r="J825" i="1"/>
  <c r="K825" i="1" s="1"/>
  <c r="J385" i="1"/>
  <c r="K385" i="1" s="1"/>
  <c r="AW385" i="1" s="1"/>
  <c r="J386" i="1"/>
  <c r="K386" i="1" s="1"/>
  <c r="AW386" i="1" s="1"/>
  <c r="J826" i="1"/>
  <c r="K826" i="1" s="1"/>
  <c r="J827" i="1"/>
  <c r="K827" i="1" s="1"/>
  <c r="J828" i="1"/>
  <c r="K828" i="1" s="1"/>
  <c r="J829" i="1"/>
  <c r="K829" i="1" s="1"/>
  <c r="J387" i="1"/>
  <c r="K387" i="1" s="1"/>
  <c r="AW387" i="1" s="1"/>
  <c r="J830" i="1"/>
  <c r="K830" i="1" s="1"/>
  <c r="J831" i="1"/>
  <c r="K831" i="1" s="1"/>
  <c r="J388" i="1"/>
  <c r="K388" i="1" s="1"/>
  <c r="AW388" i="1" s="1"/>
  <c r="J389" i="1"/>
  <c r="K389" i="1" s="1"/>
  <c r="AW389" i="1" s="1"/>
  <c r="J390" i="1"/>
  <c r="K390" i="1" s="1"/>
  <c r="AW390" i="1" s="1"/>
  <c r="J832" i="1"/>
  <c r="K832" i="1" s="1"/>
  <c r="J833" i="1"/>
  <c r="K833" i="1" s="1"/>
  <c r="J834" i="1"/>
  <c r="K834" i="1" s="1"/>
  <c r="J391" i="1"/>
  <c r="K391" i="1" s="1"/>
  <c r="AW391" i="1" s="1"/>
  <c r="J836" i="1"/>
  <c r="K836" i="1" s="1"/>
  <c r="J837" i="1"/>
  <c r="K837" i="1" s="1"/>
  <c r="J392" i="1"/>
  <c r="K392" i="1" s="1"/>
  <c r="AW392" i="1" s="1"/>
  <c r="J393" i="1"/>
  <c r="K393" i="1" s="1"/>
  <c r="AW393" i="1" s="1"/>
  <c r="J394" i="1"/>
  <c r="K394" i="1" s="1"/>
  <c r="AW394" i="1" s="1"/>
  <c r="J395" i="1"/>
  <c r="K395" i="1" s="1"/>
  <c r="AW395" i="1" s="1"/>
  <c r="J838" i="1"/>
  <c r="K838" i="1" s="1"/>
  <c r="J396" i="1"/>
  <c r="K396" i="1" s="1"/>
  <c r="AW396" i="1" s="1"/>
  <c r="J397" i="1"/>
  <c r="K397" i="1" s="1"/>
  <c r="AW397" i="1" s="1"/>
  <c r="J399" i="1"/>
  <c r="K399" i="1" s="1"/>
  <c r="AW399" i="1" s="1"/>
  <c r="J400" i="1"/>
  <c r="K400" i="1" s="1"/>
  <c r="AW400" i="1" s="1"/>
  <c r="J839" i="1"/>
  <c r="K839" i="1" s="1"/>
  <c r="J840" i="1"/>
  <c r="K840" i="1" s="1"/>
  <c r="J841" i="1"/>
  <c r="K841" i="1" s="1"/>
  <c r="J401" i="1"/>
  <c r="K401" i="1" s="1"/>
  <c r="AW401" i="1" s="1"/>
  <c r="J842" i="1"/>
  <c r="K842" i="1" s="1"/>
  <c r="J402" i="1"/>
  <c r="K402" i="1" s="1"/>
  <c r="AW402" i="1" s="1"/>
  <c r="J843" i="1"/>
  <c r="K843" i="1" s="1"/>
  <c r="J844" i="1"/>
  <c r="K844" i="1" s="1"/>
  <c r="J845" i="1"/>
  <c r="K845" i="1" s="1"/>
  <c r="J846" i="1"/>
  <c r="K846" i="1" s="1"/>
  <c r="J847" i="1"/>
  <c r="K847" i="1" s="1"/>
  <c r="J404" i="1"/>
  <c r="K404" i="1" s="1"/>
  <c r="AW404" i="1" s="1"/>
  <c r="J848" i="1"/>
  <c r="K848" i="1" s="1"/>
  <c r="J405" i="1"/>
  <c r="K405" i="1" s="1"/>
  <c r="AW405" i="1" s="1"/>
  <c r="J850" i="1"/>
  <c r="K850" i="1" s="1"/>
  <c r="J406" i="1"/>
  <c r="K406" i="1" s="1"/>
  <c r="AW406" i="1" s="1"/>
  <c r="J851" i="1"/>
  <c r="K851" i="1" s="1"/>
  <c r="J407" i="1"/>
  <c r="K407" i="1" s="1"/>
  <c r="AW407" i="1" s="1"/>
  <c r="J852" i="1"/>
  <c r="K852" i="1" s="1"/>
  <c r="J408" i="1"/>
  <c r="K408" i="1" s="1"/>
  <c r="AW408" i="1" s="1"/>
  <c r="J409" i="1"/>
  <c r="K409" i="1" s="1"/>
  <c r="AW409" i="1" s="1"/>
  <c r="J410" i="1"/>
  <c r="K410" i="1" s="1"/>
  <c r="AW410" i="1" s="1"/>
  <c r="J853" i="1"/>
  <c r="K853" i="1" s="1"/>
  <c r="J855" i="1"/>
  <c r="K855" i="1" s="1"/>
  <c r="J411" i="1"/>
  <c r="K411" i="1" s="1"/>
  <c r="AW411" i="1" s="1"/>
  <c r="J412" i="1"/>
  <c r="K412" i="1" s="1"/>
  <c r="AW412" i="1" s="1"/>
  <c r="J413" i="1"/>
  <c r="K413" i="1" s="1"/>
  <c r="AW413" i="1" s="1"/>
  <c r="J414" i="1"/>
  <c r="K414" i="1" s="1"/>
  <c r="AW414" i="1" s="1"/>
  <c r="J415" i="1"/>
  <c r="K415" i="1" s="1"/>
  <c r="AW415" i="1" s="1"/>
  <c r="J416" i="1"/>
  <c r="K416" i="1" s="1"/>
  <c r="AW416" i="1" s="1"/>
  <c r="J417" i="1"/>
  <c r="K417" i="1" s="1"/>
  <c r="AW417" i="1" s="1"/>
  <c r="J856" i="1"/>
  <c r="K856" i="1" s="1"/>
  <c r="J418" i="1"/>
  <c r="K418" i="1" s="1"/>
  <c r="AW418" i="1" s="1"/>
  <c r="J419" i="1"/>
  <c r="K419" i="1" s="1"/>
  <c r="AW419" i="1" s="1"/>
  <c r="J857" i="1"/>
  <c r="K857" i="1" s="1"/>
  <c r="J420" i="1"/>
  <c r="K420" i="1" s="1"/>
  <c r="AW420" i="1" s="1"/>
  <c r="J858" i="1"/>
  <c r="K858" i="1" s="1"/>
  <c r="J859" i="1"/>
  <c r="K859" i="1" s="1"/>
  <c r="J421" i="1"/>
  <c r="K421" i="1" s="1"/>
  <c r="AW421" i="1" s="1"/>
  <c r="J860" i="1"/>
  <c r="K860" i="1" s="1"/>
  <c r="J422" i="1"/>
  <c r="K422" i="1" s="1"/>
  <c r="AW422" i="1" s="1"/>
  <c r="J423" i="1"/>
  <c r="K423" i="1" s="1"/>
  <c r="AW423" i="1" s="1"/>
  <c r="J424" i="1"/>
  <c r="K424" i="1" s="1"/>
  <c r="AW424" i="1" s="1"/>
  <c r="J861" i="1"/>
  <c r="K861" i="1" s="1"/>
  <c r="J862" i="1"/>
  <c r="K862" i="1" s="1"/>
  <c r="J425" i="1"/>
  <c r="K425" i="1" s="1"/>
  <c r="AW425" i="1" s="1"/>
  <c r="J426" i="1"/>
  <c r="K426" i="1" s="1"/>
  <c r="AW426" i="1" s="1"/>
  <c r="J863" i="1"/>
  <c r="K863" i="1" s="1"/>
  <c r="J864" i="1"/>
  <c r="K864" i="1" s="1"/>
  <c r="J427" i="1"/>
  <c r="K427" i="1" s="1"/>
  <c r="AW427" i="1" s="1"/>
  <c r="J865" i="1"/>
  <c r="K865" i="1" s="1"/>
  <c r="J428" i="1"/>
  <c r="K428" i="1" s="1"/>
  <c r="AW428" i="1" s="1"/>
  <c r="J429" i="1"/>
  <c r="K429" i="1" s="1"/>
  <c r="AW429" i="1" s="1"/>
  <c r="J430" i="1"/>
  <c r="K430" i="1" s="1"/>
  <c r="AW430" i="1" s="1"/>
  <c r="J866" i="1"/>
  <c r="K866" i="1" s="1"/>
  <c r="J431" i="1"/>
  <c r="K431" i="1" s="1"/>
  <c r="AW431" i="1" s="1"/>
  <c r="J867" i="1"/>
  <c r="K867" i="1" s="1"/>
  <c r="J868" i="1"/>
  <c r="K868" i="1" s="1"/>
  <c r="J869" i="1"/>
  <c r="K869" i="1" s="1"/>
  <c r="J432" i="1"/>
  <c r="K432" i="1" s="1"/>
  <c r="AW432" i="1" s="1"/>
  <c r="J433" i="1"/>
  <c r="K433" i="1" s="1"/>
  <c r="AW433" i="1" s="1"/>
  <c r="J870" i="1"/>
  <c r="K870" i="1" s="1"/>
  <c r="J434" i="1"/>
  <c r="K434" i="1" s="1"/>
  <c r="AW434" i="1" s="1"/>
  <c r="J435" i="1"/>
  <c r="K435" i="1" s="1"/>
  <c r="AW435" i="1" s="1"/>
  <c r="J436" i="1"/>
  <c r="K436" i="1" s="1"/>
  <c r="AW436" i="1" s="1"/>
  <c r="J871" i="1"/>
  <c r="K871" i="1" s="1"/>
  <c r="J872" i="1"/>
  <c r="K872" i="1" s="1"/>
  <c r="J873" i="1"/>
  <c r="K873" i="1" s="1"/>
  <c r="J437" i="1"/>
  <c r="K437" i="1" s="1"/>
  <c r="AW437" i="1" s="1"/>
  <c r="J874" i="1"/>
  <c r="K874" i="1" s="1"/>
  <c r="J438" i="1"/>
  <c r="K438" i="1" s="1"/>
  <c r="AW438" i="1" s="1"/>
  <c r="J439" i="1"/>
  <c r="K439" i="1" s="1"/>
  <c r="AW439" i="1" s="1"/>
  <c r="J440" i="1"/>
  <c r="K440" i="1" s="1"/>
  <c r="AW440" i="1" s="1"/>
  <c r="J441" i="1"/>
  <c r="K441" i="1" s="1"/>
  <c r="AW441" i="1" s="1"/>
  <c r="J442" i="1"/>
  <c r="K442" i="1" s="1"/>
  <c r="AW442" i="1" s="1"/>
  <c r="J875" i="1"/>
  <c r="K875" i="1" s="1"/>
  <c r="J443" i="1"/>
  <c r="K443" i="1" s="1"/>
  <c r="AW443" i="1" s="1"/>
  <c r="J876" i="1"/>
  <c r="K876" i="1" s="1"/>
  <c r="J444" i="1"/>
  <c r="K444" i="1" s="1"/>
  <c r="AW444" i="1" s="1"/>
  <c r="J877" i="1"/>
  <c r="K877" i="1" s="1"/>
  <c r="J445" i="1"/>
  <c r="K445" i="1" s="1"/>
  <c r="AW445" i="1" s="1"/>
  <c r="J446" i="1"/>
  <c r="K446" i="1" s="1"/>
  <c r="AW446" i="1" s="1"/>
  <c r="J878" i="1"/>
  <c r="K878" i="1" s="1"/>
  <c r="J447" i="1"/>
  <c r="K447" i="1" s="1"/>
  <c r="AW447" i="1" s="1"/>
  <c r="J448" i="1"/>
  <c r="K448" i="1" s="1"/>
  <c r="AW448" i="1" s="1"/>
  <c r="J879" i="1"/>
  <c r="K879" i="1" s="1"/>
  <c r="J449" i="1"/>
  <c r="K449" i="1" s="1"/>
  <c r="AW449" i="1" s="1"/>
  <c r="J880" i="1"/>
  <c r="K880" i="1" s="1"/>
  <c r="J450" i="1"/>
  <c r="K450" i="1" s="1"/>
  <c r="AW450" i="1" s="1"/>
  <c r="J451" i="1"/>
  <c r="K451" i="1" s="1"/>
  <c r="AW451" i="1" s="1"/>
  <c r="J452" i="1"/>
  <c r="K452" i="1" s="1"/>
  <c r="AW452" i="1" s="1"/>
  <c r="J881" i="1"/>
  <c r="K881" i="1" s="1"/>
  <c r="J453" i="1"/>
  <c r="K453" i="1" s="1"/>
  <c r="AW453" i="1" s="1"/>
  <c r="J454" i="1"/>
  <c r="K454" i="1" s="1"/>
  <c r="AW454" i="1" s="1"/>
  <c r="J882" i="1"/>
  <c r="K882" i="1" s="1"/>
  <c r="J883" i="1"/>
  <c r="K883" i="1" s="1"/>
  <c r="J455" i="1"/>
  <c r="K455" i="1" s="1"/>
  <c r="AW455" i="1" s="1"/>
  <c r="J884" i="1"/>
  <c r="K884" i="1" s="1"/>
  <c r="J885" i="1"/>
  <c r="K885" i="1" s="1"/>
  <c r="J456" i="1"/>
  <c r="K456" i="1" s="1"/>
  <c r="AW456" i="1" s="1"/>
  <c r="J886" i="1"/>
  <c r="K886" i="1" s="1"/>
  <c r="J887" i="1"/>
  <c r="K887" i="1" s="1"/>
  <c r="J888" i="1"/>
  <c r="K888" i="1" s="1"/>
  <c r="J457" i="1"/>
  <c r="K457" i="1" s="1"/>
  <c r="AW457" i="1" s="1"/>
  <c r="J458" i="1"/>
  <c r="K458" i="1" s="1"/>
  <c r="AW458" i="1" s="1"/>
  <c r="J459" i="1"/>
  <c r="K459" i="1" s="1"/>
  <c r="AW459" i="1" s="1"/>
  <c r="J889" i="1"/>
  <c r="K889" i="1" s="1"/>
  <c r="J890" i="1"/>
  <c r="K890" i="1" s="1"/>
  <c r="J460" i="1"/>
  <c r="K460" i="1" s="1"/>
  <c r="AW460" i="1" s="1"/>
  <c r="J461" i="1"/>
  <c r="K461" i="1" s="1"/>
  <c r="AW461" i="1" s="1"/>
  <c r="J891" i="1"/>
  <c r="K891" i="1" s="1"/>
  <c r="J462" i="1"/>
  <c r="K462" i="1" s="1"/>
  <c r="AW462" i="1" s="1"/>
  <c r="J463" i="1"/>
  <c r="K463" i="1" s="1"/>
  <c r="AW463" i="1" s="1"/>
  <c r="J892" i="1"/>
  <c r="K892" i="1" s="1"/>
  <c r="J464" i="1"/>
  <c r="K464" i="1" s="1"/>
  <c r="AW464" i="1" s="1"/>
  <c r="J465" i="1"/>
  <c r="K465" i="1" s="1"/>
  <c r="AW465" i="1" s="1"/>
  <c r="J893" i="1"/>
  <c r="K893" i="1" s="1"/>
  <c r="J894" i="1"/>
  <c r="K894" i="1" s="1"/>
  <c r="J895" i="1"/>
  <c r="K895" i="1" s="1"/>
  <c r="J896" i="1"/>
  <c r="K896" i="1" s="1"/>
  <c r="J466" i="1"/>
  <c r="K466" i="1" s="1"/>
  <c r="AW466" i="1" s="1"/>
  <c r="J897" i="1"/>
  <c r="K897" i="1" s="1"/>
  <c r="J467" i="1"/>
  <c r="K467" i="1" s="1"/>
  <c r="AW467" i="1" s="1"/>
  <c r="J898" i="1"/>
  <c r="K898" i="1" s="1"/>
  <c r="J899" i="1"/>
  <c r="K899" i="1" s="1"/>
  <c r="J900" i="1"/>
  <c r="K900" i="1" s="1"/>
  <c r="J468" i="1"/>
  <c r="K468" i="1" s="1"/>
  <c r="AW468" i="1" s="1"/>
  <c r="J469" i="1"/>
  <c r="K469" i="1" s="1"/>
  <c r="AW469" i="1" s="1"/>
  <c r="J901" i="1"/>
  <c r="K901" i="1" s="1"/>
  <c r="J470" i="1"/>
  <c r="K470" i="1" s="1"/>
  <c r="AW470" i="1" s="1"/>
  <c r="J902" i="1"/>
  <c r="K902" i="1" s="1"/>
  <c r="J903" i="1"/>
  <c r="K903" i="1" s="1"/>
  <c r="J471" i="1"/>
  <c r="K471" i="1" s="1"/>
  <c r="AW471" i="1" s="1"/>
  <c r="J904" i="1"/>
  <c r="K904" i="1" s="1"/>
  <c r="J905" i="1"/>
  <c r="K905" i="1" s="1"/>
  <c r="J472" i="1"/>
  <c r="K472" i="1" s="1"/>
  <c r="AW472" i="1" s="1"/>
  <c r="J906" i="1"/>
  <c r="K906" i="1" s="1"/>
  <c r="J907" i="1"/>
  <c r="K907" i="1" s="1"/>
  <c r="J473" i="1"/>
  <c r="K473" i="1" s="1"/>
  <c r="AW473" i="1" s="1"/>
  <c r="J474" i="1"/>
  <c r="K474" i="1" s="1"/>
  <c r="AW474" i="1" s="1"/>
  <c r="J908" i="1"/>
  <c r="K908" i="1" s="1"/>
  <c r="J909" i="1"/>
  <c r="K909" i="1" s="1"/>
  <c r="J475" i="1"/>
  <c r="K475" i="1" s="1"/>
  <c r="AW475" i="1" s="1"/>
  <c r="J477" i="1"/>
  <c r="K477" i="1" s="1"/>
  <c r="AW477" i="1" s="1"/>
  <c r="J478" i="1"/>
  <c r="K478" i="1" s="1"/>
  <c r="AW478" i="1" s="1"/>
  <c r="J479" i="1"/>
  <c r="K479" i="1" s="1"/>
  <c r="AW479" i="1" s="1"/>
  <c r="J910" i="1"/>
  <c r="K910" i="1" s="1"/>
  <c r="J911" i="1"/>
  <c r="K911" i="1" s="1"/>
  <c r="J480" i="1"/>
  <c r="K480" i="1" s="1"/>
  <c r="AW480" i="1" s="1"/>
  <c r="J481" i="1"/>
  <c r="K481" i="1" s="1"/>
  <c r="AW481" i="1" s="1"/>
  <c r="J482" i="1"/>
  <c r="K482" i="1" s="1"/>
  <c r="AW482" i="1" s="1"/>
  <c r="J483" i="1"/>
  <c r="K483" i="1" s="1"/>
  <c r="AW483" i="1" s="1"/>
  <c r="J484" i="1"/>
  <c r="K484" i="1" s="1"/>
  <c r="AW484" i="1" s="1"/>
  <c r="J485" i="1"/>
  <c r="K485" i="1" s="1"/>
  <c r="AW485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486" i="1"/>
  <c r="K486" i="1" s="1"/>
  <c r="AW486" i="1" s="1"/>
  <c r="J918" i="1"/>
  <c r="K918" i="1" s="1"/>
  <c r="J919" i="1"/>
  <c r="K919" i="1" s="1"/>
  <c r="J920" i="1"/>
  <c r="K920" i="1" s="1"/>
  <c r="J487" i="1"/>
  <c r="K487" i="1" s="1"/>
  <c r="AW487" i="1" s="1"/>
  <c r="J488" i="1"/>
  <c r="K488" i="1" s="1"/>
  <c r="AW488" i="1" s="1"/>
  <c r="J921" i="1"/>
  <c r="K921" i="1" s="1"/>
  <c r="J922" i="1"/>
  <c r="K922" i="1" s="1"/>
  <c r="J489" i="1"/>
  <c r="K489" i="1" s="1"/>
  <c r="AW489" i="1" s="1"/>
  <c r="J490" i="1"/>
  <c r="K490" i="1" s="1"/>
  <c r="AW490" i="1" s="1"/>
  <c r="J923" i="1"/>
  <c r="K923" i="1" s="1"/>
  <c r="J491" i="1"/>
  <c r="K491" i="1" s="1"/>
  <c r="AW491" i="1" s="1"/>
  <c r="J924" i="1"/>
  <c r="K924" i="1" s="1"/>
  <c r="J492" i="1"/>
  <c r="K492" i="1" s="1"/>
  <c r="AW492" i="1" s="1"/>
  <c r="J493" i="1"/>
  <c r="K493" i="1" s="1"/>
  <c r="AW493" i="1" s="1"/>
  <c r="J925" i="1"/>
  <c r="K925" i="1" s="1"/>
  <c r="J926" i="1"/>
  <c r="K926" i="1" s="1"/>
  <c r="J927" i="1"/>
  <c r="K927" i="1" s="1"/>
  <c r="J494" i="1"/>
  <c r="K494" i="1" s="1"/>
  <c r="AW494" i="1" s="1"/>
  <c r="J928" i="1"/>
  <c r="K928" i="1" s="1"/>
  <c r="J495" i="1"/>
  <c r="K495" i="1" s="1"/>
  <c r="AW495" i="1" s="1"/>
  <c r="J929" i="1"/>
  <c r="K929" i="1" s="1"/>
  <c r="J930" i="1"/>
  <c r="K930" i="1" s="1"/>
  <c r="J496" i="1"/>
  <c r="K496" i="1" s="1"/>
  <c r="AW496" i="1" s="1"/>
  <c r="J497" i="1"/>
  <c r="K497" i="1" s="1"/>
  <c r="AW497" i="1" s="1"/>
  <c r="J931" i="1"/>
  <c r="K931" i="1" s="1"/>
  <c r="J498" i="1"/>
  <c r="K498" i="1" s="1"/>
  <c r="AW498" i="1" s="1"/>
  <c r="J499" i="1"/>
  <c r="K499" i="1" s="1"/>
  <c r="AW499" i="1" s="1"/>
  <c r="J500" i="1"/>
  <c r="K500" i="1" s="1"/>
  <c r="AW500" i="1" s="1"/>
  <c r="J501" i="1"/>
  <c r="K501" i="1" s="1"/>
  <c r="AW501" i="1" s="1"/>
  <c r="J932" i="1"/>
  <c r="K932" i="1" s="1"/>
  <c r="J502" i="1"/>
  <c r="K502" i="1" s="1"/>
  <c r="AW502" i="1" s="1"/>
  <c r="J933" i="1"/>
  <c r="K933" i="1" s="1"/>
  <c r="J195" i="1"/>
  <c r="K195" i="1" s="1"/>
  <c r="AW195" i="1" s="1"/>
  <c r="J539" i="1"/>
  <c r="K539" i="1" s="1"/>
  <c r="AW539" i="1" s="1"/>
  <c r="J680" i="1"/>
  <c r="K680" i="1" s="1"/>
  <c r="J608" i="1"/>
  <c r="K608" i="1" s="1"/>
  <c r="AW608" i="1" s="1"/>
  <c r="J649" i="1"/>
  <c r="K649" i="1" s="1"/>
  <c r="J579" i="1"/>
  <c r="K579" i="1" s="1"/>
  <c r="AW579" i="1" s="1"/>
  <c r="J239" i="1"/>
  <c r="K239" i="1" s="1"/>
  <c r="AW239" i="1" s="1"/>
  <c r="J773" i="1"/>
  <c r="K773" i="1" s="1"/>
  <c r="J91" i="1"/>
  <c r="K91" i="1" s="1"/>
  <c r="AW91" i="1" s="1"/>
  <c r="J159" i="1"/>
  <c r="K159" i="1" s="1"/>
  <c r="AW159" i="1" s="1"/>
  <c r="J79" i="1"/>
  <c r="K79" i="1" s="1"/>
  <c r="AW79" i="1" s="1"/>
  <c r="J659" i="1"/>
  <c r="K659" i="1" s="1"/>
  <c r="J2" i="1"/>
  <c r="K2" i="1" s="1"/>
  <c r="AW636" i="1" l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2" i="1"/>
  <c r="AU3" i="1"/>
  <c r="AY3" i="1" s="1"/>
  <c r="AU4" i="1"/>
  <c r="AY4" i="1" s="1"/>
  <c r="AU5" i="1"/>
  <c r="AY5" i="1" s="1"/>
  <c r="AU6" i="1"/>
  <c r="AY6" i="1" s="1"/>
  <c r="AU7" i="1"/>
  <c r="AY7" i="1" s="1"/>
  <c r="AU8" i="1"/>
  <c r="AY8" i="1" s="1"/>
  <c r="AU9" i="1"/>
  <c r="AY9" i="1" s="1"/>
  <c r="AU10" i="1"/>
  <c r="AY10" i="1" s="1"/>
  <c r="AU11" i="1"/>
  <c r="AY11" i="1" s="1"/>
  <c r="AU12" i="1"/>
  <c r="AY12" i="1" s="1"/>
  <c r="AU13" i="1"/>
  <c r="AY13" i="1" s="1"/>
  <c r="AU14" i="1"/>
  <c r="AU15" i="1"/>
  <c r="AY15" i="1" s="1"/>
  <c r="AU16" i="1"/>
  <c r="AY16" i="1" s="1"/>
  <c r="AU17" i="1"/>
  <c r="AY17" i="1" s="1"/>
  <c r="AU18" i="1"/>
  <c r="AY18" i="1" s="1"/>
  <c r="AU19" i="1"/>
  <c r="AY19" i="1" s="1"/>
  <c r="AU20" i="1"/>
  <c r="AY20" i="1" s="1"/>
  <c r="AU21" i="1"/>
  <c r="AY21" i="1" s="1"/>
  <c r="AU22" i="1"/>
  <c r="AY22" i="1" s="1"/>
  <c r="AU23" i="1"/>
  <c r="AY23" i="1" s="1"/>
  <c r="AU24" i="1"/>
  <c r="AY24" i="1" s="1"/>
  <c r="AU25" i="1"/>
  <c r="AY25" i="1" s="1"/>
  <c r="AU26" i="1"/>
  <c r="AY26" i="1" s="1"/>
  <c r="AU27" i="1"/>
  <c r="AY27" i="1" s="1"/>
  <c r="AU28" i="1"/>
  <c r="AY28" i="1" s="1"/>
  <c r="AU29" i="1"/>
  <c r="AY29" i="1" s="1"/>
  <c r="AU30" i="1"/>
  <c r="AY30" i="1" s="1"/>
  <c r="AU31" i="1"/>
  <c r="AY31" i="1" s="1"/>
  <c r="AU32" i="1"/>
  <c r="AY32" i="1" s="1"/>
  <c r="AU33" i="1"/>
  <c r="AY33" i="1" s="1"/>
  <c r="AU34" i="1"/>
  <c r="AY34" i="1" s="1"/>
  <c r="AU35" i="1"/>
  <c r="AY35" i="1" s="1"/>
  <c r="AU36" i="1"/>
  <c r="AY36" i="1" s="1"/>
  <c r="AU37" i="1"/>
  <c r="AY37" i="1" s="1"/>
  <c r="AU38" i="1"/>
  <c r="AY38" i="1" s="1"/>
  <c r="AU39" i="1"/>
  <c r="AY39" i="1" s="1"/>
  <c r="AU40" i="1"/>
  <c r="AY40" i="1" s="1"/>
  <c r="AU41" i="1"/>
  <c r="AY41" i="1" s="1"/>
  <c r="AU42" i="1"/>
  <c r="AY42" i="1" s="1"/>
  <c r="AU43" i="1"/>
  <c r="AY43" i="1" s="1"/>
  <c r="AU44" i="1"/>
  <c r="AY44" i="1" s="1"/>
  <c r="AU45" i="1"/>
  <c r="AY45" i="1" s="1"/>
  <c r="AU46" i="1"/>
  <c r="AY46" i="1" s="1"/>
  <c r="AU47" i="1"/>
  <c r="AY47" i="1" s="1"/>
  <c r="AU48" i="1"/>
  <c r="AY48" i="1" s="1"/>
  <c r="AU49" i="1"/>
  <c r="AY49" i="1" s="1"/>
  <c r="AU50" i="1"/>
  <c r="AY50" i="1" s="1"/>
  <c r="AU51" i="1"/>
  <c r="AY51" i="1" s="1"/>
  <c r="AU52" i="1"/>
  <c r="AY52" i="1" s="1"/>
  <c r="AU53" i="1"/>
  <c r="AY53" i="1" s="1"/>
  <c r="AU54" i="1"/>
  <c r="AY54" i="1" s="1"/>
  <c r="AU55" i="1"/>
  <c r="AY55" i="1" s="1"/>
  <c r="AU56" i="1"/>
  <c r="AY56" i="1" s="1"/>
  <c r="AU57" i="1"/>
  <c r="AY57" i="1" s="1"/>
  <c r="AU58" i="1"/>
  <c r="AU59" i="1"/>
  <c r="AY59" i="1" s="1"/>
  <c r="AU60" i="1"/>
  <c r="AY60" i="1" s="1"/>
  <c r="AU61" i="1"/>
  <c r="AY61" i="1" s="1"/>
  <c r="AU62" i="1"/>
  <c r="AY62" i="1" s="1"/>
  <c r="AU63" i="1"/>
  <c r="AY63" i="1" s="1"/>
  <c r="AU64" i="1"/>
  <c r="AY64" i="1" s="1"/>
  <c r="AU65" i="1"/>
  <c r="AY65" i="1" s="1"/>
  <c r="AU66" i="1"/>
  <c r="AY66" i="1" s="1"/>
  <c r="AU67" i="1"/>
  <c r="AY67" i="1" s="1"/>
  <c r="AU68" i="1"/>
  <c r="AY68" i="1" s="1"/>
  <c r="AU69" i="1"/>
  <c r="AY69" i="1" s="1"/>
  <c r="AU70" i="1"/>
  <c r="AY70" i="1" s="1"/>
  <c r="AU71" i="1"/>
  <c r="AY71" i="1" s="1"/>
  <c r="AU72" i="1"/>
  <c r="AY72" i="1" s="1"/>
  <c r="AU73" i="1"/>
  <c r="AY73" i="1" s="1"/>
  <c r="AU74" i="1"/>
  <c r="AY74" i="1" s="1"/>
  <c r="AU75" i="1"/>
  <c r="AY75" i="1" s="1"/>
  <c r="AU76" i="1"/>
  <c r="AY76" i="1" s="1"/>
  <c r="AU77" i="1"/>
  <c r="AY77" i="1" s="1"/>
  <c r="AU78" i="1"/>
  <c r="AY78" i="1" s="1"/>
  <c r="AU79" i="1"/>
  <c r="AY79" i="1" s="1"/>
  <c r="AU80" i="1"/>
  <c r="AU81" i="1"/>
  <c r="AY81" i="1" s="1"/>
  <c r="AU82" i="1"/>
  <c r="AY82" i="1" s="1"/>
  <c r="AU83" i="1"/>
  <c r="AY83" i="1" s="1"/>
  <c r="AU84" i="1"/>
  <c r="AY84" i="1" s="1"/>
  <c r="AU85" i="1"/>
  <c r="AY85" i="1" s="1"/>
  <c r="AU86" i="1"/>
  <c r="AY86" i="1" s="1"/>
  <c r="AU87" i="1"/>
  <c r="AY87" i="1" s="1"/>
  <c r="AU88" i="1"/>
  <c r="AY88" i="1" s="1"/>
  <c r="AU89" i="1"/>
  <c r="AY89" i="1" s="1"/>
  <c r="AU90" i="1"/>
  <c r="AY90" i="1" s="1"/>
  <c r="AU91" i="1"/>
  <c r="AY91" i="1" s="1"/>
  <c r="AU92" i="1"/>
  <c r="AY92" i="1" s="1"/>
  <c r="AU93" i="1"/>
  <c r="AY93" i="1" s="1"/>
  <c r="AU94" i="1"/>
  <c r="AY94" i="1" s="1"/>
  <c r="AU95" i="1"/>
  <c r="AY95" i="1" s="1"/>
  <c r="AU96" i="1"/>
  <c r="AY96" i="1" s="1"/>
  <c r="AU97" i="1"/>
  <c r="AY97" i="1" s="1"/>
  <c r="AU98" i="1"/>
  <c r="AY98" i="1" s="1"/>
  <c r="AU99" i="1"/>
  <c r="AY99" i="1" s="1"/>
  <c r="AU100" i="1"/>
  <c r="AY100" i="1" s="1"/>
  <c r="AU101" i="1"/>
  <c r="AY101" i="1" s="1"/>
  <c r="AU102" i="1"/>
  <c r="AY102" i="1" s="1"/>
  <c r="AU103" i="1"/>
  <c r="AY103" i="1" s="1"/>
  <c r="AU104" i="1"/>
  <c r="AY104" i="1" s="1"/>
  <c r="AU105" i="1"/>
  <c r="AY105" i="1" s="1"/>
  <c r="AU106" i="1"/>
  <c r="AY106" i="1" s="1"/>
  <c r="AU107" i="1"/>
  <c r="AY107" i="1" s="1"/>
  <c r="AU108" i="1"/>
  <c r="AY108" i="1" s="1"/>
  <c r="AU109" i="1"/>
  <c r="AY109" i="1" s="1"/>
  <c r="AU110" i="1"/>
  <c r="AY110" i="1" s="1"/>
  <c r="AU111" i="1"/>
  <c r="AY111" i="1" s="1"/>
  <c r="AU112" i="1"/>
  <c r="AY112" i="1" s="1"/>
  <c r="AU113" i="1"/>
  <c r="AY113" i="1" s="1"/>
  <c r="AU114" i="1"/>
  <c r="AY114" i="1" s="1"/>
  <c r="AU115" i="1"/>
  <c r="AY115" i="1" s="1"/>
  <c r="AU116" i="1"/>
  <c r="AY116" i="1" s="1"/>
  <c r="AU117" i="1"/>
  <c r="AY117" i="1" s="1"/>
  <c r="AU118" i="1"/>
  <c r="AY118" i="1" s="1"/>
  <c r="AU119" i="1"/>
  <c r="AY119" i="1" s="1"/>
  <c r="AU120" i="1"/>
  <c r="AY120" i="1" s="1"/>
  <c r="AU121" i="1"/>
  <c r="AY121" i="1" s="1"/>
  <c r="AU122" i="1"/>
  <c r="AY122" i="1" s="1"/>
  <c r="AU123" i="1"/>
  <c r="AY123" i="1" s="1"/>
  <c r="AU124" i="1"/>
  <c r="AY124" i="1" s="1"/>
  <c r="AU125" i="1"/>
  <c r="AY125" i="1" s="1"/>
  <c r="AU126" i="1"/>
  <c r="AY126" i="1" s="1"/>
  <c r="AU127" i="1"/>
  <c r="AY127" i="1" s="1"/>
  <c r="AU128" i="1"/>
  <c r="AY128" i="1" s="1"/>
  <c r="AU129" i="1"/>
  <c r="AY129" i="1" s="1"/>
  <c r="AU130" i="1"/>
  <c r="AY130" i="1" s="1"/>
  <c r="AU131" i="1"/>
  <c r="AY131" i="1" s="1"/>
  <c r="AU132" i="1"/>
  <c r="AY132" i="1" s="1"/>
  <c r="AU133" i="1"/>
  <c r="AY133" i="1" s="1"/>
  <c r="AU134" i="1"/>
  <c r="AY134" i="1" s="1"/>
  <c r="AU135" i="1"/>
  <c r="AY135" i="1" s="1"/>
  <c r="AU136" i="1"/>
  <c r="AY136" i="1" s="1"/>
  <c r="AU137" i="1"/>
  <c r="AY137" i="1" s="1"/>
  <c r="AU138" i="1"/>
  <c r="AY138" i="1" s="1"/>
  <c r="AU139" i="1"/>
  <c r="AY139" i="1" s="1"/>
  <c r="AU140" i="1"/>
  <c r="AY140" i="1" s="1"/>
  <c r="AU141" i="1"/>
  <c r="AY141" i="1" s="1"/>
  <c r="AU142" i="1"/>
  <c r="AY142" i="1" s="1"/>
  <c r="AU143" i="1"/>
  <c r="AY143" i="1" s="1"/>
  <c r="AU144" i="1"/>
  <c r="AY144" i="1" s="1"/>
  <c r="AU145" i="1"/>
  <c r="AY145" i="1" s="1"/>
  <c r="AU146" i="1"/>
  <c r="AY146" i="1" s="1"/>
  <c r="AU147" i="1"/>
  <c r="AY147" i="1" s="1"/>
  <c r="AU148" i="1"/>
  <c r="AY148" i="1" s="1"/>
  <c r="AU149" i="1"/>
  <c r="AY149" i="1" s="1"/>
  <c r="AU150" i="1"/>
  <c r="AY150" i="1" s="1"/>
  <c r="AU151" i="1"/>
  <c r="AY151" i="1" s="1"/>
  <c r="AU152" i="1"/>
  <c r="AY152" i="1" s="1"/>
  <c r="AU153" i="1"/>
  <c r="AY153" i="1" s="1"/>
  <c r="AU154" i="1"/>
  <c r="AY154" i="1" s="1"/>
  <c r="AU155" i="1"/>
  <c r="AY155" i="1" s="1"/>
  <c r="AU156" i="1"/>
  <c r="AY156" i="1" s="1"/>
  <c r="AU157" i="1"/>
  <c r="AY157" i="1" s="1"/>
  <c r="AU158" i="1"/>
  <c r="AY158" i="1" s="1"/>
  <c r="AU159" i="1"/>
  <c r="AY159" i="1" s="1"/>
  <c r="AU160" i="1"/>
  <c r="AY160" i="1" s="1"/>
  <c r="AU161" i="1"/>
  <c r="AY161" i="1" s="1"/>
  <c r="AU162" i="1"/>
  <c r="AU163" i="1"/>
  <c r="AU164" i="1"/>
  <c r="AY164" i="1" s="1"/>
  <c r="AU165" i="1"/>
  <c r="AY165" i="1" s="1"/>
  <c r="AU166" i="1"/>
  <c r="AY166" i="1" s="1"/>
  <c r="AU167" i="1"/>
  <c r="AY167" i="1" s="1"/>
  <c r="AU168" i="1"/>
  <c r="AY168" i="1" s="1"/>
  <c r="AU169" i="1"/>
  <c r="AY169" i="1" s="1"/>
  <c r="AU170" i="1"/>
  <c r="AY170" i="1" s="1"/>
  <c r="AU171" i="1"/>
  <c r="AY171" i="1" s="1"/>
  <c r="AU172" i="1"/>
  <c r="AY172" i="1" s="1"/>
  <c r="AU173" i="1"/>
  <c r="AY173" i="1" s="1"/>
  <c r="AU174" i="1"/>
  <c r="AY174" i="1" s="1"/>
  <c r="AU175" i="1"/>
  <c r="AY175" i="1" s="1"/>
  <c r="AU176" i="1"/>
  <c r="AY176" i="1" s="1"/>
  <c r="AU177" i="1"/>
  <c r="AY177" i="1" s="1"/>
  <c r="AU178" i="1"/>
  <c r="AY178" i="1" s="1"/>
  <c r="AU179" i="1"/>
  <c r="AY179" i="1" s="1"/>
  <c r="AU180" i="1"/>
  <c r="AY180" i="1" s="1"/>
  <c r="AU181" i="1"/>
  <c r="AY181" i="1" s="1"/>
  <c r="AU182" i="1"/>
  <c r="AY182" i="1" s="1"/>
  <c r="AU183" i="1"/>
  <c r="AY183" i="1" s="1"/>
  <c r="AU184" i="1"/>
  <c r="AY184" i="1" s="1"/>
  <c r="AU185" i="1"/>
  <c r="AY185" i="1" s="1"/>
  <c r="AU186" i="1"/>
  <c r="AY186" i="1" s="1"/>
  <c r="AU187" i="1"/>
  <c r="AY187" i="1" s="1"/>
  <c r="AU188" i="1"/>
  <c r="AY188" i="1" s="1"/>
  <c r="AU189" i="1"/>
  <c r="AY189" i="1" s="1"/>
  <c r="AU190" i="1"/>
  <c r="AY190" i="1" s="1"/>
  <c r="AU191" i="1"/>
  <c r="AY191" i="1" s="1"/>
  <c r="AU192" i="1"/>
  <c r="AY192" i="1" s="1"/>
  <c r="AU193" i="1"/>
  <c r="AY193" i="1" s="1"/>
  <c r="AU194" i="1"/>
  <c r="AY194" i="1" s="1"/>
  <c r="AU195" i="1"/>
  <c r="AY195" i="1" s="1"/>
  <c r="AU196" i="1"/>
  <c r="AY196" i="1" s="1"/>
  <c r="AU197" i="1"/>
  <c r="AY197" i="1" s="1"/>
  <c r="AU198" i="1"/>
  <c r="AY198" i="1" s="1"/>
  <c r="AU199" i="1"/>
  <c r="AY199" i="1" s="1"/>
  <c r="AU200" i="1"/>
  <c r="AY200" i="1" s="1"/>
  <c r="AU201" i="1"/>
  <c r="AY201" i="1" s="1"/>
  <c r="AU202" i="1"/>
  <c r="AY202" i="1" s="1"/>
  <c r="AU203" i="1"/>
  <c r="AY203" i="1" s="1"/>
  <c r="AU204" i="1"/>
  <c r="AY204" i="1" s="1"/>
  <c r="AU205" i="1"/>
  <c r="AY205" i="1" s="1"/>
  <c r="AU206" i="1"/>
  <c r="AU207" i="1"/>
  <c r="AY207" i="1" s="1"/>
  <c r="AU208" i="1"/>
  <c r="AY208" i="1" s="1"/>
  <c r="AU209" i="1"/>
  <c r="AY209" i="1" s="1"/>
  <c r="AU210" i="1"/>
  <c r="AY210" i="1" s="1"/>
  <c r="AU211" i="1"/>
  <c r="AY211" i="1" s="1"/>
  <c r="AU212" i="1"/>
  <c r="AY212" i="1" s="1"/>
  <c r="AU213" i="1"/>
  <c r="AY213" i="1" s="1"/>
  <c r="AU214" i="1"/>
  <c r="AY214" i="1" s="1"/>
  <c r="AU215" i="1"/>
  <c r="AY215" i="1" s="1"/>
  <c r="AU216" i="1"/>
  <c r="AY216" i="1" s="1"/>
  <c r="AU217" i="1"/>
  <c r="AY217" i="1" s="1"/>
  <c r="AU218" i="1"/>
  <c r="AY218" i="1" s="1"/>
  <c r="AU219" i="1"/>
  <c r="AY219" i="1" s="1"/>
  <c r="AU220" i="1"/>
  <c r="AY220" i="1" s="1"/>
  <c r="AU221" i="1"/>
  <c r="AY221" i="1" s="1"/>
  <c r="AU222" i="1"/>
  <c r="AY222" i="1" s="1"/>
  <c r="AU223" i="1"/>
  <c r="AY223" i="1" s="1"/>
  <c r="AU224" i="1"/>
  <c r="AY224" i="1" s="1"/>
  <c r="AU225" i="1"/>
  <c r="AY225" i="1" s="1"/>
  <c r="AU226" i="1"/>
  <c r="AY226" i="1" s="1"/>
  <c r="AU227" i="1"/>
  <c r="AY227" i="1" s="1"/>
  <c r="AU228" i="1"/>
  <c r="AY228" i="1" s="1"/>
  <c r="AU229" i="1"/>
  <c r="AY229" i="1" s="1"/>
  <c r="AU230" i="1"/>
  <c r="AY230" i="1" s="1"/>
  <c r="AU231" i="1"/>
  <c r="AY231" i="1" s="1"/>
  <c r="AU232" i="1"/>
  <c r="AY232" i="1" s="1"/>
  <c r="AU233" i="1"/>
  <c r="AY233" i="1" s="1"/>
  <c r="AU234" i="1"/>
  <c r="AY234" i="1" s="1"/>
  <c r="AU235" i="1"/>
  <c r="AY235" i="1" s="1"/>
  <c r="AU236" i="1"/>
  <c r="AY236" i="1" s="1"/>
  <c r="AU237" i="1"/>
  <c r="AY237" i="1" s="1"/>
  <c r="AU238" i="1"/>
  <c r="AY238" i="1" s="1"/>
  <c r="AU239" i="1"/>
  <c r="AY239" i="1" s="1"/>
  <c r="AU240" i="1"/>
  <c r="AY240" i="1" s="1"/>
  <c r="AU241" i="1"/>
  <c r="AY241" i="1" s="1"/>
  <c r="AU242" i="1"/>
  <c r="AY242" i="1" s="1"/>
  <c r="AU243" i="1"/>
  <c r="AY243" i="1" s="1"/>
  <c r="AU244" i="1"/>
  <c r="AY244" i="1" s="1"/>
  <c r="AU245" i="1"/>
  <c r="AY245" i="1" s="1"/>
  <c r="AU246" i="1"/>
  <c r="AY246" i="1" s="1"/>
  <c r="AU247" i="1"/>
  <c r="AY247" i="1" s="1"/>
  <c r="AU248" i="1"/>
  <c r="AY248" i="1" s="1"/>
  <c r="AU249" i="1"/>
  <c r="AY249" i="1" s="1"/>
  <c r="AU250" i="1"/>
  <c r="AY250" i="1" s="1"/>
  <c r="AU251" i="1"/>
  <c r="AY251" i="1" s="1"/>
  <c r="AU252" i="1"/>
  <c r="AY252" i="1" s="1"/>
  <c r="AU253" i="1"/>
  <c r="AY253" i="1" s="1"/>
  <c r="AU254" i="1"/>
  <c r="AY254" i="1" s="1"/>
  <c r="AU255" i="1"/>
  <c r="AY255" i="1" s="1"/>
  <c r="AU256" i="1"/>
  <c r="AY256" i="1" s="1"/>
  <c r="AU257" i="1"/>
  <c r="AY257" i="1" s="1"/>
  <c r="AU258" i="1"/>
  <c r="AY258" i="1" s="1"/>
  <c r="AU259" i="1"/>
  <c r="AY259" i="1" s="1"/>
  <c r="AU260" i="1"/>
  <c r="AY260" i="1" s="1"/>
  <c r="AU261" i="1"/>
  <c r="AY261" i="1" s="1"/>
  <c r="AU262" i="1"/>
  <c r="AY262" i="1" s="1"/>
  <c r="AU263" i="1"/>
  <c r="AY263" i="1" s="1"/>
  <c r="AU264" i="1"/>
  <c r="AY264" i="1" s="1"/>
  <c r="AU265" i="1"/>
  <c r="AY265" i="1" s="1"/>
  <c r="AU266" i="1"/>
  <c r="AY266" i="1" s="1"/>
  <c r="AU267" i="1"/>
  <c r="AY267" i="1" s="1"/>
  <c r="AU268" i="1"/>
  <c r="AY268" i="1" s="1"/>
  <c r="AU269" i="1"/>
  <c r="AY269" i="1" s="1"/>
  <c r="AU270" i="1"/>
  <c r="AY270" i="1" s="1"/>
  <c r="AU271" i="1"/>
  <c r="AY271" i="1" s="1"/>
  <c r="AU272" i="1"/>
  <c r="AY272" i="1" s="1"/>
  <c r="AU273" i="1"/>
  <c r="AY273" i="1" s="1"/>
  <c r="AU274" i="1"/>
  <c r="AY274" i="1" s="1"/>
  <c r="AU275" i="1"/>
  <c r="AY275" i="1" s="1"/>
  <c r="AU276" i="1"/>
  <c r="AY276" i="1" s="1"/>
  <c r="AU277" i="1"/>
  <c r="AY277" i="1" s="1"/>
  <c r="AU278" i="1"/>
  <c r="AY278" i="1" s="1"/>
  <c r="AU279" i="1"/>
  <c r="AY279" i="1" s="1"/>
  <c r="AU280" i="1"/>
  <c r="AY280" i="1" s="1"/>
  <c r="AU281" i="1"/>
  <c r="AU282" i="1"/>
  <c r="AY282" i="1" s="1"/>
  <c r="AU283" i="1"/>
  <c r="AY283" i="1" s="1"/>
  <c r="AU284" i="1"/>
  <c r="AY284" i="1" s="1"/>
  <c r="AU285" i="1"/>
  <c r="AY285" i="1" s="1"/>
  <c r="AU286" i="1"/>
  <c r="AY286" i="1" s="1"/>
  <c r="AU287" i="1"/>
  <c r="AY287" i="1" s="1"/>
  <c r="AU288" i="1"/>
  <c r="AY288" i="1" s="1"/>
  <c r="AU289" i="1"/>
  <c r="AY289" i="1" s="1"/>
  <c r="AU290" i="1"/>
  <c r="AY290" i="1" s="1"/>
  <c r="AU291" i="1"/>
  <c r="AY291" i="1" s="1"/>
  <c r="AU292" i="1"/>
  <c r="AY292" i="1" s="1"/>
  <c r="AU293" i="1"/>
  <c r="AY293" i="1" s="1"/>
  <c r="AU294" i="1"/>
  <c r="AY294" i="1" s="1"/>
  <c r="AU295" i="1"/>
  <c r="AY295" i="1" s="1"/>
  <c r="AU296" i="1"/>
  <c r="AY296" i="1" s="1"/>
  <c r="AU297" i="1"/>
  <c r="AY297" i="1" s="1"/>
  <c r="AU298" i="1"/>
  <c r="AY298" i="1" s="1"/>
  <c r="AU299" i="1"/>
  <c r="AY299" i="1" s="1"/>
  <c r="AU300" i="1"/>
  <c r="AY300" i="1" s="1"/>
  <c r="AU301" i="1"/>
  <c r="AY301" i="1" s="1"/>
  <c r="AU302" i="1"/>
  <c r="AY302" i="1" s="1"/>
  <c r="AU303" i="1"/>
  <c r="AY303" i="1" s="1"/>
  <c r="AU304" i="1"/>
  <c r="AY304" i="1" s="1"/>
  <c r="AU305" i="1"/>
  <c r="AY305" i="1" s="1"/>
  <c r="AU306" i="1"/>
  <c r="AY306" i="1" s="1"/>
  <c r="AU307" i="1"/>
  <c r="AY307" i="1" s="1"/>
  <c r="AU308" i="1"/>
  <c r="AY308" i="1" s="1"/>
  <c r="AU309" i="1"/>
  <c r="AY309" i="1" s="1"/>
  <c r="AU310" i="1"/>
  <c r="AY310" i="1" s="1"/>
  <c r="AU311" i="1"/>
  <c r="AY311" i="1" s="1"/>
  <c r="AU312" i="1"/>
  <c r="AY312" i="1" s="1"/>
  <c r="AU313" i="1"/>
  <c r="AY313" i="1" s="1"/>
  <c r="AU314" i="1"/>
  <c r="AY314" i="1" s="1"/>
  <c r="AU315" i="1"/>
  <c r="AY315" i="1" s="1"/>
  <c r="AU316" i="1"/>
  <c r="AY316" i="1" s="1"/>
  <c r="AU317" i="1"/>
  <c r="AY317" i="1" s="1"/>
  <c r="AU318" i="1"/>
  <c r="AY318" i="1" s="1"/>
  <c r="AU319" i="1"/>
  <c r="AY319" i="1" s="1"/>
  <c r="AU320" i="1"/>
  <c r="AY320" i="1" s="1"/>
  <c r="AU321" i="1"/>
  <c r="AY321" i="1" s="1"/>
  <c r="AU322" i="1"/>
  <c r="AY322" i="1" s="1"/>
  <c r="AU323" i="1"/>
  <c r="AY323" i="1" s="1"/>
  <c r="AU324" i="1"/>
  <c r="AY324" i="1" s="1"/>
  <c r="AU325" i="1"/>
  <c r="AY325" i="1" s="1"/>
  <c r="AU326" i="1"/>
  <c r="AY326" i="1" s="1"/>
  <c r="AU327" i="1"/>
  <c r="AY327" i="1" s="1"/>
  <c r="AU328" i="1"/>
  <c r="AY328" i="1" s="1"/>
  <c r="AU329" i="1"/>
  <c r="AY329" i="1" s="1"/>
  <c r="AU330" i="1"/>
  <c r="AY330" i="1" s="1"/>
  <c r="AU331" i="1"/>
  <c r="AY331" i="1" s="1"/>
  <c r="AU332" i="1"/>
  <c r="AY332" i="1" s="1"/>
  <c r="AU333" i="1"/>
  <c r="AY333" i="1" s="1"/>
  <c r="AU334" i="1"/>
  <c r="AY334" i="1" s="1"/>
  <c r="AU335" i="1"/>
  <c r="AY335" i="1" s="1"/>
  <c r="AU336" i="1"/>
  <c r="AY336" i="1" s="1"/>
  <c r="AU337" i="1"/>
  <c r="AY337" i="1" s="1"/>
  <c r="AU338" i="1"/>
  <c r="AY338" i="1" s="1"/>
  <c r="AU339" i="1"/>
  <c r="AY339" i="1" s="1"/>
  <c r="AU340" i="1"/>
  <c r="AY340" i="1" s="1"/>
  <c r="AU341" i="1"/>
  <c r="AY341" i="1" s="1"/>
  <c r="AU342" i="1"/>
  <c r="AY342" i="1" s="1"/>
  <c r="AU343" i="1"/>
  <c r="AY343" i="1" s="1"/>
  <c r="AU344" i="1"/>
  <c r="AY344" i="1" s="1"/>
  <c r="AU345" i="1"/>
  <c r="AY345" i="1" s="1"/>
  <c r="AU346" i="1"/>
  <c r="AY346" i="1" s="1"/>
  <c r="AU347" i="1"/>
  <c r="AY347" i="1" s="1"/>
  <c r="AU348" i="1"/>
  <c r="AY348" i="1" s="1"/>
  <c r="AU349" i="1"/>
  <c r="AY349" i="1" s="1"/>
  <c r="AU350" i="1"/>
  <c r="AY350" i="1" s="1"/>
  <c r="AU351" i="1"/>
  <c r="AY351" i="1" s="1"/>
  <c r="AU352" i="1"/>
  <c r="AY352" i="1" s="1"/>
  <c r="AU353" i="1"/>
  <c r="AY353" i="1" s="1"/>
  <c r="AU354" i="1"/>
  <c r="AY354" i="1" s="1"/>
  <c r="AU355" i="1"/>
  <c r="AY355" i="1" s="1"/>
  <c r="AU356" i="1"/>
  <c r="AY356" i="1" s="1"/>
  <c r="AU357" i="1"/>
  <c r="AY357" i="1" s="1"/>
  <c r="AU358" i="1"/>
  <c r="AY358" i="1" s="1"/>
  <c r="AU359" i="1"/>
  <c r="AY359" i="1" s="1"/>
  <c r="AU360" i="1"/>
  <c r="AY360" i="1" s="1"/>
  <c r="AU361" i="1"/>
  <c r="AY361" i="1" s="1"/>
  <c r="AU362" i="1"/>
  <c r="AY362" i="1" s="1"/>
  <c r="AU363" i="1"/>
  <c r="AY363" i="1" s="1"/>
  <c r="AU364" i="1"/>
  <c r="AY364" i="1" s="1"/>
  <c r="AU365" i="1"/>
  <c r="AY365" i="1" s="1"/>
  <c r="AU366" i="1"/>
  <c r="AY366" i="1" s="1"/>
  <c r="AU367" i="1"/>
  <c r="AY367" i="1" s="1"/>
  <c r="AU368" i="1"/>
  <c r="AY368" i="1" s="1"/>
  <c r="AU369" i="1"/>
  <c r="AY369" i="1" s="1"/>
  <c r="AU370" i="1"/>
  <c r="AY370" i="1" s="1"/>
  <c r="AU371" i="1"/>
  <c r="AY371" i="1" s="1"/>
  <c r="AU372" i="1"/>
  <c r="AU373" i="1"/>
  <c r="AY373" i="1" s="1"/>
  <c r="AU374" i="1"/>
  <c r="AY374" i="1" s="1"/>
  <c r="AU375" i="1"/>
  <c r="AU376" i="1"/>
  <c r="AY376" i="1" s="1"/>
  <c r="AU377" i="1"/>
  <c r="AY377" i="1" s="1"/>
  <c r="AU378" i="1"/>
  <c r="AY378" i="1" s="1"/>
  <c r="AU379" i="1"/>
  <c r="AY379" i="1" s="1"/>
  <c r="AU380" i="1"/>
  <c r="AY380" i="1" s="1"/>
  <c r="AU381" i="1"/>
  <c r="AY381" i="1" s="1"/>
  <c r="AU382" i="1"/>
  <c r="AY382" i="1" s="1"/>
  <c r="AU383" i="1"/>
  <c r="AY383" i="1" s="1"/>
  <c r="AU384" i="1"/>
  <c r="AY384" i="1" s="1"/>
  <c r="AU385" i="1"/>
  <c r="AY385" i="1" s="1"/>
  <c r="AU386" i="1"/>
  <c r="AY386" i="1" s="1"/>
  <c r="AU387" i="1"/>
  <c r="AY387" i="1" s="1"/>
  <c r="AU388" i="1"/>
  <c r="AY388" i="1" s="1"/>
  <c r="AU389" i="1"/>
  <c r="AY389" i="1" s="1"/>
  <c r="AU390" i="1"/>
  <c r="AY390" i="1" s="1"/>
  <c r="AU391" i="1"/>
  <c r="AY391" i="1" s="1"/>
  <c r="AU392" i="1"/>
  <c r="AY392" i="1" s="1"/>
  <c r="AU393" i="1"/>
  <c r="AY393" i="1" s="1"/>
  <c r="AU394" i="1"/>
  <c r="AY394" i="1" s="1"/>
  <c r="AU395" i="1"/>
  <c r="AY395" i="1" s="1"/>
  <c r="AU396" i="1"/>
  <c r="AY396" i="1" s="1"/>
  <c r="AU397" i="1"/>
  <c r="AY397" i="1" s="1"/>
  <c r="AU398" i="1"/>
  <c r="AY398" i="1" s="1"/>
  <c r="AU399" i="1"/>
  <c r="AY399" i="1" s="1"/>
  <c r="AU400" i="1"/>
  <c r="AY400" i="1" s="1"/>
  <c r="AU401" i="1"/>
  <c r="AY401" i="1" s="1"/>
  <c r="AU402" i="1"/>
  <c r="AY402" i="1" s="1"/>
  <c r="AU403" i="1"/>
  <c r="AY403" i="1" s="1"/>
  <c r="AU404" i="1"/>
  <c r="AY404" i="1" s="1"/>
  <c r="AU405" i="1"/>
  <c r="AY405" i="1" s="1"/>
  <c r="AU406" i="1"/>
  <c r="AY406" i="1" s="1"/>
  <c r="AU407" i="1"/>
  <c r="AY407" i="1" s="1"/>
  <c r="AU408" i="1"/>
  <c r="AY408" i="1" s="1"/>
  <c r="AU409" i="1"/>
  <c r="AY409" i="1" s="1"/>
  <c r="AU410" i="1"/>
  <c r="AY410" i="1" s="1"/>
  <c r="AU411" i="1"/>
  <c r="AY411" i="1" s="1"/>
  <c r="AU412" i="1"/>
  <c r="AY412" i="1" s="1"/>
  <c r="AU413" i="1"/>
  <c r="AY413" i="1" s="1"/>
  <c r="AU414" i="1"/>
  <c r="AY414" i="1" s="1"/>
  <c r="AU415" i="1"/>
  <c r="AY415" i="1" s="1"/>
  <c r="AU416" i="1"/>
  <c r="AY416" i="1" s="1"/>
  <c r="AU417" i="1"/>
  <c r="AY417" i="1" s="1"/>
  <c r="AU418" i="1"/>
  <c r="AY418" i="1" s="1"/>
  <c r="AU419" i="1"/>
  <c r="AY419" i="1" s="1"/>
  <c r="AU420" i="1"/>
  <c r="AY420" i="1" s="1"/>
  <c r="AU421" i="1"/>
  <c r="AY421" i="1" s="1"/>
  <c r="AU422" i="1"/>
  <c r="AY422" i="1" s="1"/>
  <c r="AU423" i="1"/>
  <c r="AY423" i="1" s="1"/>
  <c r="AU424" i="1"/>
  <c r="AY424" i="1" s="1"/>
  <c r="AU425" i="1"/>
  <c r="AY425" i="1" s="1"/>
  <c r="AU426" i="1"/>
  <c r="AY426" i="1" s="1"/>
  <c r="AU427" i="1"/>
  <c r="AY427" i="1" s="1"/>
  <c r="AU428" i="1"/>
  <c r="AY428" i="1" s="1"/>
  <c r="AU429" i="1"/>
  <c r="AY429" i="1" s="1"/>
  <c r="AU430" i="1"/>
  <c r="AY430" i="1" s="1"/>
  <c r="AU431" i="1"/>
  <c r="AY431" i="1" s="1"/>
  <c r="AU432" i="1"/>
  <c r="AY432" i="1" s="1"/>
  <c r="AU433" i="1"/>
  <c r="AY433" i="1" s="1"/>
  <c r="AU434" i="1"/>
  <c r="AY434" i="1" s="1"/>
  <c r="AU435" i="1"/>
  <c r="AY435" i="1" s="1"/>
  <c r="AU436" i="1"/>
  <c r="AY436" i="1" s="1"/>
  <c r="AU437" i="1"/>
  <c r="AY437" i="1" s="1"/>
  <c r="AU438" i="1"/>
  <c r="AY438" i="1" s="1"/>
  <c r="AU439" i="1"/>
  <c r="AY439" i="1" s="1"/>
  <c r="AU440" i="1"/>
  <c r="AY440" i="1" s="1"/>
  <c r="AU441" i="1"/>
  <c r="AY441" i="1" s="1"/>
  <c r="AU442" i="1"/>
  <c r="AY442" i="1" s="1"/>
  <c r="AU443" i="1"/>
  <c r="AY443" i="1" s="1"/>
  <c r="AU444" i="1"/>
  <c r="AY444" i="1" s="1"/>
  <c r="AU445" i="1"/>
  <c r="AY445" i="1" s="1"/>
  <c r="AU446" i="1"/>
  <c r="AY446" i="1" s="1"/>
  <c r="AU447" i="1"/>
  <c r="AY447" i="1" s="1"/>
  <c r="AU448" i="1"/>
  <c r="AY448" i="1" s="1"/>
  <c r="AU449" i="1"/>
  <c r="AY449" i="1" s="1"/>
  <c r="AU450" i="1"/>
  <c r="AY450" i="1" s="1"/>
  <c r="AU451" i="1"/>
  <c r="AY451" i="1" s="1"/>
  <c r="AU452" i="1"/>
  <c r="AY452" i="1" s="1"/>
  <c r="AU453" i="1"/>
  <c r="AY453" i="1" s="1"/>
  <c r="AU454" i="1"/>
  <c r="AY454" i="1" s="1"/>
  <c r="AU455" i="1"/>
  <c r="AY455" i="1" s="1"/>
  <c r="AU456" i="1"/>
  <c r="AY456" i="1" s="1"/>
  <c r="AU457" i="1"/>
  <c r="AY457" i="1" s="1"/>
  <c r="AU458" i="1"/>
  <c r="AY458" i="1" s="1"/>
  <c r="AU459" i="1"/>
  <c r="AY459" i="1" s="1"/>
  <c r="AU460" i="1"/>
  <c r="AY460" i="1" s="1"/>
  <c r="AU461" i="1"/>
  <c r="AY461" i="1" s="1"/>
  <c r="AU462" i="1"/>
  <c r="AU463" i="1"/>
  <c r="AY463" i="1" s="1"/>
  <c r="AU464" i="1"/>
  <c r="AY464" i="1" s="1"/>
  <c r="AU465" i="1"/>
  <c r="AY465" i="1" s="1"/>
  <c r="AU466" i="1"/>
  <c r="AY466" i="1" s="1"/>
  <c r="AU467" i="1"/>
  <c r="AY467" i="1" s="1"/>
  <c r="AU468" i="1"/>
  <c r="AY468" i="1" s="1"/>
  <c r="AU469" i="1"/>
  <c r="AY469" i="1" s="1"/>
  <c r="AU470" i="1"/>
  <c r="AY470" i="1" s="1"/>
  <c r="AU471" i="1"/>
  <c r="AY471" i="1" s="1"/>
  <c r="AU472" i="1"/>
  <c r="AY472" i="1" s="1"/>
  <c r="AU473" i="1"/>
  <c r="AY473" i="1" s="1"/>
  <c r="AU474" i="1"/>
  <c r="AY474" i="1" s="1"/>
  <c r="AU475" i="1"/>
  <c r="AY475" i="1" s="1"/>
  <c r="AU476" i="1"/>
  <c r="AY476" i="1" s="1"/>
  <c r="AU477" i="1"/>
  <c r="AY477" i="1" s="1"/>
  <c r="AU478" i="1"/>
  <c r="AY478" i="1" s="1"/>
  <c r="AU479" i="1"/>
  <c r="AY479" i="1" s="1"/>
  <c r="AU480" i="1"/>
  <c r="AY480" i="1" s="1"/>
  <c r="AU481" i="1"/>
  <c r="AU482" i="1"/>
  <c r="AY482" i="1" s="1"/>
  <c r="AU483" i="1"/>
  <c r="AY483" i="1" s="1"/>
  <c r="AU484" i="1"/>
  <c r="AY484" i="1" s="1"/>
  <c r="AU485" i="1"/>
  <c r="AY485" i="1" s="1"/>
  <c r="AU486" i="1"/>
  <c r="AY486" i="1" s="1"/>
  <c r="AU487" i="1"/>
  <c r="AY487" i="1" s="1"/>
  <c r="AU488" i="1"/>
  <c r="AY488" i="1" s="1"/>
  <c r="AU489" i="1"/>
  <c r="AY489" i="1" s="1"/>
  <c r="AU490" i="1"/>
  <c r="AY490" i="1" s="1"/>
  <c r="AU491" i="1"/>
  <c r="AY491" i="1" s="1"/>
  <c r="AU492" i="1"/>
  <c r="AY492" i="1" s="1"/>
  <c r="AU493" i="1"/>
  <c r="AY493" i="1" s="1"/>
  <c r="AU494" i="1"/>
  <c r="AY494" i="1" s="1"/>
  <c r="AU495" i="1"/>
  <c r="AY495" i="1" s="1"/>
  <c r="AU496" i="1"/>
  <c r="AY496" i="1" s="1"/>
  <c r="AU497" i="1"/>
  <c r="AY497" i="1" s="1"/>
  <c r="AU498" i="1"/>
  <c r="AY498" i="1" s="1"/>
  <c r="AU499" i="1"/>
  <c r="AY499" i="1" s="1"/>
  <c r="AU500" i="1"/>
  <c r="AY500" i="1" s="1"/>
  <c r="AU501" i="1"/>
  <c r="AY501" i="1" s="1"/>
  <c r="AU502" i="1"/>
  <c r="AY502" i="1" s="1"/>
  <c r="AU503" i="1"/>
  <c r="AY503" i="1" s="1"/>
  <c r="AU504" i="1"/>
  <c r="AY504" i="1" s="1"/>
  <c r="AU505" i="1"/>
  <c r="AY505" i="1" s="1"/>
  <c r="AU506" i="1"/>
  <c r="AY506" i="1" s="1"/>
  <c r="AU507" i="1"/>
  <c r="AY507" i="1" s="1"/>
  <c r="AU508" i="1"/>
  <c r="AY508" i="1" s="1"/>
  <c r="AU509" i="1"/>
  <c r="AY509" i="1" s="1"/>
  <c r="AU510" i="1"/>
  <c r="AY510" i="1" s="1"/>
  <c r="AU511" i="1"/>
  <c r="AY511" i="1" s="1"/>
  <c r="AU512" i="1"/>
  <c r="AU513" i="1"/>
  <c r="AY513" i="1" s="1"/>
  <c r="AU514" i="1"/>
  <c r="AY514" i="1" s="1"/>
  <c r="AU515" i="1"/>
  <c r="AY515" i="1" s="1"/>
  <c r="AU516" i="1"/>
  <c r="AY516" i="1" s="1"/>
  <c r="AU517" i="1"/>
  <c r="AY517" i="1" s="1"/>
  <c r="AU518" i="1"/>
  <c r="AY518" i="1" s="1"/>
  <c r="AU519" i="1"/>
  <c r="AY519" i="1" s="1"/>
  <c r="AU520" i="1"/>
  <c r="AY520" i="1" s="1"/>
  <c r="AU521" i="1"/>
  <c r="AY521" i="1" s="1"/>
  <c r="AU522" i="1"/>
  <c r="AY522" i="1" s="1"/>
  <c r="AU523" i="1"/>
  <c r="AY523" i="1" s="1"/>
  <c r="AU524" i="1"/>
  <c r="AY524" i="1" s="1"/>
  <c r="AU525" i="1"/>
  <c r="AY525" i="1" s="1"/>
  <c r="AU526" i="1"/>
  <c r="AY526" i="1" s="1"/>
  <c r="AU527" i="1"/>
  <c r="AY527" i="1" s="1"/>
  <c r="AU528" i="1"/>
  <c r="AY528" i="1" s="1"/>
  <c r="AU529" i="1"/>
  <c r="AY529" i="1" s="1"/>
  <c r="AU530" i="1"/>
  <c r="AY530" i="1" s="1"/>
  <c r="AU531" i="1"/>
  <c r="AY531" i="1" s="1"/>
  <c r="AU532" i="1"/>
  <c r="AY532" i="1" s="1"/>
  <c r="AU533" i="1"/>
  <c r="AY533" i="1" s="1"/>
  <c r="AU534" i="1"/>
  <c r="AY534" i="1" s="1"/>
  <c r="AU535" i="1"/>
  <c r="AY535" i="1" s="1"/>
  <c r="AU536" i="1"/>
  <c r="AY536" i="1" s="1"/>
  <c r="AU537" i="1"/>
  <c r="AY537" i="1" s="1"/>
  <c r="AU538" i="1"/>
  <c r="AY538" i="1" s="1"/>
  <c r="AU539" i="1"/>
  <c r="AY539" i="1" s="1"/>
  <c r="AU540" i="1"/>
  <c r="AY540" i="1" s="1"/>
  <c r="AU541" i="1"/>
  <c r="AY541" i="1" s="1"/>
  <c r="AU542" i="1"/>
  <c r="AY542" i="1" s="1"/>
  <c r="AU543" i="1"/>
  <c r="AY543" i="1" s="1"/>
  <c r="AU544" i="1"/>
  <c r="AY544" i="1" s="1"/>
  <c r="AU545" i="1"/>
  <c r="AY545" i="1" s="1"/>
  <c r="AU546" i="1"/>
  <c r="AY546" i="1" s="1"/>
  <c r="AU547" i="1"/>
  <c r="AY547" i="1" s="1"/>
  <c r="AU548" i="1"/>
  <c r="AY548" i="1" s="1"/>
  <c r="AU549" i="1"/>
  <c r="AY549" i="1" s="1"/>
  <c r="AU550" i="1"/>
  <c r="AY550" i="1" s="1"/>
  <c r="AU551" i="1"/>
  <c r="AY551" i="1" s="1"/>
  <c r="AU552" i="1"/>
  <c r="AY552" i="1" s="1"/>
  <c r="AU553" i="1"/>
  <c r="AY553" i="1" s="1"/>
  <c r="AU554" i="1"/>
  <c r="AY554" i="1" s="1"/>
  <c r="AU555" i="1"/>
  <c r="AY555" i="1" s="1"/>
  <c r="AU556" i="1"/>
  <c r="AY556" i="1" s="1"/>
  <c r="AU557" i="1"/>
  <c r="AY557" i="1" s="1"/>
  <c r="AU558" i="1"/>
  <c r="AY558" i="1" s="1"/>
  <c r="AU559" i="1"/>
  <c r="AY559" i="1" s="1"/>
  <c r="AU560" i="1"/>
  <c r="AY560" i="1" s="1"/>
  <c r="AU561" i="1"/>
  <c r="AY561" i="1" s="1"/>
  <c r="AU562" i="1"/>
  <c r="AY562" i="1" s="1"/>
  <c r="AU563" i="1"/>
  <c r="AY563" i="1" s="1"/>
  <c r="AU564" i="1"/>
  <c r="AY564" i="1" s="1"/>
  <c r="AU565" i="1"/>
  <c r="AY565" i="1" s="1"/>
  <c r="AU566" i="1"/>
  <c r="AY566" i="1" s="1"/>
  <c r="AU567" i="1"/>
  <c r="AY567" i="1" s="1"/>
  <c r="AU568" i="1"/>
  <c r="AY568" i="1" s="1"/>
  <c r="AU569" i="1"/>
  <c r="AY569" i="1" s="1"/>
  <c r="AU570" i="1"/>
  <c r="AY570" i="1" s="1"/>
  <c r="AU571" i="1"/>
  <c r="AY571" i="1" s="1"/>
  <c r="AU572" i="1"/>
  <c r="AY572" i="1" s="1"/>
  <c r="AU573" i="1"/>
  <c r="AY573" i="1" s="1"/>
  <c r="AU574" i="1"/>
  <c r="AY574" i="1" s="1"/>
  <c r="AU575" i="1"/>
  <c r="AY575" i="1" s="1"/>
  <c r="AU576" i="1"/>
  <c r="AY576" i="1" s="1"/>
  <c r="AU577" i="1"/>
  <c r="AY577" i="1" s="1"/>
  <c r="AU578" i="1"/>
  <c r="AY578" i="1" s="1"/>
  <c r="AU579" i="1"/>
  <c r="AY579" i="1" s="1"/>
  <c r="AU580" i="1"/>
  <c r="AY580" i="1" s="1"/>
  <c r="AU581" i="1"/>
  <c r="AY581" i="1" s="1"/>
  <c r="AU582" i="1"/>
  <c r="AY582" i="1" s="1"/>
  <c r="AU583" i="1"/>
  <c r="AY583" i="1" s="1"/>
  <c r="AU584" i="1"/>
  <c r="AY584" i="1" s="1"/>
  <c r="AU585" i="1"/>
  <c r="AY585" i="1" s="1"/>
  <c r="AU586" i="1"/>
  <c r="AY586" i="1" s="1"/>
  <c r="AU587" i="1"/>
  <c r="AY587" i="1" s="1"/>
  <c r="AU588" i="1"/>
  <c r="AY588" i="1" s="1"/>
  <c r="AU589" i="1"/>
  <c r="AY589" i="1" s="1"/>
  <c r="AU590" i="1"/>
  <c r="AY590" i="1" s="1"/>
  <c r="AU591" i="1"/>
  <c r="AY591" i="1" s="1"/>
  <c r="AU592" i="1"/>
  <c r="AY592" i="1" s="1"/>
  <c r="AU593" i="1"/>
  <c r="AY593" i="1" s="1"/>
  <c r="AU594" i="1"/>
  <c r="AU595" i="1"/>
  <c r="AY595" i="1" s="1"/>
  <c r="AU596" i="1"/>
  <c r="AY596" i="1" s="1"/>
  <c r="AU597" i="1"/>
  <c r="AY597" i="1" s="1"/>
  <c r="AU598" i="1"/>
  <c r="AY598" i="1" s="1"/>
  <c r="AU599" i="1"/>
  <c r="AY599" i="1" s="1"/>
  <c r="AU600" i="1"/>
  <c r="AY600" i="1" s="1"/>
  <c r="AU601" i="1"/>
  <c r="AY601" i="1" s="1"/>
  <c r="AU602" i="1"/>
  <c r="AY602" i="1" s="1"/>
  <c r="AU603" i="1"/>
  <c r="AY603" i="1" s="1"/>
  <c r="AU604" i="1"/>
  <c r="AY604" i="1" s="1"/>
  <c r="AU605" i="1"/>
  <c r="AY605" i="1" s="1"/>
  <c r="AU606" i="1"/>
  <c r="AY606" i="1" s="1"/>
  <c r="AU607" i="1"/>
  <c r="AY607" i="1" s="1"/>
  <c r="AU608" i="1"/>
  <c r="AY608" i="1" s="1"/>
  <c r="AU609" i="1"/>
  <c r="AY609" i="1" s="1"/>
  <c r="AU610" i="1"/>
  <c r="AY610" i="1" s="1"/>
  <c r="AU611" i="1"/>
  <c r="AY611" i="1" s="1"/>
  <c r="AU612" i="1"/>
  <c r="AY612" i="1" s="1"/>
  <c r="AU613" i="1"/>
  <c r="AY613" i="1" s="1"/>
  <c r="AU614" i="1"/>
  <c r="AY614" i="1" s="1"/>
  <c r="AU615" i="1"/>
  <c r="AY615" i="1" s="1"/>
  <c r="AU616" i="1"/>
  <c r="AY616" i="1" s="1"/>
  <c r="AU617" i="1"/>
  <c r="AY617" i="1" s="1"/>
  <c r="AU618" i="1"/>
  <c r="AY618" i="1" s="1"/>
  <c r="AU619" i="1"/>
  <c r="AY619" i="1" s="1"/>
  <c r="AU620" i="1"/>
  <c r="AY620" i="1" s="1"/>
  <c r="AU621" i="1"/>
  <c r="AY621" i="1" s="1"/>
  <c r="AU622" i="1"/>
  <c r="AY622" i="1" s="1"/>
  <c r="AU623" i="1"/>
  <c r="AY623" i="1" s="1"/>
  <c r="AU624" i="1"/>
  <c r="AY624" i="1" s="1"/>
  <c r="AU625" i="1"/>
  <c r="AY625" i="1" s="1"/>
  <c r="AU626" i="1"/>
  <c r="AY626" i="1" s="1"/>
  <c r="AU627" i="1"/>
  <c r="AY627" i="1" s="1"/>
  <c r="AU628" i="1"/>
  <c r="AY628" i="1" s="1"/>
  <c r="AU629" i="1"/>
  <c r="AY629" i="1" s="1"/>
  <c r="AU630" i="1"/>
  <c r="AY630" i="1" s="1"/>
  <c r="AU631" i="1"/>
  <c r="AY631" i="1" s="1"/>
  <c r="AU632" i="1"/>
  <c r="AY632" i="1" s="1"/>
  <c r="AU633" i="1"/>
  <c r="AY633" i="1" s="1"/>
  <c r="AU634" i="1"/>
  <c r="AY634" i="1" s="1"/>
  <c r="AU635" i="1"/>
  <c r="AY635" i="1" s="1"/>
  <c r="AU636" i="1"/>
  <c r="AY636" i="1" s="1"/>
  <c r="AU637" i="1"/>
  <c r="AY637" i="1" s="1"/>
  <c r="AU638" i="1"/>
  <c r="AY638" i="1" s="1"/>
  <c r="AU639" i="1"/>
  <c r="AY639" i="1" s="1"/>
  <c r="AU640" i="1"/>
  <c r="AY640" i="1" s="1"/>
  <c r="AU641" i="1"/>
  <c r="AY641" i="1" s="1"/>
  <c r="AU642" i="1"/>
  <c r="AY642" i="1" s="1"/>
  <c r="AU643" i="1"/>
  <c r="AY643" i="1" s="1"/>
  <c r="AU644" i="1"/>
  <c r="AY644" i="1" s="1"/>
  <c r="AU645" i="1"/>
  <c r="AY645" i="1" s="1"/>
  <c r="AU646" i="1"/>
  <c r="AY646" i="1" s="1"/>
  <c r="AU647" i="1"/>
  <c r="AY647" i="1" s="1"/>
  <c r="AU648" i="1"/>
  <c r="AY648" i="1" s="1"/>
  <c r="AU649" i="1"/>
  <c r="AY649" i="1" s="1"/>
  <c r="AU650" i="1"/>
  <c r="AY650" i="1" s="1"/>
  <c r="AU651" i="1"/>
  <c r="AY651" i="1" s="1"/>
  <c r="AU652" i="1"/>
  <c r="AY652" i="1" s="1"/>
  <c r="AU653" i="1"/>
  <c r="AY653" i="1" s="1"/>
  <c r="AU654" i="1"/>
  <c r="AY654" i="1" s="1"/>
  <c r="AU655" i="1"/>
  <c r="AY655" i="1" s="1"/>
  <c r="AU656" i="1"/>
  <c r="AY656" i="1" s="1"/>
  <c r="AU657" i="1"/>
  <c r="AY657" i="1" s="1"/>
  <c r="AU658" i="1"/>
  <c r="AY658" i="1" s="1"/>
  <c r="AU659" i="1"/>
  <c r="AY659" i="1" s="1"/>
  <c r="AU660" i="1"/>
  <c r="AY660" i="1" s="1"/>
  <c r="AU661" i="1"/>
  <c r="AY661" i="1" s="1"/>
  <c r="AU662" i="1"/>
  <c r="AY662" i="1" s="1"/>
  <c r="AU663" i="1"/>
  <c r="AY663" i="1" s="1"/>
  <c r="AU664" i="1"/>
  <c r="AY664" i="1" s="1"/>
  <c r="AU665" i="1"/>
  <c r="AY665" i="1" s="1"/>
  <c r="AU666" i="1"/>
  <c r="AY666" i="1" s="1"/>
  <c r="AU667" i="1"/>
  <c r="AY667" i="1" s="1"/>
  <c r="AU668" i="1"/>
  <c r="AY668" i="1" s="1"/>
  <c r="AU669" i="1"/>
  <c r="AY669" i="1" s="1"/>
  <c r="AU670" i="1"/>
  <c r="AY670" i="1" s="1"/>
  <c r="AU671" i="1"/>
  <c r="AY671" i="1" s="1"/>
  <c r="AU672" i="1"/>
  <c r="AY672" i="1" s="1"/>
  <c r="AU673" i="1"/>
  <c r="AY673" i="1" s="1"/>
  <c r="AU674" i="1"/>
  <c r="AY674" i="1" s="1"/>
  <c r="AU675" i="1"/>
  <c r="AY675" i="1" s="1"/>
  <c r="AU676" i="1"/>
  <c r="AY676" i="1" s="1"/>
  <c r="AU677" i="1"/>
  <c r="AY677" i="1" s="1"/>
  <c r="AU678" i="1"/>
  <c r="AY678" i="1" s="1"/>
  <c r="AU679" i="1"/>
  <c r="AY679" i="1" s="1"/>
  <c r="AU680" i="1"/>
  <c r="AY680" i="1" s="1"/>
  <c r="AU681" i="1"/>
  <c r="AY681" i="1" s="1"/>
  <c r="AU682" i="1"/>
  <c r="AY682" i="1" s="1"/>
  <c r="AU683" i="1"/>
  <c r="AY683" i="1" s="1"/>
  <c r="AU684" i="1"/>
  <c r="AY684" i="1" s="1"/>
  <c r="AU685" i="1"/>
  <c r="AY685" i="1" s="1"/>
  <c r="AU686" i="1"/>
  <c r="AY686" i="1" s="1"/>
  <c r="AU687" i="1"/>
  <c r="AY687" i="1" s="1"/>
  <c r="AU688" i="1"/>
  <c r="AY688" i="1" s="1"/>
  <c r="AU689" i="1"/>
  <c r="AY689" i="1" s="1"/>
  <c r="AU690" i="1"/>
  <c r="AY690" i="1" s="1"/>
  <c r="AU691" i="1"/>
  <c r="AY691" i="1" s="1"/>
  <c r="AU692" i="1"/>
  <c r="AY692" i="1" s="1"/>
  <c r="AU693" i="1"/>
  <c r="AY693" i="1" s="1"/>
  <c r="AU694" i="1"/>
  <c r="AY694" i="1" s="1"/>
  <c r="AU695" i="1"/>
  <c r="AY695" i="1" s="1"/>
  <c r="AU696" i="1"/>
  <c r="AU697" i="1"/>
  <c r="AY697" i="1" s="1"/>
  <c r="AU698" i="1"/>
  <c r="AY698" i="1" s="1"/>
  <c r="AU699" i="1"/>
  <c r="AY699" i="1" s="1"/>
  <c r="AU700" i="1"/>
  <c r="AY700" i="1" s="1"/>
  <c r="AU701" i="1"/>
  <c r="AY701" i="1" s="1"/>
  <c r="AU702" i="1"/>
  <c r="AY702" i="1" s="1"/>
  <c r="AU703" i="1"/>
  <c r="AY703" i="1" s="1"/>
  <c r="AU704" i="1"/>
  <c r="AY704" i="1" s="1"/>
  <c r="AU705" i="1"/>
  <c r="AY705" i="1" s="1"/>
  <c r="AU706" i="1"/>
  <c r="AY706" i="1" s="1"/>
  <c r="AU707" i="1"/>
  <c r="AY707" i="1" s="1"/>
  <c r="AU708" i="1"/>
  <c r="AY708" i="1" s="1"/>
  <c r="AU709" i="1"/>
  <c r="AY709" i="1" s="1"/>
  <c r="AU710" i="1"/>
  <c r="AY710" i="1" s="1"/>
  <c r="AU711" i="1"/>
  <c r="AY711" i="1" s="1"/>
  <c r="AU712" i="1"/>
  <c r="AY712" i="1" s="1"/>
  <c r="AU713" i="1"/>
  <c r="AY713" i="1" s="1"/>
  <c r="AU714" i="1"/>
  <c r="AY714" i="1" s="1"/>
  <c r="AU715" i="1"/>
  <c r="AY715" i="1" s="1"/>
  <c r="AU716" i="1"/>
  <c r="AY716" i="1" s="1"/>
  <c r="AU717" i="1"/>
  <c r="AY717" i="1" s="1"/>
  <c r="AU718" i="1"/>
  <c r="AY718" i="1" s="1"/>
  <c r="AU719" i="1"/>
  <c r="AY719" i="1" s="1"/>
  <c r="AU720" i="1"/>
  <c r="AY720" i="1" s="1"/>
  <c r="AU721" i="1"/>
  <c r="AY721" i="1" s="1"/>
  <c r="AU722" i="1"/>
  <c r="AY722" i="1" s="1"/>
  <c r="AU723" i="1"/>
  <c r="AY723" i="1" s="1"/>
  <c r="AU724" i="1"/>
  <c r="AY724" i="1" s="1"/>
  <c r="AU725" i="1"/>
  <c r="AY725" i="1" s="1"/>
  <c r="AU726" i="1"/>
  <c r="AY726" i="1" s="1"/>
  <c r="AU727" i="1"/>
  <c r="AY727" i="1" s="1"/>
  <c r="AU728" i="1"/>
  <c r="AY728" i="1" s="1"/>
  <c r="AU729" i="1"/>
  <c r="AY729" i="1" s="1"/>
  <c r="AU730" i="1"/>
  <c r="AY730" i="1" s="1"/>
  <c r="AU731" i="1"/>
  <c r="AY731" i="1" s="1"/>
  <c r="AU732" i="1"/>
  <c r="AY732" i="1" s="1"/>
  <c r="AU733" i="1"/>
  <c r="AY733" i="1" s="1"/>
  <c r="AU734" i="1"/>
  <c r="AY734" i="1" s="1"/>
  <c r="AU735" i="1"/>
  <c r="AY735" i="1" s="1"/>
  <c r="AU736" i="1"/>
  <c r="AY736" i="1" s="1"/>
  <c r="AU737" i="1"/>
  <c r="AY737" i="1" s="1"/>
  <c r="AU738" i="1"/>
  <c r="AY738" i="1" s="1"/>
  <c r="AU739" i="1"/>
  <c r="AY739" i="1" s="1"/>
  <c r="AU740" i="1"/>
  <c r="AY740" i="1" s="1"/>
  <c r="AU741" i="1"/>
  <c r="AY741" i="1" s="1"/>
  <c r="AU742" i="1"/>
  <c r="AY742" i="1" s="1"/>
  <c r="AU743" i="1"/>
  <c r="AY743" i="1" s="1"/>
  <c r="AU744" i="1"/>
  <c r="AY744" i="1" s="1"/>
  <c r="AU745" i="1"/>
  <c r="AU746" i="1"/>
  <c r="AY746" i="1" s="1"/>
  <c r="AU747" i="1"/>
  <c r="AY747" i="1" s="1"/>
  <c r="AU748" i="1"/>
  <c r="AY748" i="1" s="1"/>
  <c r="AU749" i="1"/>
  <c r="AY749" i="1" s="1"/>
  <c r="AU750" i="1"/>
  <c r="AY750" i="1" s="1"/>
  <c r="AU751" i="1"/>
  <c r="AY751" i="1" s="1"/>
  <c r="AU752" i="1"/>
  <c r="AY752" i="1" s="1"/>
  <c r="AU753" i="1"/>
  <c r="AY753" i="1" s="1"/>
  <c r="AU754" i="1"/>
  <c r="AY754" i="1" s="1"/>
  <c r="AU755" i="1"/>
  <c r="AY755" i="1" s="1"/>
  <c r="AU756" i="1"/>
  <c r="AY756" i="1" s="1"/>
  <c r="AU757" i="1"/>
  <c r="AY757" i="1" s="1"/>
  <c r="AU758" i="1"/>
  <c r="AY758" i="1" s="1"/>
  <c r="AU759" i="1"/>
  <c r="AY759" i="1" s="1"/>
  <c r="AU760" i="1"/>
  <c r="AY760" i="1" s="1"/>
  <c r="AU761" i="1"/>
  <c r="AY761" i="1" s="1"/>
  <c r="AU762" i="1"/>
  <c r="AY762" i="1" s="1"/>
  <c r="AU763" i="1"/>
  <c r="AY763" i="1" s="1"/>
  <c r="AU764" i="1"/>
  <c r="AY764" i="1" s="1"/>
  <c r="AU765" i="1"/>
  <c r="AY765" i="1" s="1"/>
  <c r="AU766" i="1"/>
  <c r="AY766" i="1" s="1"/>
  <c r="AU767" i="1"/>
  <c r="AY767" i="1" s="1"/>
  <c r="AU768" i="1"/>
  <c r="AY768" i="1" s="1"/>
  <c r="AU769" i="1"/>
  <c r="AY769" i="1" s="1"/>
  <c r="AU770" i="1"/>
  <c r="AY770" i="1" s="1"/>
  <c r="AU771" i="1"/>
  <c r="AY771" i="1" s="1"/>
  <c r="AU772" i="1"/>
  <c r="AY772" i="1" s="1"/>
  <c r="AU773" i="1"/>
  <c r="AY773" i="1" s="1"/>
  <c r="AU774" i="1"/>
  <c r="AY774" i="1" s="1"/>
  <c r="AU775" i="1"/>
  <c r="AY775" i="1" s="1"/>
  <c r="AU776" i="1"/>
  <c r="AY776" i="1" s="1"/>
  <c r="AU777" i="1"/>
  <c r="AY777" i="1" s="1"/>
  <c r="AU778" i="1"/>
  <c r="AY778" i="1" s="1"/>
  <c r="AU779" i="1"/>
  <c r="AY779" i="1" s="1"/>
  <c r="AU780" i="1"/>
  <c r="AY780" i="1" s="1"/>
  <c r="AU781" i="1"/>
  <c r="AY781" i="1" s="1"/>
  <c r="AU782" i="1"/>
  <c r="AY782" i="1" s="1"/>
  <c r="AU783" i="1"/>
  <c r="AY783" i="1" s="1"/>
  <c r="AU784" i="1"/>
  <c r="AY784" i="1" s="1"/>
  <c r="AU785" i="1"/>
  <c r="AY785" i="1" s="1"/>
  <c r="AU786" i="1"/>
  <c r="AY786" i="1" s="1"/>
  <c r="AU787" i="1"/>
  <c r="AY787" i="1" s="1"/>
  <c r="AU788" i="1"/>
  <c r="AY788" i="1" s="1"/>
  <c r="AU789" i="1"/>
  <c r="AY789" i="1" s="1"/>
  <c r="AU790" i="1"/>
  <c r="AY790" i="1" s="1"/>
  <c r="AU791" i="1"/>
  <c r="AY791" i="1" s="1"/>
  <c r="AU792" i="1"/>
  <c r="AY792" i="1" s="1"/>
  <c r="AU793" i="1"/>
  <c r="AY793" i="1" s="1"/>
  <c r="AU794" i="1"/>
  <c r="AY794" i="1" s="1"/>
  <c r="AU795" i="1"/>
  <c r="AY795" i="1" s="1"/>
  <c r="AU796" i="1"/>
  <c r="AY796" i="1" s="1"/>
  <c r="AU797" i="1"/>
  <c r="AY797" i="1" s="1"/>
  <c r="AU798" i="1"/>
  <c r="AY798" i="1" s="1"/>
  <c r="AU799" i="1"/>
  <c r="AY799" i="1" s="1"/>
  <c r="AU800" i="1"/>
  <c r="AY800" i="1" s="1"/>
  <c r="AU801" i="1"/>
  <c r="AY801" i="1" s="1"/>
  <c r="AU802" i="1"/>
  <c r="AY802" i="1" s="1"/>
  <c r="AU803" i="1"/>
  <c r="AY803" i="1" s="1"/>
  <c r="AU804" i="1"/>
  <c r="AY804" i="1" s="1"/>
  <c r="AU805" i="1"/>
  <c r="AY805" i="1" s="1"/>
  <c r="AU806" i="1"/>
  <c r="AY806" i="1" s="1"/>
  <c r="AU807" i="1"/>
  <c r="AY807" i="1" s="1"/>
  <c r="AU808" i="1"/>
  <c r="AY808" i="1" s="1"/>
  <c r="AU809" i="1"/>
  <c r="AY809" i="1" s="1"/>
  <c r="AU810" i="1"/>
  <c r="AY810" i="1" s="1"/>
  <c r="AU811" i="1"/>
  <c r="AY811" i="1" s="1"/>
  <c r="AU812" i="1"/>
  <c r="AY812" i="1" s="1"/>
  <c r="AU813" i="1"/>
  <c r="AY813" i="1" s="1"/>
  <c r="AU814" i="1"/>
  <c r="AY814" i="1" s="1"/>
  <c r="AU815" i="1"/>
  <c r="AY815" i="1" s="1"/>
  <c r="AU816" i="1"/>
  <c r="AY816" i="1" s="1"/>
  <c r="AU817" i="1"/>
  <c r="AY817" i="1" s="1"/>
  <c r="AU818" i="1"/>
  <c r="AY818" i="1" s="1"/>
  <c r="AU819" i="1"/>
  <c r="AY819" i="1" s="1"/>
  <c r="AU820" i="1"/>
  <c r="AY820" i="1" s="1"/>
  <c r="AU821" i="1"/>
  <c r="AY821" i="1" s="1"/>
  <c r="AU822" i="1"/>
  <c r="AY822" i="1" s="1"/>
  <c r="AU823" i="1"/>
  <c r="AY823" i="1" s="1"/>
  <c r="AU824" i="1"/>
  <c r="AY824" i="1" s="1"/>
  <c r="AU825" i="1"/>
  <c r="AY825" i="1" s="1"/>
  <c r="AU826" i="1"/>
  <c r="AY826" i="1" s="1"/>
  <c r="AU827" i="1"/>
  <c r="AY827" i="1" s="1"/>
  <c r="AU828" i="1"/>
  <c r="AY828" i="1" s="1"/>
  <c r="AU829" i="1"/>
  <c r="AY829" i="1" s="1"/>
  <c r="AU830" i="1"/>
  <c r="AY830" i="1" s="1"/>
  <c r="AU831" i="1"/>
  <c r="AY831" i="1" s="1"/>
  <c r="AU832" i="1"/>
  <c r="AY832" i="1" s="1"/>
  <c r="AU833" i="1"/>
  <c r="AY833" i="1" s="1"/>
  <c r="AU834" i="1"/>
  <c r="AY834" i="1" s="1"/>
  <c r="AU835" i="1"/>
  <c r="AY835" i="1" s="1"/>
  <c r="AU836" i="1"/>
  <c r="AY836" i="1" s="1"/>
  <c r="AU837" i="1"/>
  <c r="AY837" i="1" s="1"/>
  <c r="AU838" i="1"/>
  <c r="AY838" i="1" s="1"/>
  <c r="AU839" i="1"/>
  <c r="AY839" i="1" s="1"/>
  <c r="AU840" i="1"/>
  <c r="AY840" i="1" s="1"/>
  <c r="AU841" i="1"/>
  <c r="AY841" i="1" s="1"/>
  <c r="AU842" i="1"/>
  <c r="AY842" i="1" s="1"/>
  <c r="AU843" i="1"/>
  <c r="AY843" i="1" s="1"/>
  <c r="AU844" i="1"/>
  <c r="AY844" i="1" s="1"/>
  <c r="AU845" i="1"/>
  <c r="AY845" i="1" s="1"/>
  <c r="AU846" i="1"/>
  <c r="AY846" i="1" s="1"/>
  <c r="AU847" i="1"/>
  <c r="AY847" i="1" s="1"/>
  <c r="AU848" i="1"/>
  <c r="AY848" i="1" s="1"/>
  <c r="AU849" i="1"/>
  <c r="AY849" i="1" s="1"/>
  <c r="AU850" i="1"/>
  <c r="AY850" i="1" s="1"/>
  <c r="AU851" i="1"/>
  <c r="AY851" i="1" s="1"/>
  <c r="AU852" i="1"/>
  <c r="AY852" i="1" s="1"/>
  <c r="AU853" i="1"/>
  <c r="AY853" i="1" s="1"/>
  <c r="AU854" i="1"/>
  <c r="AY854" i="1" s="1"/>
  <c r="AU855" i="1"/>
  <c r="AY855" i="1" s="1"/>
  <c r="AU856" i="1"/>
  <c r="AY856" i="1" s="1"/>
  <c r="AU857" i="1"/>
  <c r="AY857" i="1" s="1"/>
  <c r="AU858" i="1"/>
  <c r="AY858" i="1" s="1"/>
  <c r="AU859" i="1"/>
  <c r="AY859" i="1" s="1"/>
  <c r="AU860" i="1"/>
  <c r="AY860" i="1" s="1"/>
  <c r="AU861" i="1"/>
  <c r="AY861" i="1" s="1"/>
  <c r="AU862" i="1"/>
  <c r="AY862" i="1" s="1"/>
  <c r="AU863" i="1"/>
  <c r="AY863" i="1" s="1"/>
  <c r="AU864" i="1"/>
  <c r="AY864" i="1" s="1"/>
  <c r="AU865" i="1"/>
  <c r="AY865" i="1" s="1"/>
  <c r="AU866" i="1"/>
  <c r="AY866" i="1" s="1"/>
  <c r="AU867" i="1"/>
  <c r="AY867" i="1" s="1"/>
  <c r="AU868" i="1"/>
  <c r="AY868" i="1" s="1"/>
  <c r="AU869" i="1"/>
  <c r="AY869" i="1" s="1"/>
  <c r="AU870" i="1"/>
  <c r="AY870" i="1" s="1"/>
  <c r="AU871" i="1"/>
  <c r="AY871" i="1" s="1"/>
  <c r="AU872" i="1"/>
  <c r="AY872" i="1" s="1"/>
  <c r="AU873" i="1"/>
  <c r="AY873" i="1" s="1"/>
  <c r="AU874" i="1"/>
  <c r="AY874" i="1" s="1"/>
  <c r="AU875" i="1"/>
  <c r="AY875" i="1" s="1"/>
  <c r="AU876" i="1"/>
  <c r="AY876" i="1" s="1"/>
  <c r="AU877" i="1"/>
  <c r="AY877" i="1" s="1"/>
  <c r="AU878" i="1"/>
  <c r="AY878" i="1" s="1"/>
  <c r="AU879" i="1"/>
  <c r="AY879" i="1" s="1"/>
  <c r="AU880" i="1"/>
  <c r="AY880" i="1" s="1"/>
  <c r="AU881" i="1"/>
  <c r="AY881" i="1" s="1"/>
  <c r="AU882" i="1"/>
  <c r="AY882" i="1" s="1"/>
  <c r="AU883" i="1"/>
  <c r="AY883" i="1" s="1"/>
  <c r="AU884" i="1"/>
  <c r="AY884" i="1" s="1"/>
  <c r="AU885" i="1"/>
  <c r="AY885" i="1" s="1"/>
  <c r="AU886" i="1"/>
  <c r="AY886" i="1" s="1"/>
  <c r="AU887" i="1"/>
  <c r="AY887" i="1" s="1"/>
  <c r="AU888" i="1"/>
  <c r="AY888" i="1" s="1"/>
  <c r="AU889" i="1"/>
  <c r="AY889" i="1" s="1"/>
  <c r="AU890" i="1"/>
  <c r="AY890" i="1" s="1"/>
  <c r="AU891" i="1"/>
  <c r="AY891" i="1" s="1"/>
  <c r="AU892" i="1"/>
  <c r="AY892" i="1" s="1"/>
  <c r="AU893" i="1"/>
  <c r="AY893" i="1" s="1"/>
  <c r="AU894" i="1"/>
  <c r="AY894" i="1" s="1"/>
  <c r="AU895" i="1"/>
  <c r="AY895" i="1" s="1"/>
  <c r="AU896" i="1"/>
  <c r="AY896" i="1" s="1"/>
  <c r="AU897" i="1"/>
  <c r="AY897" i="1" s="1"/>
  <c r="AU898" i="1"/>
  <c r="AY898" i="1" s="1"/>
  <c r="AU899" i="1"/>
  <c r="AY899" i="1" s="1"/>
  <c r="AU900" i="1"/>
  <c r="AY900" i="1" s="1"/>
  <c r="AU901" i="1"/>
  <c r="AY901" i="1" s="1"/>
  <c r="AU902" i="1"/>
  <c r="AY902" i="1" s="1"/>
  <c r="AU903" i="1"/>
  <c r="AY903" i="1" s="1"/>
  <c r="AU904" i="1"/>
  <c r="AY904" i="1" s="1"/>
  <c r="AU905" i="1"/>
  <c r="AY905" i="1" s="1"/>
  <c r="AU906" i="1"/>
  <c r="AU907" i="1"/>
  <c r="AY907" i="1" s="1"/>
  <c r="AU908" i="1"/>
  <c r="AY908" i="1" s="1"/>
  <c r="AU909" i="1"/>
  <c r="AY909" i="1" s="1"/>
  <c r="AU910" i="1"/>
  <c r="AY910" i="1" s="1"/>
  <c r="AU911" i="1"/>
  <c r="AY911" i="1" s="1"/>
  <c r="AU912" i="1"/>
  <c r="AY912" i="1" s="1"/>
  <c r="AU913" i="1"/>
  <c r="AY913" i="1" s="1"/>
  <c r="AV913" i="1"/>
  <c r="AU914" i="1"/>
  <c r="AY914" i="1" s="1"/>
  <c r="AU915" i="1"/>
  <c r="AY915" i="1" s="1"/>
  <c r="AV915" i="1"/>
  <c r="AU916" i="1"/>
  <c r="AY916" i="1" s="1"/>
  <c r="AU917" i="1"/>
  <c r="AY917" i="1" s="1"/>
  <c r="AU918" i="1"/>
  <c r="AY918" i="1" s="1"/>
  <c r="AU919" i="1"/>
  <c r="AY919" i="1" s="1"/>
  <c r="AV919" i="1"/>
  <c r="AU920" i="1"/>
  <c r="AY920" i="1" s="1"/>
  <c r="AV920" i="1"/>
  <c r="AU921" i="1"/>
  <c r="AY921" i="1" s="1"/>
  <c r="AU922" i="1"/>
  <c r="AY922" i="1" s="1"/>
  <c r="AU923" i="1"/>
  <c r="AY923" i="1" s="1"/>
  <c r="AU924" i="1"/>
  <c r="AY924" i="1" s="1"/>
  <c r="AU925" i="1"/>
  <c r="AY925" i="1" s="1"/>
  <c r="AU926" i="1"/>
  <c r="AY926" i="1" s="1"/>
  <c r="AU927" i="1"/>
  <c r="AY927" i="1" s="1"/>
  <c r="AU928" i="1"/>
  <c r="AY928" i="1" s="1"/>
  <c r="AU929" i="1"/>
  <c r="AY929" i="1" s="1"/>
  <c r="AU930" i="1"/>
  <c r="AY930" i="1" s="1"/>
  <c r="AU931" i="1"/>
  <c r="AY931" i="1" s="1"/>
  <c r="AU932" i="1"/>
  <c r="AY932" i="1" s="1"/>
  <c r="AV932" i="1"/>
  <c r="AU933" i="1"/>
  <c r="AY933" i="1" s="1"/>
  <c r="AV933" i="1"/>
  <c r="AU2" i="1"/>
  <c r="AY2" i="1" s="1"/>
  <c r="AV917" i="1" l="1"/>
  <c r="AV2" i="1"/>
  <c r="AV926" i="1"/>
  <c r="AV183" i="1"/>
  <c r="AV186" i="1"/>
  <c r="AV190" i="1"/>
  <c r="AV196" i="1"/>
  <c r="AV201" i="1"/>
  <c r="AV922" i="1"/>
  <c r="AV927" i="1"/>
  <c r="AV929" i="1"/>
  <c r="AV198" i="1"/>
  <c r="AV184" i="1"/>
  <c r="AV187" i="1"/>
  <c r="AV188" i="1"/>
  <c r="AV192" i="1"/>
  <c r="AV193" i="1"/>
  <c r="AV197" i="1"/>
  <c r="AV199" i="1"/>
  <c r="AV200" i="1"/>
  <c r="AV202" i="1"/>
  <c r="AV914" i="1"/>
  <c r="AV923" i="1"/>
  <c r="AV928" i="1"/>
  <c r="AV388" i="1"/>
  <c r="AV410" i="1"/>
  <c r="AV422" i="1"/>
  <c r="AV432" i="1"/>
  <c r="AV485" i="1"/>
  <c r="AV490" i="1"/>
  <c r="AV517" i="1"/>
  <c r="AV542" i="1"/>
  <c r="AV567" i="1"/>
  <c r="AV577" i="1"/>
  <c r="AV632" i="1"/>
  <c r="AV679" i="1"/>
  <c r="AV755" i="1"/>
  <c r="AV829" i="1"/>
  <c r="AV890" i="1"/>
  <c r="AV911" i="1"/>
  <c r="AV203" i="1"/>
  <c r="AV204" i="1"/>
  <c r="AV205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3" i="1"/>
  <c r="AV235" i="1"/>
  <c r="AV241" i="1"/>
  <c r="AV242" i="1"/>
  <c r="AV247" i="1"/>
  <c r="AV251" i="1"/>
  <c r="AV255" i="1"/>
  <c r="AV258" i="1"/>
  <c r="AV263" i="1"/>
  <c r="AV267" i="1"/>
  <c r="AV272" i="1"/>
  <c r="AV275" i="1"/>
  <c r="AV278" i="1"/>
  <c r="AV283" i="1"/>
  <c r="AV288" i="1"/>
  <c r="AV290" i="1"/>
  <c r="AV294" i="1"/>
  <c r="AV296" i="1"/>
  <c r="AV302" i="1"/>
  <c r="AV311" i="1"/>
  <c r="AV319" i="1"/>
  <c r="AV322" i="1"/>
  <c r="AV324" i="1"/>
  <c r="AV330" i="1"/>
  <c r="AV339" i="1"/>
  <c r="AV342" i="1"/>
  <c r="AV348" i="1"/>
  <c r="AV353" i="1"/>
  <c r="AV359" i="1"/>
  <c r="AV362" i="1"/>
  <c r="AV376" i="1"/>
  <c r="AV385" i="1"/>
  <c r="AV389" i="1"/>
  <c r="AV396" i="1"/>
  <c r="AV399" i="1"/>
  <c r="AV402" i="1"/>
  <c r="AV406" i="1"/>
  <c r="AV423" i="1"/>
  <c r="AV439" i="1"/>
  <c r="AV454" i="1"/>
  <c r="AV468" i="1"/>
  <c r="AV509" i="1"/>
  <c r="AV533" i="1"/>
  <c r="AV544" i="1"/>
  <c r="AV563" i="1"/>
  <c r="AV607" i="1"/>
  <c r="AV651" i="1"/>
  <c r="AV693" i="1"/>
  <c r="AV765" i="1"/>
  <c r="AV788" i="1"/>
  <c r="AV831" i="1"/>
  <c r="AV834" i="1"/>
  <c r="AV426" i="1"/>
  <c r="AV449" i="1"/>
  <c r="AV452" i="1"/>
  <c r="AV455" i="1"/>
  <c r="AV456" i="1"/>
  <c r="AV463" i="1"/>
  <c r="AV464" i="1"/>
  <c r="AV467" i="1"/>
  <c r="AV469" i="1"/>
  <c r="AV473" i="1"/>
  <c r="AV476" i="1"/>
  <c r="AV483" i="1"/>
  <c r="AV493" i="1"/>
  <c r="AV494" i="1"/>
  <c r="AV498" i="1"/>
  <c r="AV501" i="1"/>
  <c r="AV505" i="1"/>
  <c r="AV510" i="1"/>
  <c r="AV519" i="1"/>
  <c r="AV520" i="1"/>
  <c r="AV524" i="1"/>
  <c r="AV526" i="1"/>
  <c r="AV532" i="1"/>
  <c r="AV539" i="1"/>
  <c r="AV541" i="1"/>
  <c r="AV543" i="1"/>
  <c r="AV548" i="1"/>
  <c r="AV551" i="1"/>
  <c r="AV558" i="1"/>
  <c r="AV559" i="1"/>
  <c r="AV560" i="1"/>
  <c r="AV569" i="1"/>
  <c r="AV575" i="1"/>
  <c r="AV578" i="1"/>
  <c r="AV584" i="1"/>
  <c r="AV589" i="1"/>
  <c r="AV599" i="1"/>
  <c r="AV611" i="1"/>
  <c r="AV613" i="1"/>
  <c r="AV620" i="1"/>
  <c r="AV622" i="1"/>
  <c r="AV634" i="1"/>
  <c r="AV638" i="1"/>
  <c r="AV640" i="1"/>
  <c r="AV642" i="1"/>
  <c r="AV644" i="1"/>
  <c r="AV645" i="1"/>
  <c r="AV656" i="1"/>
  <c r="AV664" i="1"/>
  <c r="AV667" i="1"/>
  <c r="AV669" i="1"/>
  <c r="AV684" i="1"/>
  <c r="AV686" i="1"/>
  <c r="AV688" i="1"/>
  <c r="AV689" i="1"/>
  <c r="AV695" i="1"/>
  <c r="AV701" i="1"/>
  <c r="AV703" i="1"/>
  <c r="AV707" i="1"/>
  <c r="AV709" i="1"/>
  <c r="AV713" i="1"/>
  <c r="AV715" i="1"/>
  <c r="AV718" i="1"/>
  <c r="AV722" i="1"/>
  <c r="AV727" i="1"/>
  <c r="AV732" i="1"/>
  <c r="AV734" i="1"/>
  <c r="AV737" i="1"/>
  <c r="AV741" i="1"/>
  <c r="AV743" i="1"/>
  <c r="AV749" i="1"/>
  <c r="AV753" i="1"/>
  <c r="AV754" i="1"/>
  <c r="AV763" i="1"/>
  <c r="AV767" i="1"/>
  <c r="AV768" i="1"/>
  <c r="AV779" i="1"/>
  <c r="AV780" i="1"/>
  <c r="AV783" i="1"/>
  <c r="AV784" i="1"/>
  <c r="AV792" i="1"/>
  <c r="AV794" i="1"/>
  <c r="AV806" i="1"/>
  <c r="AV814" i="1"/>
  <c r="AV816" i="1"/>
  <c r="AV818" i="1"/>
  <c r="AV824" i="1"/>
  <c r="AV833" i="1"/>
  <c r="AV836" i="1"/>
  <c r="AV839" i="1"/>
  <c r="AV841" i="1"/>
  <c r="AV846" i="1"/>
  <c r="AV851" i="1"/>
  <c r="AV855" i="1"/>
  <c r="AV859" i="1"/>
  <c r="AV861" i="1"/>
  <c r="AV867" i="1"/>
  <c r="AV871" i="1"/>
  <c r="AV874" i="1"/>
  <c r="AV878" i="1"/>
  <c r="AV883" i="1"/>
  <c r="AV888" i="1"/>
  <c r="AV889" i="1"/>
  <c r="AV892" i="1"/>
  <c r="AV896" i="1"/>
  <c r="AV898" i="1"/>
  <c r="AV901" i="1"/>
  <c r="AV903" i="1"/>
  <c r="AV910" i="1"/>
  <c r="AV921" i="1"/>
  <c r="AV931" i="1"/>
  <c r="AV6" i="1"/>
  <c r="AV13" i="1"/>
  <c r="AV21" i="1"/>
  <c r="AV26" i="1"/>
  <c r="AV28" i="1"/>
  <c r="AV36" i="1"/>
  <c r="AV38" i="1"/>
  <c r="AV42" i="1"/>
  <c r="AV44" i="1"/>
  <c r="AV48" i="1"/>
  <c r="AV52" i="1"/>
  <c r="AV54" i="1"/>
  <c r="AV60" i="1"/>
  <c r="AV64" i="1"/>
  <c r="AV68" i="1"/>
  <c r="AV72" i="1"/>
  <c r="AV78" i="1"/>
  <c r="AV87" i="1"/>
  <c r="AV90" i="1"/>
  <c r="AV95" i="1"/>
  <c r="AV97" i="1"/>
  <c r="AV99" i="1"/>
  <c r="AV104" i="1"/>
  <c r="AV106" i="1"/>
  <c r="AV112" i="1"/>
  <c r="AV116" i="1"/>
  <c r="AV120" i="1"/>
  <c r="AV122" i="1"/>
  <c r="AV124" i="1"/>
  <c r="AV129" i="1"/>
  <c r="AV136" i="1"/>
  <c r="AV140" i="1"/>
  <c r="AV144" i="1"/>
  <c r="AV150" i="1"/>
  <c r="AV152" i="1"/>
  <c r="AV155" i="1"/>
  <c r="AV157" i="1"/>
  <c r="AV161" i="1"/>
  <c r="AV169" i="1"/>
  <c r="AV171" i="1"/>
  <c r="AV172" i="1"/>
  <c r="AV174" i="1"/>
  <c r="AV177" i="1"/>
  <c r="AV195" i="1"/>
  <c r="AV232" i="1"/>
  <c r="AV236" i="1"/>
  <c r="AV246" i="1"/>
  <c r="AV253" i="1"/>
  <c r="AV256" i="1"/>
  <c r="AV259" i="1"/>
  <c r="AV264" i="1"/>
  <c r="AV265" i="1"/>
  <c r="AV268" i="1"/>
  <c r="AV273" i="1"/>
  <c r="AV279" i="1"/>
  <c r="AV282" i="1"/>
  <c r="AV287" i="1"/>
  <c r="AV291" i="1"/>
  <c r="AV297" i="1"/>
  <c r="AV303" i="1"/>
  <c r="AV304" i="1"/>
  <c r="AV309" i="1"/>
  <c r="AV310" i="1"/>
  <c r="AV317" i="1"/>
  <c r="AV321" i="1"/>
  <c r="AV326" i="1"/>
  <c r="AV329" i="1"/>
  <c r="AV336" i="1"/>
  <c r="AV338" i="1"/>
  <c r="AV341" i="1"/>
  <c r="AV347" i="1"/>
  <c r="AV355" i="1"/>
  <c r="AV361" i="1"/>
  <c r="AV387" i="1"/>
  <c r="AV391" i="1"/>
  <c r="AV397" i="1"/>
  <c r="AV401" i="1"/>
  <c r="AV413" i="1"/>
  <c r="AV420" i="1"/>
  <c r="AV495" i="1"/>
  <c r="AV531" i="1"/>
  <c r="AV564" i="1"/>
  <c r="AV601" i="1"/>
  <c r="AV641" i="1"/>
  <c r="AV662" i="1"/>
  <c r="AV739" i="1"/>
  <c r="AV799" i="1"/>
  <c r="AV822" i="1"/>
  <c r="AV827" i="1"/>
  <c r="AV847" i="1"/>
  <c r="AV4" i="1"/>
  <c r="AV5" i="1"/>
  <c r="AV7" i="1"/>
  <c r="AV8" i="1"/>
  <c r="AV9" i="1"/>
  <c r="AV11" i="1"/>
  <c r="AV16" i="1"/>
  <c r="AV19" i="1"/>
  <c r="AV23" i="1"/>
  <c r="AV30" i="1"/>
  <c r="AV32" i="1"/>
  <c r="AV34" i="1"/>
  <c r="AV40" i="1"/>
  <c r="AV41" i="1"/>
  <c r="AV46" i="1"/>
  <c r="AV47" i="1"/>
  <c r="AV50" i="1"/>
  <c r="AV53" i="1"/>
  <c r="AV56" i="1"/>
  <c r="AV57" i="1"/>
  <c r="AV61" i="1"/>
  <c r="AV62" i="1"/>
  <c r="AV65" i="1"/>
  <c r="AV66" i="1"/>
  <c r="AV70" i="1"/>
  <c r="AV73" i="1"/>
  <c r="AV74" i="1"/>
  <c r="AV75" i="1"/>
  <c r="AV76" i="1"/>
  <c r="AV81" i="1"/>
  <c r="AV84" i="1"/>
  <c r="AV86" i="1"/>
  <c r="AV88" i="1"/>
  <c r="AV92" i="1"/>
  <c r="AV94" i="1"/>
  <c r="AV102" i="1"/>
  <c r="AV105" i="1"/>
  <c r="AV108" i="1"/>
  <c r="AV109" i="1"/>
  <c r="AV110" i="1"/>
  <c r="AV114" i="1"/>
  <c r="AV115" i="1"/>
  <c r="AV117" i="1"/>
  <c r="AV119" i="1"/>
  <c r="AV123" i="1"/>
  <c r="AV126" i="1"/>
  <c r="AV127" i="1"/>
  <c r="AV130" i="1"/>
  <c r="AV131" i="1"/>
  <c r="AV133" i="1"/>
  <c r="AV135" i="1"/>
  <c r="AV137" i="1"/>
  <c r="AV138" i="1"/>
  <c r="AV139" i="1"/>
  <c r="AV143" i="1"/>
  <c r="AV145" i="1"/>
  <c r="AV148" i="1"/>
  <c r="AV149" i="1"/>
  <c r="AV151" i="1"/>
  <c r="AV153" i="1"/>
  <c r="AV154" i="1"/>
  <c r="AV156" i="1"/>
  <c r="AV158" i="1"/>
  <c r="AV159" i="1"/>
  <c r="AV160" i="1"/>
  <c r="AV164" i="1"/>
  <c r="AV166" i="1"/>
  <c r="AV173" i="1"/>
  <c r="AV176" i="1"/>
  <c r="AV179" i="1"/>
  <c r="AV180" i="1"/>
  <c r="AV181" i="1"/>
  <c r="AV182" i="1"/>
  <c r="AV189" i="1"/>
  <c r="AV191" i="1"/>
  <c r="AV194" i="1"/>
  <c r="AV238" i="1"/>
  <c r="AV239" i="1"/>
  <c r="AV240" i="1"/>
  <c r="AV244" i="1"/>
  <c r="AV248" i="1"/>
  <c r="AV249" i="1"/>
  <c r="AV250" i="1"/>
  <c r="AV254" i="1"/>
  <c r="AV261" i="1"/>
  <c r="AV269" i="1"/>
  <c r="AV270" i="1"/>
  <c r="AV274" i="1"/>
  <c r="AV276" i="1"/>
  <c r="AV280" i="1"/>
  <c r="AV284" i="1"/>
  <c r="AV285" i="1"/>
  <c r="AV286" i="1"/>
  <c r="AV289" i="1"/>
  <c r="AV293" i="1"/>
  <c r="AV298" i="1"/>
  <c r="AV299" i="1"/>
  <c r="AV300" i="1"/>
  <c r="AV301" i="1"/>
  <c r="AV306" i="1"/>
  <c r="AV307" i="1"/>
  <c r="AV308" i="1"/>
  <c r="AV312" i="1"/>
  <c r="AV313" i="1"/>
  <c r="AV314" i="1"/>
  <c r="AV315" i="1"/>
  <c r="AV320" i="1"/>
  <c r="AV328" i="1"/>
  <c r="AV332" i="1"/>
  <c r="AV333" i="1"/>
  <c r="AV335" i="1"/>
  <c r="AV343" i="1"/>
  <c r="AV344" i="1"/>
  <c r="AV345" i="1"/>
  <c r="AV350" i="1"/>
  <c r="AV352" i="1"/>
  <c r="AV357" i="1"/>
  <c r="AV363" i="1"/>
  <c r="AV364" i="1"/>
  <c r="AV365" i="1"/>
  <c r="AV366" i="1"/>
  <c r="AV368" i="1"/>
  <c r="AV373" i="1"/>
  <c r="AV374" i="1"/>
  <c r="AV379" i="1"/>
  <c r="AV386" i="1"/>
  <c r="AV394" i="1"/>
  <c r="AV400" i="1"/>
  <c r="AV404" i="1"/>
  <c r="AV409" i="1"/>
  <c r="AV414" i="1"/>
  <c r="AV418" i="1"/>
  <c r="AV419" i="1"/>
  <c r="AV421" i="1"/>
  <c r="AV424" i="1"/>
  <c r="AV425" i="1"/>
  <c r="AV429" i="1"/>
  <c r="AV434" i="1"/>
  <c r="AV437" i="1"/>
  <c r="AV440" i="1"/>
  <c r="AV443" i="1"/>
  <c r="AV448" i="1"/>
  <c r="AV451" i="1"/>
  <c r="AV458" i="1"/>
  <c r="AV465" i="1"/>
  <c r="AV471" i="1"/>
  <c r="AV475" i="1"/>
  <c r="AV478" i="1"/>
  <c r="AV488" i="1"/>
  <c r="AV497" i="1"/>
  <c r="AV504" i="1"/>
  <c r="AV507" i="1"/>
  <c r="AV515" i="1"/>
  <c r="AV516" i="1"/>
  <c r="AV523" i="1"/>
  <c r="AV525" i="1"/>
  <c r="AV536" i="1"/>
  <c r="AV540" i="1"/>
  <c r="AV545" i="1"/>
  <c r="AV550" i="1"/>
  <c r="AV552" i="1"/>
  <c r="AV561" i="1"/>
  <c r="AV568" i="1"/>
  <c r="AV571" i="1"/>
  <c r="AV574" i="1"/>
  <c r="AV581" i="1"/>
  <c r="AV582" i="1"/>
  <c r="AV586" i="1"/>
  <c r="AV588" i="1"/>
  <c r="AV591" i="1"/>
  <c r="AV593" i="1"/>
  <c r="AV597" i="1"/>
  <c r="AV600" i="1"/>
  <c r="AV602" i="1"/>
  <c r="AV605" i="1"/>
  <c r="AV608" i="1"/>
  <c r="AV623" i="1"/>
  <c r="AV628" i="1"/>
  <c r="AV631" i="1"/>
  <c r="AV636" i="1"/>
  <c r="AV647" i="1"/>
  <c r="AV652" i="1"/>
  <c r="AV654" i="1"/>
  <c r="AV657" i="1"/>
  <c r="AV663" i="1"/>
  <c r="AV665" i="1"/>
  <c r="AV670" i="1"/>
  <c r="AV673" i="1"/>
  <c r="AV678" i="1"/>
  <c r="AV680" i="1"/>
  <c r="AV682" i="1"/>
  <c r="AV685" i="1"/>
  <c r="AV690" i="1"/>
  <c r="AV692" i="1"/>
  <c r="AV699" i="1"/>
  <c r="AV700" i="1"/>
  <c r="AV702" i="1"/>
  <c r="AV706" i="1"/>
  <c r="AV712" i="1"/>
  <c r="AV726" i="1"/>
  <c r="AV729" i="1"/>
  <c r="AV742" i="1"/>
  <c r="AV747" i="1"/>
  <c r="AV750" i="1"/>
  <c r="AV757" i="1"/>
  <c r="AV759" i="1"/>
  <c r="AV761" i="1"/>
  <c r="AV769" i="1"/>
  <c r="AV772" i="1"/>
  <c r="AV782" i="1"/>
  <c r="AV785" i="1"/>
  <c r="AV789" i="1"/>
  <c r="AV803" i="1"/>
  <c r="AV805" i="1"/>
  <c r="AV810" i="1"/>
  <c r="AV815" i="1"/>
  <c r="AV820" i="1"/>
  <c r="AV826" i="1"/>
  <c r="AV830" i="1"/>
  <c r="AV835" i="1"/>
  <c r="AV843" i="1"/>
  <c r="AV845" i="1"/>
  <c r="AV849" i="1"/>
  <c r="AV866" i="1"/>
  <c r="AV868" i="1"/>
  <c r="AV870" i="1"/>
  <c r="AV873" i="1"/>
  <c r="AV877" i="1"/>
  <c r="AV887" i="1"/>
  <c r="AV893" i="1"/>
  <c r="AV900" i="1"/>
  <c r="AV905" i="1"/>
  <c r="AV909" i="1"/>
  <c r="AV918" i="1"/>
  <c r="AV930" i="1"/>
  <c r="AV3" i="1"/>
  <c r="AV10" i="1"/>
  <c r="AV12" i="1"/>
  <c r="AV15" i="1"/>
  <c r="AV17" i="1"/>
  <c r="AV18" i="1"/>
  <c r="AV20" i="1"/>
  <c r="AV22" i="1"/>
  <c r="AV24" i="1"/>
  <c r="AV25" i="1"/>
  <c r="AV27" i="1"/>
  <c r="AV29" i="1"/>
  <c r="AV31" i="1"/>
  <c r="AV33" i="1"/>
  <c r="AV35" i="1"/>
  <c r="AV39" i="1"/>
  <c r="AV43" i="1"/>
  <c r="AV45" i="1"/>
  <c r="AV49" i="1"/>
  <c r="AV51" i="1"/>
  <c r="AV55" i="1"/>
  <c r="AV63" i="1"/>
  <c r="AV67" i="1"/>
  <c r="AV69" i="1"/>
  <c r="AV71" i="1"/>
  <c r="AV77" i="1"/>
  <c r="AV79" i="1"/>
  <c r="AV82" i="1"/>
  <c r="AV83" i="1"/>
  <c r="AV85" i="1"/>
  <c r="AV89" i="1"/>
  <c r="AV91" i="1"/>
  <c r="AV93" i="1"/>
  <c r="AV96" i="1"/>
  <c r="AV98" i="1"/>
  <c r="AV100" i="1"/>
  <c r="AV101" i="1"/>
  <c r="AV103" i="1"/>
  <c r="AV107" i="1"/>
  <c r="AV111" i="1"/>
  <c r="AV113" i="1"/>
  <c r="AV118" i="1"/>
  <c r="AV121" i="1"/>
  <c r="AV125" i="1"/>
  <c r="AV128" i="1"/>
  <c r="AV132" i="1"/>
  <c r="AV134" i="1"/>
  <c r="AV146" i="1"/>
  <c r="AV147" i="1"/>
  <c r="AV165" i="1"/>
  <c r="AV167" i="1"/>
  <c r="AV168" i="1"/>
  <c r="AV170" i="1"/>
  <c r="AV175" i="1"/>
  <c r="AV178" i="1"/>
  <c r="AV231" i="1"/>
  <c r="AV234" i="1"/>
  <c r="AV237" i="1"/>
  <c r="AV243" i="1"/>
  <c r="AV245" i="1"/>
  <c r="AV252" i="1"/>
  <c r="AV257" i="1"/>
  <c r="AV262" i="1"/>
  <c r="AV266" i="1"/>
  <c r="AV271" i="1"/>
  <c r="AV277" i="1"/>
  <c r="AV292" i="1"/>
  <c r="AV295" i="1"/>
  <c r="AV305" i="1"/>
  <c r="AV316" i="1"/>
  <c r="AV318" i="1"/>
  <c r="AV323" i="1"/>
  <c r="AV327" i="1"/>
  <c r="AV331" i="1"/>
  <c r="AV334" i="1"/>
  <c r="AV337" i="1"/>
  <c r="AV340" i="1"/>
  <c r="AV346" i="1"/>
  <c r="AV349" i="1"/>
  <c r="AV356" i="1"/>
  <c r="AV360" i="1"/>
  <c r="AV367" i="1"/>
  <c r="AV369" i="1"/>
  <c r="AV371" i="1"/>
  <c r="AV378" i="1"/>
  <c r="AV383" i="1"/>
  <c r="AV393" i="1"/>
  <c r="AV408" i="1"/>
  <c r="AV411" i="1"/>
  <c r="AV415" i="1"/>
  <c r="AV416" i="1"/>
  <c r="AV427" i="1"/>
  <c r="AV428" i="1"/>
  <c r="AV435" i="1"/>
  <c r="AV446" i="1"/>
  <c r="AV450" i="1"/>
  <c r="AV453" i="1"/>
  <c r="AV459" i="1"/>
  <c r="AV461" i="1"/>
  <c r="AV466" i="1"/>
  <c r="AV486" i="1"/>
  <c r="AV500" i="1"/>
  <c r="AV508" i="1"/>
  <c r="AV511" i="1"/>
  <c r="AV513" i="1"/>
  <c r="AV514" i="1"/>
  <c r="AV521" i="1"/>
  <c r="AV534" i="1"/>
  <c r="AV553" i="1"/>
  <c r="AV557" i="1"/>
  <c r="AV562" i="1"/>
  <c r="AV565" i="1"/>
  <c r="AV570" i="1"/>
  <c r="AV576" i="1"/>
  <c r="AV580" i="1"/>
  <c r="AV585" i="1"/>
  <c r="AV592" i="1"/>
  <c r="AV604" i="1"/>
  <c r="AV614" i="1"/>
  <c r="AV618" i="1"/>
  <c r="AV621" i="1"/>
  <c r="AV629" i="1"/>
  <c r="AV643" i="1"/>
  <c r="AV649" i="1"/>
  <c r="AV655" i="1"/>
  <c r="AV658" i="1"/>
  <c r="AV660" i="1"/>
  <c r="AV661" i="1"/>
  <c r="AV666" i="1"/>
  <c r="AV668" i="1"/>
  <c r="AV681" i="1"/>
  <c r="AV698" i="1"/>
  <c r="AV708" i="1"/>
  <c r="AV711" i="1"/>
  <c r="AV716" i="1"/>
  <c r="AV719" i="1"/>
  <c r="AV725" i="1"/>
  <c r="AV730" i="1"/>
  <c r="AV733" i="1"/>
  <c r="AV735" i="1"/>
  <c r="AV738" i="1"/>
  <c r="AV740" i="1"/>
  <c r="AV744" i="1"/>
  <c r="AV756" i="1"/>
  <c r="AV758" i="1"/>
  <c r="AV760" i="1"/>
  <c r="AV762" i="1"/>
  <c r="AV771" i="1"/>
  <c r="AV775" i="1"/>
  <c r="AV776" i="1"/>
  <c r="AV787" i="1"/>
  <c r="AV793" i="1"/>
  <c r="AV795" i="1"/>
  <c r="AV800" i="1"/>
  <c r="AV801" i="1"/>
  <c r="AV808" i="1"/>
  <c r="AV811" i="1"/>
  <c r="AV813" i="1"/>
  <c r="AV823" i="1"/>
  <c r="AV828" i="1"/>
  <c r="AV840" i="1"/>
  <c r="AV844" i="1"/>
  <c r="AV853" i="1"/>
  <c r="AV854" i="1"/>
  <c r="AV856" i="1"/>
  <c r="AV857" i="1"/>
  <c r="AV862" i="1"/>
  <c r="AV863" i="1"/>
  <c r="AV869" i="1"/>
  <c r="AV875" i="1"/>
  <c r="AV876" i="1"/>
  <c r="AV879" i="1"/>
  <c r="AV884" i="1"/>
  <c r="AV895" i="1"/>
  <c r="AV897" i="1"/>
  <c r="AV899" i="1"/>
  <c r="AV904" i="1"/>
  <c r="AV908" i="1"/>
  <c r="AV924" i="1"/>
  <c r="AV325" i="1"/>
  <c r="AV358" i="1"/>
  <c r="AV370" i="1"/>
  <c r="AV377" i="1"/>
  <c r="AV380" i="1"/>
  <c r="AV381" i="1"/>
  <c r="AV382" i="1"/>
  <c r="AV384" i="1"/>
  <c r="AV390" i="1"/>
  <c r="AV392" i="1"/>
  <c r="AV395" i="1"/>
  <c r="AV398" i="1"/>
  <c r="AV403" i="1"/>
  <c r="AV405" i="1"/>
  <c r="AV407" i="1"/>
  <c r="AV412" i="1"/>
  <c r="AV417" i="1"/>
  <c r="AV430" i="1"/>
  <c r="AV431" i="1"/>
  <c r="AV436" i="1"/>
  <c r="AV438" i="1"/>
  <c r="AV442" i="1"/>
  <c r="AV444" i="1"/>
  <c r="AV445" i="1"/>
  <c r="AV447" i="1"/>
  <c r="AV457" i="1"/>
  <c r="AV470" i="1"/>
  <c r="AV472" i="1"/>
  <c r="AV474" i="1"/>
  <c r="AV477" i="1"/>
  <c r="AV479" i="1"/>
  <c r="AV482" i="1"/>
  <c r="AV484" i="1"/>
  <c r="AV487" i="1"/>
  <c r="AV489" i="1"/>
  <c r="AV492" i="1"/>
  <c r="AV496" i="1"/>
  <c r="AV502" i="1"/>
  <c r="AV506" i="1"/>
  <c r="AV518" i="1"/>
  <c r="AV522" i="1"/>
  <c r="AV527" i="1"/>
  <c r="AV528" i="1"/>
  <c r="AV529" i="1"/>
  <c r="AV537" i="1"/>
  <c r="AV538" i="1"/>
  <c r="AV546" i="1"/>
  <c r="AV547" i="1"/>
  <c r="AV549" i="1"/>
  <c r="AV554" i="1"/>
  <c r="AV555" i="1"/>
  <c r="AV566" i="1"/>
  <c r="AV572" i="1"/>
  <c r="AV579" i="1"/>
  <c r="AV583" i="1"/>
  <c r="AV587" i="1"/>
  <c r="AV590" i="1"/>
  <c r="AV595" i="1"/>
  <c r="AV596" i="1"/>
  <c r="AV598" i="1"/>
  <c r="AV603" i="1"/>
  <c r="AV606" i="1"/>
  <c r="AV609" i="1"/>
  <c r="AV610" i="1"/>
  <c r="AV612" i="1"/>
  <c r="AV615" i="1"/>
  <c r="AV616" i="1"/>
  <c r="AV617" i="1"/>
  <c r="AV619" i="1"/>
  <c r="AV624" i="1"/>
  <c r="AV625" i="1"/>
  <c r="AV626" i="1"/>
  <c r="AV627" i="1"/>
  <c r="AV630" i="1"/>
  <c r="AV635" i="1"/>
  <c r="AV637" i="1"/>
  <c r="AV646" i="1"/>
  <c r="AV648" i="1"/>
  <c r="AV650" i="1"/>
  <c r="AV659" i="1"/>
  <c r="AV671" i="1"/>
  <c r="AV672" i="1"/>
  <c r="AV674" i="1"/>
  <c r="AV676" i="1"/>
  <c r="AV677" i="1"/>
  <c r="AV683" i="1"/>
  <c r="AV687" i="1"/>
  <c r="AV691" i="1"/>
  <c r="AV694" i="1"/>
  <c r="AV697" i="1"/>
  <c r="AV704" i="1"/>
  <c r="AV705" i="1"/>
  <c r="AV710" i="1"/>
  <c r="AV714" i="1"/>
  <c r="AV717" i="1"/>
  <c r="AV720" i="1"/>
  <c r="AV721" i="1"/>
  <c r="AV723" i="1"/>
  <c r="AV728" i="1"/>
  <c r="AV731" i="1"/>
  <c r="AV736" i="1"/>
  <c r="AV746" i="1"/>
  <c r="AV748" i="1"/>
  <c r="AV751" i="1"/>
  <c r="AV752" i="1"/>
  <c r="AV764" i="1"/>
  <c r="AV766" i="1"/>
  <c r="AV770" i="1"/>
  <c r="AV773" i="1"/>
  <c r="AV774" i="1"/>
  <c r="AV777" i="1"/>
  <c r="AV778" i="1"/>
  <c r="AV781" i="1"/>
  <c r="AV786" i="1"/>
  <c r="AV790" i="1"/>
  <c r="AV791" i="1"/>
  <c r="AV796" i="1"/>
  <c r="AV797" i="1"/>
  <c r="AV798" i="1"/>
  <c r="AV802" i="1"/>
  <c r="AV804" i="1"/>
  <c r="AV807" i="1"/>
  <c r="AV809" i="1"/>
  <c r="AV812" i="1"/>
  <c r="AV817" i="1"/>
  <c r="AV819" i="1"/>
  <c r="AV825" i="1"/>
  <c r="AV832" i="1"/>
  <c r="AV837" i="1"/>
  <c r="AV838" i="1"/>
  <c r="AV842" i="1"/>
  <c r="AV848" i="1"/>
  <c r="AV850" i="1"/>
  <c r="AV852" i="1"/>
  <c r="AV858" i="1"/>
  <c r="AV860" i="1"/>
  <c r="AV864" i="1"/>
  <c r="AV865" i="1"/>
  <c r="AV872" i="1"/>
  <c r="AV880" i="1"/>
  <c r="AV881" i="1"/>
  <c r="AV882" i="1"/>
  <c r="AV886" i="1"/>
  <c r="AV891" i="1"/>
  <c r="AV894" i="1"/>
  <c r="AV902" i="1"/>
  <c r="AV907" i="1"/>
  <c r="AV912" i="1"/>
  <c r="AV916" i="1"/>
  <c r="AV925" i="1"/>
  <c r="AV433" i="1"/>
  <c r="AV480" i="1"/>
  <c r="AV499" i="1"/>
  <c r="AV503" i="1"/>
  <c r="AV530" i="1"/>
  <c r="AV535" i="1"/>
  <c r="AV556" i="1"/>
  <c r="AV633" i="1"/>
  <c r="AV639" i="1"/>
  <c r="AV653" i="1"/>
  <c r="AV821" i="1"/>
</calcChain>
</file>

<file path=xl/sharedStrings.xml><?xml version="1.0" encoding="utf-8"?>
<sst xmlns="http://schemas.openxmlformats.org/spreadsheetml/2006/main" count="14091" uniqueCount="4136">
  <si>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</si>
  <si>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</si>
  <si>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</si>
  <si>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</si>
  <si>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</si>
  <si>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</si>
  <si>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</si>
  <si>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</si>
  <si>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</si>
  <si>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</si>
  <si>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</si>
  <si>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</si>
  <si>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</si>
  <si>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</si>
  <si>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</si>
  <si>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</si>
  <si>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</si>
  <si>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</si>
  <si>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</si>
  <si>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</si>
  <si>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</si>
  <si>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</si>
  <si>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</si>
  <si>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</si>
  <si>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</si>
  <si>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</si>
  <si>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</si>
  <si>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</si>
  <si>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</si>
  <si>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</si>
  <si>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</si>
  <si>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</si>
  <si>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</si>
  <si>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</si>
  <si>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</si>
  <si>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</si>
  <si>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</si>
  <si>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</si>
  <si>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</si>
  <si>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</si>
  <si>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</si>
  <si>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</si>
  <si>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</si>
  <si>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</si>
  <si>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</si>
  <si>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</si>
  <si>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</si>
  <si>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</si>
  <si>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</si>
  <si>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</si>
  <si>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</si>
  <si>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</si>
  <si>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</si>
  <si>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</si>
  <si>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</si>
  <si>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</si>
  <si>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</si>
  <si>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</si>
  <si>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</si>
  <si>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</si>
  <si>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</si>
  <si>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</si>
  <si>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</si>
  <si>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</si>
  <si>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</si>
  <si>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</si>
  <si>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</si>
  <si>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</si>
  <si>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</si>
  <si>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</si>
  <si>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</si>
  <si>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</si>
  <si>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</si>
  <si>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</si>
  <si>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</si>
  <si>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</si>
  <si>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</si>
  <si>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</si>
  <si>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</si>
  <si>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</si>
  <si>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</si>
  <si>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</si>
  <si>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</si>
  <si>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</si>
  <si>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</si>
  <si>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</si>
  <si>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</si>
  <si>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</si>
  <si>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</si>
  <si>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</si>
  <si>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</si>
  <si>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</si>
  <si>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</si>
  <si>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</si>
  <si>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</si>
  <si>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</si>
  <si>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</si>
  <si>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</si>
  <si>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</si>
  <si>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</si>
  <si>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</si>
  <si>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</si>
  <si>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</si>
  <si>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</si>
  <si>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</si>
  <si>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</si>
  <si>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</si>
  <si>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</si>
  <si>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</si>
  <si>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</si>
  <si>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</si>
  <si>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</si>
  <si>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</si>
  <si>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</si>
  <si>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</si>
  <si>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</si>
  <si>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</si>
  <si>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</si>
  <si>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</si>
  <si>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</si>
  <si>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</si>
  <si>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</si>
  <si>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</si>
  <si>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</si>
  <si>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</si>
  <si>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</si>
  <si>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</si>
  <si>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</si>
  <si>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</si>
  <si>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</si>
  <si>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</si>
  <si>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</si>
  <si>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</si>
  <si>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</si>
  <si>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</si>
  <si>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</si>
  <si>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</si>
  <si>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</si>
  <si>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</si>
  <si>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</si>
  <si>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</si>
  <si>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</si>
  <si>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</si>
  <si>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</si>
  <si>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</si>
  <si>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</si>
  <si>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</si>
  <si>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</si>
  <si>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</si>
  <si>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</si>
  <si>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</si>
  <si>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</si>
  <si>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</si>
  <si>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</si>
  <si>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</si>
  <si>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</si>
  <si>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</si>
  <si>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</si>
  <si>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</si>
  <si>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</si>
  <si>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</si>
  <si>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</si>
  <si>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</si>
  <si>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</si>
  <si>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</si>
  <si>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</si>
  <si>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</si>
  <si>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</si>
  <si>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</si>
  <si>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</si>
  <si>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</si>
  <si>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</si>
  <si>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</si>
  <si>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</si>
  <si>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</si>
  <si>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</si>
  <si>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</si>
  <si>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</si>
  <si>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</si>
  <si>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</si>
  <si>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</si>
  <si>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</si>
  <si>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</si>
  <si>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</si>
  <si>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</si>
  <si>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</si>
  <si>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</si>
  <si>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</si>
  <si>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</si>
  <si>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</si>
  <si>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</si>
  <si>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</si>
  <si>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</si>
  <si>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</si>
  <si>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</si>
  <si>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</si>
  <si>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</si>
  <si>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</si>
  <si>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</si>
  <si>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</si>
  <si>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</si>
  <si>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</si>
  <si>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</si>
  <si>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</si>
  <si>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</si>
  <si>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</si>
  <si>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</si>
  <si>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</si>
  <si>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</si>
  <si>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</si>
  <si>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</si>
  <si>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</si>
  <si>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</si>
  <si>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</si>
  <si>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</si>
  <si>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</si>
  <si>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</si>
  <si>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</si>
  <si>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</si>
  <si>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</si>
  <si>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</si>
  <si>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</si>
  <si>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</si>
  <si>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</si>
  <si>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</si>
  <si>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</si>
  <si>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</si>
  <si>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</si>
  <si>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</si>
  <si>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</si>
  <si>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</si>
  <si>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</si>
  <si>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</si>
  <si>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</si>
  <si>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</si>
  <si>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</si>
  <si>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</si>
  <si>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</si>
  <si>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</si>
  <si>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</si>
  <si>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</si>
  <si>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</si>
  <si>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</si>
  <si>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</si>
  <si>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</si>
  <si>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</si>
  <si>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</si>
  <si>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</si>
  <si>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</si>
  <si>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</si>
  <si>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</si>
  <si>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</si>
  <si>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</si>
  <si>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</si>
  <si>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</si>
  <si>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</si>
  <si>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</si>
  <si>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</si>
  <si>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</si>
  <si>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</si>
  <si>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</si>
  <si>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</si>
  <si>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</si>
  <si>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</si>
  <si>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</si>
  <si>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</si>
  <si>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</si>
  <si>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</si>
  <si>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</si>
  <si>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</si>
  <si>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</si>
  <si>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</si>
  <si>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</si>
  <si>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</si>
  <si>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</si>
  <si>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</si>
  <si>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</si>
  <si>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</si>
  <si>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</si>
  <si>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</si>
  <si>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</si>
  <si>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</si>
  <si>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</si>
  <si>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</si>
  <si>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</si>
  <si>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</si>
  <si>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</si>
  <si>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</si>
  <si>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</si>
  <si>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</si>
  <si>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</si>
  <si>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</si>
  <si>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</si>
  <si>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</si>
  <si>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</si>
  <si>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</si>
  <si>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</si>
  <si>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</si>
  <si>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</si>
  <si>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</si>
  <si>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</si>
  <si>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</si>
  <si>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</si>
  <si>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</si>
  <si>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</si>
  <si>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</si>
  <si>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</si>
  <si>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</si>
  <si>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</si>
  <si>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</si>
  <si>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</si>
  <si>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</si>
  <si>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</si>
  <si>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</si>
  <si>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</si>
  <si>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</si>
  <si>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</si>
  <si>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</si>
  <si>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</si>
  <si>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</si>
  <si>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</si>
  <si>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</si>
  <si>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</si>
  <si>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</si>
  <si>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</si>
  <si>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</si>
  <si>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</si>
  <si>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</si>
  <si>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</si>
  <si>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</si>
  <si>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</si>
  <si>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</si>
  <si>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</si>
  <si>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</si>
  <si>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</si>
  <si>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</si>
  <si>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</si>
  <si>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</si>
  <si>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</si>
  <si>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</si>
  <si>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</si>
  <si>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</si>
  <si>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</si>
  <si>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</si>
  <si>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</si>
  <si>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</si>
  <si>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</si>
  <si>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</si>
  <si>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</si>
  <si>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</si>
  <si>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</si>
  <si>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</si>
  <si>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</si>
  <si>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</si>
  <si>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</si>
  <si>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</si>
  <si>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</si>
  <si>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</si>
  <si>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</si>
  <si>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</si>
  <si>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</si>
  <si>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</si>
  <si>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</si>
  <si>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</si>
  <si>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</si>
  <si>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</si>
  <si>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</si>
  <si>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</si>
  <si>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</si>
  <si>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</si>
  <si>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</si>
  <si>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</si>
  <si>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</si>
  <si>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</si>
  <si>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</si>
  <si>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</si>
  <si>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</si>
  <si>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</si>
  <si>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</si>
  <si>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</si>
  <si>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</si>
  <si>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</si>
  <si>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</si>
  <si>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</si>
  <si>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</si>
  <si>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</si>
  <si>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</si>
  <si>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</si>
  <si>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</si>
  <si>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</si>
  <si>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</si>
  <si>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</si>
  <si>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</si>
  <si>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</si>
  <si>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</si>
  <si>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</si>
  <si>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</si>
  <si>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</si>
  <si>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</si>
  <si>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</si>
  <si>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</si>
  <si>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</si>
  <si>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</si>
  <si>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</si>
  <si>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</si>
  <si>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</si>
  <si>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</si>
  <si>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</si>
  <si>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</si>
  <si>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</si>
  <si>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</si>
  <si>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</si>
  <si>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</si>
  <si>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</si>
  <si>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</si>
  <si>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</si>
  <si>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</si>
  <si>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</si>
  <si>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</si>
  <si>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</si>
  <si>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</si>
  <si>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</si>
  <si>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</si>
  <si>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</si>
  <si>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</si>
  <si>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</si>
  <si>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</si>
  <si>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</si>
  <si>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</si>
  <si>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</si>
  <si>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</si>
  <si>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</si>
  <si>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</si>
  <si>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</si>
  <si>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</si>
  <si>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</si>
  <si>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</si>
  <si>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</si>
  <si>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</si>
  <si>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</si>
  <si>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</si>
  <si>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</si>
  <si>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</si>
  <si>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</si>
  <si>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</si>
  <si>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</si>
  <si>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</si>
  <si>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</si>
  <si>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</si>
  <si>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</si>
  <si>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</si>
  <si>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</si>
  <si>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</si>
  <si>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</si>
  <si>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</si>
  <si>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</si>
  <si>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</si>
  <si>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</si>
  <si>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</si>
  <si>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</si>
  <si>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</si>
  <si>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</si>
  <si>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</si>
  <si>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</si>
  <si>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</si>
  <si>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</si>
  <si>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</si>
  <si>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</si>
  <si>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</si>
  <si>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</si>
  <si>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</si>
  <si>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</si>
  <si>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</si>
  <si>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</si>
  <si>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</si>
  <si>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</si>
  <si>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</si>
  <si>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</si>
  <si>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</si>
  <si>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</si>
  <si>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</si>
  <si>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</si>
  <si>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</si>
  <si>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</si>
  <si>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</si>
  <si>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</si>
  <si>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</si>
  <si>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</si>
  <si>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</si>
  <si>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</si>
  <si>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</si>
  <si>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</si>
  <si>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</si>
  <si>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</si>
  <si>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</si>
  <si>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</si>
  <si>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</si>
  <si>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</si>
  <si>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</si>
  <si>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</si>
  <si>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</si>
  <si>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</si>
  <si>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</si>
  <si>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</si>
  <si>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</si>
  <si>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</si>
  <si>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</si>
  <si>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</si>
  <si>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</si>
  <si>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</si>
  <si>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</si>
  <si>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</si>
  <si>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</si>
  <si>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</si>
  <si>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</si>
  <si>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</si>
  <si>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</si>
  <si>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</si>
  <si>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</si>
  <si>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</si>
  <si>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</si>
  <si>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</si>
  <si>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</si>
  <si>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</si>
  <si>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</si>
  <si>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</si>
  <si>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</si>
  <si>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</si>
  <si>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</si>
  <si>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</si>
  <si>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</si>
  <si>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</si>
  <si>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</si>
  <si>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</si>
  <si>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</si>
  <si>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</si>
  <si>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</si>
  <si>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</si>
  <si>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</si>
  <si>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</si>
  <si>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</si>
  <si>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</si>
  <si>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</si>
  <si>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</si>
  <si>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</si>
  <si>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</si>
  <si>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</si>
  <si>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</si>
  <si>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</si>
  <si>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</si>
  <si>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</si>
  <si>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</si>
  <si>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</si>
  <si>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</si>
  <si>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</si>
  <si>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</si>
  <si>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</si>
  <si>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</si>
  <si>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</si>
  <si>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</si>
  <si>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</si>
  <si>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</si>
  <si>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</si>
  <si>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</si>
  <si>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</si>
  <si>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</si>
  <si>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</si>
  <si>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</si>
  <si>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</si>
  <si>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</si>
  <si>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</si>
  <si>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</si>
  <si>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</si>
  <si>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</si>
  <si>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</si>
  <si>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</si>
  <si>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</si>
  <si>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</si>
  <si>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</si>
  <si>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</si>
  <si>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</si>
  <si>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</si>
  <si>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</si>
  <si>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</si>
  <si>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</si>
  <si>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</si>
  <si>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</si>
  <si>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</si>
  <si>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</si>
  <si>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</si>
  <si>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</si>
  <si>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</si>
  <si>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</si>
  <si>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</si>
  <si>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</si>
  <si>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</si>
  <si>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</si>
  <si>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</si>
  <si>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</si>
  <si>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</si>
  <si>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</si>
  <si>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</si>
  <si>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</si>
  <si>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</si>
  <si>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</si>
  <si>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</si>
  <si>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</si>
  <si>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</si>
  <si>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</si>
  <si>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</si>
  <si>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</si>
  <si>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</si>
  <si>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</si>
  <si>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</si>
  <si>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</si>
  <si>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</si>
  <si>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</si>
  <si>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</si>
  <si>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</si>
  <si>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</si>
  <si>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</si>
  <si>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</si>
  <si>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</si>
  <si>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</si>
  <si>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</si>
  <si>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</si>
  <si>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</si>
  <si>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</si>
  <si>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</si>
  <si>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</si>
  <si>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</si>
  <si>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</si>
  <si>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</si>
  <si>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</si>
  <si>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</si>
  <si>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</si>
  <si>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</si>
  <si>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</si>
  <si>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</si>
  <si>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</si>
  <si>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</si>
  <si>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</si>
  <si>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</si>
  <si>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</si>
  <si>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</si>
  <si>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</si>
  <si>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</si>
  <si>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</si>
  <si>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</si>
  <si>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</si>
  <si>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</si>
  <si>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</si>
  <si>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</si>
  <si>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</si>
  <si>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</si>
  <si>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</si>
  <si>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</si>
  <si>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</si>
  <si>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</si>
  <si>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</si>
  <si>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</si>
  <si>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</si>
  <si>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</si>
  <si>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</si>
  <si>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</si>
  <si>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</si>
  <si>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</si>
  <si>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</si>
  <si>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</si>
  <si>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</si>
  <si>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</si>
  <si>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</si>
  <si>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</si>
  <si>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</si>
  <si>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</si>
  <si>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</si>
  <si>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</si>
  <si>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</si>
  <si>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</si>
  <si>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</si>
  <si>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</si>
  <si>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</si>
  <si>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</si>
  <si>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</si>
  <si>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</si>
  <si>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</si>
  <si>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</si>
  <si>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</si>
  <si>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</si>
  <si>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</si>
  <si>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</si>
  <si>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</si>
  <si>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</si>
  <si>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</si>
  <si>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</si>
  <si>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</si>
  <si>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</si>
  <si>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</si>
  <si>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</si>
  <si>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</si>
  <si>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</si>
  <si>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</si>
  <si>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</si>
  <si>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</si>
  <si>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</si>
  <si>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</si>
  <si>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</si>
  <si>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</si>
  <si>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</si>
  <si>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</si>
  <si>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</si>
  <si>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</si>
  <si>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</si>
  <si>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</si>
  <si>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</si>
  <si>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</si>
  <si>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</si>
  <si>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</si>
  <si>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</si>
  <si>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</si>
  <si>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</si>
  <si>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</si>
  <si>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</si>
  <si>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</si>
  <si>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</si>
  <si>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</si>
  <si>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</si>
  <si>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</si>
  <si>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</si>
  <si>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</si>
  <si>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</si>
  <si>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</si>
  <si>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</si>
  <si>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</si>
  <si>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</si>
  <si>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</si>
  <si>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</si>
  <si>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</si>
  <si>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</si>
  <si>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</si>
  <si>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</si>
  <si>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</si>
  <si>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</si>
  <si>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</si>
  <si>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</si>
  <si>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</si>
  <si>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</si>
  <si>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</si>
  <si>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</si>
  <si>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</si>
  <si>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</si>
  <si>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</si>
  <si>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</si>
  <si>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</si>
  <si>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</si>
  <si>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</si>
  <si>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</si>
  <si>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</si>
  <si>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</si>
  <si>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</si>
  <si>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</si>
  <si>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</si>
  <si>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</si>
  <si>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</si>
  <si>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</si>
  <si>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</si>
  <si>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</si>
  <si>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</si>
  <si>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</si>
  <si>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</si>
  <si>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</si>
  <si>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</si>
  <si>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</si>
  <si>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</si>
  <si>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</si>
  <si>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</si>
  <si>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</si>
  <si>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</si>
  <si>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</si>
  <si>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</si>
  <si>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</si>
  <si>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</si>
  <si>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</si>
  <si>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</si>
  <si>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</si>
  <si>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</si>
  <si>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</si>
  <si>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</si>
  <si>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</si>
  <si>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</si>
  <si>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</si>
  <si>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</si>
  <si>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</si>
  <si>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</si>
  <si>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</si>
  <si>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</si>
  <si>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</si>
  <si>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</si>
  <si>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</si>
  <si>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</si>
  <si>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</si>
  <si>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</si>
  <si>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</si>
  <si>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</si>
  <si>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</si>
  <si>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</si>
  <si>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</si>
  <si>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</si>
  <si>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</si>
  <si>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</si>
  <si>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</si>
  <si>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</si>
  <si>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</si>
  <si>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</si>
  <si>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</si>
  <si>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</si>
  <si>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</si>
  <si>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</si>
  <si>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</si>
  <si>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</si>
  <si>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</si>
  <si>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</si>
  <si>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</si>
  <si>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</si>
  <si>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</si>
  <si>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</si>
  <si>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</si>
  <si>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</si>
  <si>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</si>
  <si>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</si>
  <si>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</si>
  <si>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</si>
  <si>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</si>
  <si>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</si>
  <si>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</si>
  <si>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</si>
  <si>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</si>
  <si>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</si>
  <si>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</si>
  <si>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</si>
  <si>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</si>
  <si>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</si>
  <si>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</si>
  <si>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</si>
  <si>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</si>
  <si>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</si>
  <si>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</si>
  <si>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</si>
  <si>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</si>
  <si>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</si>
  <si>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</si>
  <si>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</si>
  <si>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</si>
  <si>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</si>
  <si>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</si>
  <si>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</si>
  <si>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</si>
  <si>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</si>
  <si>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</si>
  <si>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</si>
  <si>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</si>
  <si>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</si>
  <si>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</si>
  <si>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</si>
  <si>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</si>
  <si>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</si>
  <si>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</si>
  <si>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</si>
  <si>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</si>
  <si>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</si>
  <si>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</si>
  <si>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</si>
  <si>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</si>
  <si>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</si>
  <si>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</si>
  <si>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</si>
  <si>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</si>
  <si>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</si>
  <si>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</si>
  <si>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</si>
  <si>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</si>
  <si>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</si>
  <si>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</si>
  <si>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</si>
  <si>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</si>
  <si>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</si>
  <si>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</si>
  <si>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</si>
  <si>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</si>
  <si>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</si>
  <si>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</si>
  <si>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</si>
  <si>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</si>
  <si>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</si>
  <si>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</si>
  <si>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</si>
  <si>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</si>
  <si>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</si>
  <si>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</si>
  <si>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</si>
  <si>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</si>
  <si>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</si>
  <si>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</si>
  <si>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</si>
  <si>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</si>
  <si>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</si>
  <si>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</si>
  <si>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</si>
  <si>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</si>
  <si>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</si>
  <si>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</si>
  <si>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</si>
  <si>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</si>
  <si>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</si>
  <si>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</si>
  <si>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</si>
  <si>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</si>
  <si>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</si>
  <si>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</si>
  <si>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</si>
  <si>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</si>
  <si>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</si>
  <si>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</si>
  <si>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</si>
  <si>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</si>
  <si>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</si>
  <si>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</si>
  <si>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</si>
  <si>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</si>
  <si>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</si>
  <si>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</si>
  <si>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</si>
  <si>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</si>
  <si>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</si>
  <si>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</si>
  <si>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</si>
  <si>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</si>
  <si>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</si>
  <si>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</si>
  <si>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</si>
  <si>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</si>
  <si>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</si>
  <si>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</si>
  <si>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</si>
  <si>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</si>
  <si>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</si>
  <si>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</si>
  <si>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</si>
  <si>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</si>
  <si>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</si>
  <si>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</si>
  <si>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</si>
  <si>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</si>
  <si>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</si>
  <si>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</si>
  <si>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</si>
  <si>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</si>
  <si>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</si>
  <si>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</si>
  <si>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</si>
  <si>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</si>
  <si>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</si>
  <si>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</si>
  <si>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</si>
  <si>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</si>
  <si>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</si>
  <si>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</si>
  <si>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</si>
  <si>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</si>
  <si>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</si>
  <si>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</si>
  <si>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</si>
  <si>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</si>
  <si>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</si>
  <si>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</si>
  <si>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</si>
  <si>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</si>
  <si>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</si>
  <si>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</si>
  <si>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</si>
  <si>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</si>
  <si>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</si>
  <si>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</si>
  <si>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</si>
  <si>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</si>
  <si>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</si>
  <si>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</si>
  <si>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</si>
  <si>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</si>
  <si>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</si>
  <si>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</si>
  <si>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</si>
  <si>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</si>
  <si>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</si>
  <si>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</si>
  <si>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</si>
  <si>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</si>
  <si>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</si>
  <si>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</si>
  <si>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</si>
  <si>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</si>
  <si>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</si>
  <si>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</si>
  <si>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</si>
  <si>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</si>
  <si>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</si>
  <si>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</si>
  <si>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</si>
  <si>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</si>
  <si>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</si>
  <si>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</si>
  <si>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</si>
  <si>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</si>
  <si>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</si>
  <si>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</si>
  <si>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</si>
  <si>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</si>
  <si>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</si>
  <si>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</si>
  <si>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</si>
  <si>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</si>
  <si>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</si>
  <si>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</si>
  <si>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</si>
  <si>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</si>
  <si>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</si>
  <si>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</si>
  <si>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</si>
  <si>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</si>
  <si>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</si>
  <si>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</si>
  <si>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</si>
  <si>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</si>
  <si>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</si>
  <si>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</si>
  <si>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</si>
  <si>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</si>
  <si>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</si>
  <si>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</si>
  <si>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</si>
  <si>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</si>
  <si>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</si>
  <si>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</si>
  <si>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</si>
  <si>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</si>
  <si>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</si>
  <si>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</si>
  <si>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</si>
  <si>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</si>
  <si>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</si>
  <si>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</si>
  <si>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</si>
  <si>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</si>
  <si>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</si>
  <si>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</si>
  <si>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</si>
  <si>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</si>
  <si>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</si>
  <si>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</si>
  <si>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</si>
  <si>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</si>
  <si>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</si>
  <si>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</si>
  <si>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</si>
  <si>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</si>
  <si>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</si>
  <si>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</si>
  <si>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</si>
  <si>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</si>
  <si>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</si>
  <si>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</si>
  <si>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</si>
  <si>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</si>
  <si>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</si>
  <si>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</si>
  <si>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</si>
  <si>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</si>
  <si>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</si>
  <si>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</si>
  <si>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</si>
  <si>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</si>
  <si>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</si>
  <si>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</si>
  <si>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</si>
  <si>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</si>
  <si>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</si>
  <si>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</si>
  <si>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</si>
  <si>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</si>
  <si>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</si>
  <si>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</si>
  <si>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</si>
  <si>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</si>
  <si>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</si>
  <si>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</si>
  <si>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</si>
  <si>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</si>
  <si>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</si>
  <si>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</si>
  <si>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</si>
  <si>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</si>
  <si>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</si>
  <si>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</si>
  <si>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</si>
  <si>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</si>
  <si>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</si>
  <si>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</si>
  <si>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</si>
  <si>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</si>
  <si>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</si>
  <si>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</si>
  <si>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</si>
  <si>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</si>
  <si>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</si>
  <si>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</si>
  <si>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</si>
  <si>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</si>
  <si>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</si>
  <si>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</si>
  <si>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</si>
  <si>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</si>
  <si>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</si>
  <si>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</si>
  <si>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</si>
  <si>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</si>
  <si>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</si>
  <si>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</si>
  <si>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</si>
  <si>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</si>
  <si>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</si>
  <si>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</si>
  <si>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</si>
  <si>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</si>
  <si>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</si>
  <si>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</si>
  <si>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</si>
  <si>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</si>
  <si>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</si>
  <si>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</si>
  <si>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</si>
  <si>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</si>
  <si>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</si>
  <si>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</si>
  <si>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</si>
  <si>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</si>
  <si>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</si>
  <si>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</si>
  <si>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</si>
  <si>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</si>
  <si>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</si>
  <si>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</si>
  <si>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</si>
  <si>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</si>
  <si>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</si>
  <si>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</si>
  <si>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</si>
  <si>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</si>
  <si>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</si>
  <si>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</si>
  <si>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</si>
  <si>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</si>
  <si>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</si>
  <si>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</si>
  <si>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</si>
  <si>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</si>
  <si>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</si>
  <si>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</si>
  <si>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</si>
  <si>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</si>
  <si>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</si>
  <si>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</si>
  <si>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</si>
  <si>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</si>
  <si>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</si>
  <si>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</si>
  <si>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</si>
  <si>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</si>
  <si>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</si>
  <si>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</si>
  <si>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</si>
  <si>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</si>
  <si>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</si>
  <si>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</si>
  <si>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</si>
  <si>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</si>
  <si>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</si>
  <si>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</si>
  <si>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</si>
  <si>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</si>
  <si>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</si>
  <si>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</si>
  <si>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</si>
  <si>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</si>
  <si>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</si>
  <si>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</si>
  <si>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</si>
  <si>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</si>
  <si>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</si>
  <si>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</si>
  <si>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</si>
  <si>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</si>
  <si>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</si>
  <si>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</si>
  <si>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</si>
  <si>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</si>
  <si>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</si>
  <si>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</si>
  <si>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</si>
  <si>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</si>
  <si>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</si>
  <si>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</si>
  <si>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</si>
  <si>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</si>
  <si>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</si>
  <si>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</si>
  <si>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</si>
  <si>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</si>
  <si>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</si>
  <si>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</si>
  <si>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</si>
  <si>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</si>
  <si>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</si>
  <si>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</si>
  <si>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</si>
  <si>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</si>
  <si>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</si>
  <si>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</si>
  <si>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</si>
  <si>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</si>
  <si>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</si>
  <si>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</si>
  <si>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</si>
  <si>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</si>
  <si>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</si>
  <si>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</si>
  <si>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</si>
  <si>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</si>
  <si>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</si>
  <si>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</si>
  <si>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</si>
  <si>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</si>
  <si>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</si>
  <si>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</si>
  <si>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</si>
  <si>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</si>
  <si>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</si>
  <si>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</si>
  <si>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</si>
  <si>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</si>
  <si>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</si>
  <si>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</si>
  <si>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</si>
  <si>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</si>
  <si>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</si>
  <si>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</si>
  <si>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</si>
  <si>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</si>
  <si>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</si>
  <si>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</si>
  <si>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</si>
  <si>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</si>
  <si>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</si>
  <si>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</si>
  <si>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</si>
  <si>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</si>
  <si>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</si>
  <si>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</si>
  <si>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</si>
  <si>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</si>
  <si>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</si>
  <si>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</si>
  <si>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</si>
  <si>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</si>
  <si>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</si>
  <si>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</si>
  <si>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</si>
  <si>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</si>
  <si>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</si>
  <si>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</si>
  <si>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</si>
  <si>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</si>
  <si>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</si>
  <si>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</si>
  <si>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</si>
  <si>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</si>
  <si>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</si>
  <si>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</si>
  <si>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</si>
  <si>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</si>
  <si>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</si>
  <si>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</si>
  <si>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</si>
  <si>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</si>
  <si>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</si>
  <si>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</si>
  <si>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</si>
  <si>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</si>
  <si>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</si>
  <si>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</si>
  <si>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</si>
  <si>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</si>
  <si>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</si>
  <si>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</si>
  <si>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</si>
  <si>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</si>
  <si>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</si>
  <si>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</si>
  <si>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</si>
  <si>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</si>
  <si>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</si>
  <si>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</si>
  <si>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</si>
  <si>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</si>
  <si>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</si>
  <si>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</si>
  <si>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</si>
  <si>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</si>
  <si>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</si>
  <si>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</si>
  <si>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</si>
  <si>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</si>
  <si>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</si>
  <si>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</si>
  <si>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</si>
  <si>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</si>
  <si>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</si>
  <si>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</si>
  <si>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</si>
  <si>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</si>
  <si>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</si>
  <si>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</si>
  <si>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</si>
  <si>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</si>
  <si>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</si>
  <si>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</si>
  <si>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</si>
  <si>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</si>
  <si>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</si>
  <si>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</si>
  <si>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</si>
  <si>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</si>
  <si>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</si>
  <si>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</si>
  <si>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</si>
  <si>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</si>
  <si>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</si>
  <si>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</si>
  <si>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</si>
  <si>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</si>
  <si>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</si>
  <si>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</si>
  <si>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</si>
  <si>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</si>
  <si>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</si>
  <si>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</si>
  <si>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</si>
  <si>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</si>
  <si>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</si>
  <si>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</si>
  <si>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</si>
  <si>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</si>
  <si>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</si>
  <si>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</si>
  <si>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</si>
  <si>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</si>
  <si>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</si>
  <si>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</si>
  <si>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</si>
  <si>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</si>
  <si>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</si>
  <si>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</si>
  <si>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</si>
  <si>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</si>
  <si>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</si>
  <si>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</si>
  <si>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</si>
  <si>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</si>
  <si>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</si>
  <si>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</si>
  <si>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</si>
  <si>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</si>
  <si>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</si>
  <si>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</si>
  <si>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</si>
  <si>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</si>
  <si>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</si>
  <si>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</si>
  <si>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</si>
  <si>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</si>
  <si>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</si>
  <si>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</si>
  <si>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</si>
  <si>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</si>
  <si>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</si>
  <si>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</si>
  <si>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</si>
  <si>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</si>
  <si>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</si>
  <si>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</si>
  <si>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</si>
  <si>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</si>
  <si>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</si>
  <si>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</si>
  <si>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</si>
  <si>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</si>
  <si>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</si>
  <si>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</si>
  <si>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</si>
  <si>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</si>
  <si>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</si>
  <si>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</si>
  <si>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</si>
  <si>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</si>
  <si>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</si>
  <si>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</si>
  <si>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</si>
  <si>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</si>
  <si>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</si>
  <si>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</si>
  <si>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</si>
  <si>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</si>
  <si>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</si>
  <si>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</si>
  <si>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</si>
  <si>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</si>
  <si>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</si>
  <si>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</si>
  <si>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</si>
  <si>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</si>
  <si>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</si>
  <si>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</si>
  <si>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</si>
  <si>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</si>
  <si>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</si>
  <si>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</si>
  <si>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</si>
  <si>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</si>
  <si>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</si>
  <si>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</si>
  <si>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</si>
  <si>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</si>
  <si>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</si>
  <si>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</si>
  <si>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</si>
  <si>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</si>
  <si>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</si>
  <si>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</si>
  <si>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</si>
  <si>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</si>
  <si>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</si>
  <si>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</si>
  <si>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</si>
  <si>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</si>
  <si>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</si>
  <si>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</si>
  <si>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</si>
  <si>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</si>
  <si>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</si>
  <si>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</si>
  <si>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</si>
  <si>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</si>
  <si>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</si>
  <si>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</si>
  <si>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</si>
  <si>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</si>
  <si>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</si>
  <si>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</si>
  <si>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</si>
  <si>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</si>
  <si>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</si>
  <si>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</si>
  <si>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</si>
  <si>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</si>
  <si>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</si>
  <si>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</si>
  <si>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</si>
  <si>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</si>
  <si>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</si>
  <si>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</si>
  <si>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</si>
  <si>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</si>
  <si>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</si>
  <si>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</si>
  <si>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</si>
  <si>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</si>
  <si>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</si>
  <si>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</si>
  <si>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</si>
  <si>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</si>
  <si>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</si>
  <si>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</si>
  <si>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</si>
  <si>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</si>
  <si>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</si>
  <si>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</si>
  <si>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</si>
  <si>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</si>
  <si>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</si>
  <si>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</si>
  <si>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</si>
  <si>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</si>
  <si>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</si>
  <si>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</si>
  <si>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</si>
  <si>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</si>
  <si>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</si>
  <si>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</si>
  <si>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</si>
  <si>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</si>
  <si>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</si>
  <si>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</si>
  <si>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</si>
  <si>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</si>
  <si>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</si>
  <si>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</si>
  <si>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</si>
  <si>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</si>
  <si>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</si>
  <si>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</si>
  <si>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</si>
  <si>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</si>
  <si>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</si>
  <si>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</si>
  <si>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</si>
  <si>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</si>
  <si>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</si>
  <si>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</si>
  <si>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</si>
  <si>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</si>
  <si>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</si>
  <si>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</si>
  <si>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</si>
  <si>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</si>
  <si>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</si>
  <si>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</si>
  <si>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</si>
  <si>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</si>
  <si>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</si>
  <si>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</si>
  <si>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</si>
  <si>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</si>
  <si>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</si>
  <si>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</si>
  <si>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</si>
  <si>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</si>
  <si>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</si>
  <si>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</si>
  <si>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</si>
  <si>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</si>
  <si>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</si>
  <si>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</si>
  <si>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</si>
  <si>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</si>
  <si>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</si>
  <si>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</si>
  <si>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</si>
  <si>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</si>
  <si>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</si>
  <si>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</si>
  <si>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</si>
  <si>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</si>
  <si>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</si>
  <si>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</si>
  <si>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</si>
  <si>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</si>
  <si>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</si>
  <si>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</si>
  <si>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</si>
  <si>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</si>
  <si>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</si>
  <si>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</si>
  <si>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</si>
  <si>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</si>
  <si>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</si>
  <si>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</si>
  <si>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</si>
  <si>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</si>
  <si>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</si>
  <si>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</si>
  <si>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</si>
  <si>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</si>
  <si>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</si>
  <si>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</si>
  <si>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</si>
  <si>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</si>
  <si>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</si>
  <si>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</si>
  <si>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</si>
  <si>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</si>
  <si>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</si>
  <si>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</si>
  <si>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</si>
  <si>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</si>
  <si>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</si>
  <si>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</si>
  <si>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</si>
  <si>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</si>
  <si>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</si>
  <si>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</si>
  <si>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</si>
  <si>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</si>
  <si>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</si>
  <si>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</si>
  <si>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</si>
  <si>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</si>
  <si>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</si>
  <si>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</si>
  <si>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</si>
  <si>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</si>
  <si>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</si>
  <si>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</si>
  <si>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</si>
  <si>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</si>
  <si>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</si>
  <si>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</si>
  <si>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</si>
  <si>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</si>
  <si>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</si>
  <si>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</si>
  <si>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</si>
  <si>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</si>
  <si>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</si>
  <si>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</si>
  <si>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</si>
  <si>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</si>
  <si>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</si>
  <si>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</si>
  <si>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</si>
  <si>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</si>
  <si>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</si>
  <si>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</si>
  <si>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</si>
  <si>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</si>
  <si>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</si>
  <si>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</si>
  <si>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</si>
  <si>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</si>
  <si>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</si>
  <si>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</si>
  <si>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</si>
  <si>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</si>
  <si>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</si>
  <si>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</si>
  <si>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</si>
  <si>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</si>
  <si>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</si>
  <si>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</si>
  <si>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</si>
  <si>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</si>
  <si>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</si>
  <si>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</si>
  <si>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</si>
  <si>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</si>
  <si>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</si>
  <si>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</si>
  <si>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</si>
  <si>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</si>
  <si>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</si>
  <si>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</si>
  <si>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</si>
  <si>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</si>
  <si>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</si>
  <si>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</si>
  <si>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</si>
  <si>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</si>
  <si>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</si>
  <si>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</si>
  <si>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</si>
  <si>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</si>
  <si>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</si>
  <si>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</si>
  <si>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</si>
  <si>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</si>
  <si>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</si>
  <si>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</si>
  <si>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</si>
  <si>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</si>
  <si>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</si>
  <si>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</si>
  <si>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</si>
  <si>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</si>
  <si>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</si>
  <si>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</si>
  <si>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</si>
  <si>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</si>
  <si>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</si>
  <si>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</si>
  <si>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</si>
  <si>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</si>
  <si>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</si>
  <si>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</si>
  <si>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</si>
  <si>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</si>
  <si>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</si>
  <si>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</si>
  <si>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</si>
  <si>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</si>
  <si>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</si>
  <si>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</si>
  <si>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</si>
  <si>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</si>
  <si>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</si>
  <si>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</si>
  <si>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</si>
  <si>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</si>
  <si>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</si>
  <si>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</si>
  <si>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</si>
  <si>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</si>
  <si>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</si>
  <si>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</si>
  <si>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</si>
  <si>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</si>
  <si>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</si>
  <si>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</si>
  <si>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</si>
  <si>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</si>
  <si>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</si>
  <si>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</si>
  <si>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</si>
  <si>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</si>
  <si>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</si>
  <si>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</si>
  <si>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</si>
  <si>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</si>
  <si>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</si>
  <si>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</si>
  <si>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</si>
  <si>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</si>
  <si>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</si>
  <si>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</si>
  <si>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</si>
  <si>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</si>
  <si>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</si>
  <si>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</si>
  <si>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</si>
  <si>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</si>
  <si>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</si>
  <si>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</si>
  <si>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</si>
  <si>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</si>
  <si>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</si>
  <si>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</si>
  <si>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</si>
  <si>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</si>
  <si>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</si>
  <si>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</si>
  <si>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</si>
  <si>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</si>
  <si>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</si>
  <si>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</si>
  <si>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</si>
  <si>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</si>
  <si>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</si>
  <si>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</si>
  <si>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</si>
  <si>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</si>
  <si>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</si>
  <si>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</si>
  <si>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</si>
  <si>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</si>
  <si>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</si>
  <si>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</si>
  <si>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</si>
  <si>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</si>
  <si>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</si>
  <si>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</si>
  <si>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</si>
  <si>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</si>
  <si>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</si>
  <si>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</si>
  <si>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</si>
  <si>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</si>
  <si>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</si>
  <si>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</si>
  <si>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</si>
  <si>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</si>
  <si>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</si>
  <si>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</si>
  <si>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</si>
  <si>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</si>
  <si>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</si>
  <si>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</si>
  <si>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</si>
  <si>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</si>
  <si>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</si>
  <si>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</si>
  <si>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</si>
  <si>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</si>
  <si>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</si>
  <si>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</si>
  <si>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</si>
  <si>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</si>
  <si>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</si>
  <si>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</si>
  <si>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</si>
  <si>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</si>
  <si>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</si>
  <si>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</si>
  <si>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</si>
  <si>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</si>
  <si>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</si>
  <si>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</si>
  <si>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</si>
  <si>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</si>
  <si>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</si>
  <si>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</si>
  <si>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</si>
  <si>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</si>
  <si>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</si>
  <si>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</si>
  <si>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</si>
  <si>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</si>
  <si>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</si>
  <si>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</si>
  <si>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</si>
  <si>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</si>
  <si>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</si>
  <si>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</si>
  <si>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</si>
  <si>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</si>
  <si>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</si>
  <si>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</si>
  <si>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</si>
  <si>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</si>
  <si>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</si>
  <si>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</si>
  <si>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</si>
  <si>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</si>
  <si>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</si>
  <si>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</si>
  <si>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</si>
  <si>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</si>
  <si>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</si>
  <si>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</si>
  <si>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</si>
  <si>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</si>
  <si>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</si>
  <si>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</si>
  <si>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</si>
  <si>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</si>
  <si>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</si>
  <si>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</si>
  <si>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</si>
  <si>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</si>
  <si>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</si>
  <si>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</si>
  <si>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</si>
  <si>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</si>
  <si>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</si>
  <si>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</si>
  <si>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</si>
  <si>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</si>
  <si>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</si>
  <si>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</si>
  <si>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</si>
  <si>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</si>
  <si>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</si>
  <si>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</si>
  <si>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</si>
  <si>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</si>
  <si>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</si>
  <si>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</si>
  <si>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</si>
  <si>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</si>
  <si>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</si>
  <si>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</si>
  <si>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</si>
  <si>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</si>
  <si>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</si>
  <si>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</si>
  <si>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</si>
  <si>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</si>
  <si>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</si>
  <si>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</si>
  <si>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</si>
  <si>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</si>
  <si>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</si>
  <si>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</si>
  <si>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</si>
  <si>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</si>
  <si>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</si>
  <si>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</si>
  <si>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</si>
  <si>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</si>
  <si>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</si>
  <si>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</si>
  <si>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</si>
  <si>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</si>
  <si>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</si>
  <si>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</si>
  <si>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</si>
  <si>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</si>
  <si>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</si>
  <si>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</si>
  <si>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</si>
  <si>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</si>
  <si>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</si>
  <si>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</si>
  <si>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</si>
  <si>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</si>
  <si>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</si>
  <si>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</si>
  <si>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</si>
  <si>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</si>
  <si>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</si>
  <si>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</si>
  <si>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</si>
  <si>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</si>
  <si>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</si>
  <si>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</si>
  <si>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</si>
  <si>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</si>
  <si>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</si>
  <si>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</si>
  <si>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</si>
  <si>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</si>
  <si>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</si>
  <si>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</si>
  <si>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</si>
  <si>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</si>
  <si>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</si>
  <si>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</si>
  <si>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</si>
  <si>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</si>
  <si>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</si>
  <si>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</si>
  <si>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</si>
  <si>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</si>
  <si>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</si>
  <si>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</si>
  <si>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</si>
  <si>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</si>
  <si>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</si>
  <si>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</si>
  <si>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</si>
  <si>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</si>
  <si>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</si>
  <si>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</si>
  <si>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</si>
  <si>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</si>
  <si>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</si>
  <si>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</si>
  <si>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</si>
  <si>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</si>
  <si>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</si>
  <si>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</si>
  <si>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</si>
  <si>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</si>
  <si>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</si>
  <si>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</si>
  <si>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</si>
  <si>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</si>
  <si>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</si>
  <si>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</si>
  <si>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</si>
  <si>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</si>
  <si>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</si>
  <si>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</si>
  <si>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</si>
  <si>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</si>
  <si>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</si>
  <si>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</si>
  <si>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</si>
  <si>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</si>
  <si>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</si>
  <si>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</si>
  <si>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</si>
  <si>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</si>
  <si>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</si>
  <si>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</si>
  <si>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</si>
  <si>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</si>
  <si>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</si>
  <si>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</si>
  <si>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</si>
  <si>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</si>
  <si>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</si>
  <si>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</si>
  <si>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</si>
  <si>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</si>
  <si>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</si>
  <si>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</si>
  <si>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</si>
  <si>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</si>
  <si>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</si>
  <si>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</si>
  <si>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</si>
  <si>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</si>
  <si>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</si>
  <si>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</si>
  <si>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</si>
  <si>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</si>
  <si>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</si>
  <si>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</si>
  <si>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</si>
  <si>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</si>
  <si>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</si>
  <si>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</si>
  <si>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</si>
  <si>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</si>
  <si>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</si>
  <si>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</si>
  <si>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</si>
  <si>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</si>
  <si>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</si>
  <si>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</si>
  <si>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</si>
  <si>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</si>
  <si>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</si>
  <si>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</si>
  <si>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</si>
  <si>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</si>
  <si>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</si>
  <si>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</si>
  <si>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</si>
  <si>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</si>
  <si>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</si>
  <si>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</si>
  <si>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</si>
  <si>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</si>
  <si>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</si>
  <si>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</si>
  <si>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</si>
  <si>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</si>
  <si>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</si>
  <si>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</si>
  <si>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</si>
  <si>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</si>
  <si>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</si>
  <si>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</si>
  <si>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</si>
  <si>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</si>
  <si>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</si>
  <si>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</si>
  <si>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</si>
  <si>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</si>
  <si>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</si>
  <si>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</si>
  <si>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</si>
  <si>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</si>
  <si>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</si>
  <si>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</si>
  <si>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</si>
  <si>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</si>
  <si>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</si>
  <si>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</si>
  <si>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</si>
  <si>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</si>
  <si>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</si>
  <si>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</si>
  <si>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</si>
  <si>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</si>
  <si>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</si>
  <si>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</si>
  <si>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</si>
  <si>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</si>
  <si>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</si>
  <si>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</si>
  <si>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</si>
  <si>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</si>
  <si>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</si>
  <si>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</si>
  <si>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</si>
  <si>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</si>
  <si>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</si>
  <si>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</si>
  <si>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</si>
  <si>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</si>
  <si>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</si>
  <si>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</si>
  <si>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</si>
  <si>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</si>
  <si>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</si>
  <si>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</si>
  <si>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</si>
  <si>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</si>
  <si>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</si>
  <si>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</si>
  <si>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</si>
  <si>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</si>
  <si>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</si>
  <si>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</si>
  <si>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</si>
  <si>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</si>
  <si>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</si>
  <si>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</si>
  <si>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</si>
  <si>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</si>
  <si>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</si>
  <si>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</si>
  <si>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</si>
  <si>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</si>
  <si>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</si>
  <si>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</si>
  <si>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</si>
  <si>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</si>
  <si>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</si>
  <si>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</si>
  <si>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</si>
  <si>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</si>
  <si>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</si>
  <si>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</si>
  <si>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</si>
  <si>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</si>
  <si>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</si>
  <si>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</si>
  <si>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</si>
  <si>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</si>
  <si>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</si>
  <si>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</si>
  <si>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</si>
  <si>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</si>
  <si>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</si>
  <si>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</si>
  <si>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</si>
  <si>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</si>
  <si>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</si>
  <si>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</si>
  <si>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</si>
  <si>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</si>
  <si>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</si>
  <si>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</si>
  <si>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</si>
  <si>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</si>
  <si>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</si>
  <si>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</si>
  <si>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</si>
  <si>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</si>
  <si>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</si>
  <si>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</si>
  <si>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</si>
  <si>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</si>
  <si>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</si>
  <si>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</si>
  <si>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</si>
  <si>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</si>
  <si>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</si>
  <si>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</si>
  <si>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</si>
  <si>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</si>
  <si>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</si>
  <si>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</si>
  <si>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</si>
  <si>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</si>
  <si>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</si>
  <si>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</si>
  <si>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</si>
  <si>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</si>
  <si>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</si>
  <si>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</si>
  <si>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</si>
  <si>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</si>
  <si>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</si>
  <si>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</si>
  <si>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</si>
  <si>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</si>
  <si>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</si>
  <si>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</si>
  <si>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</si>
  <si>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</si>
  <si>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</si>
  <si>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</si>
  <si>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</si>
  <si>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</si>
  <si>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</si>
  <si>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</si>
  <si>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</si>
  <si>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</si>
  <si>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</si>
  <si>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</si>
  <si>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</si>
  <si>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</si>
  <si>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</si>
  <si>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</si>
  <si>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</si>
  <si>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</si>
  <si>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</si>
  <si>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</si>
  <si>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</si>
  <si>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</si>
  <si>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</si>
  <si>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</si>
  <si>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</si>
  <si>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</si>
  <si>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</si>
  <si>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</si>
  <si>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</si>
  <si>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</si>
  <si>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</si>
  <si>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</si>
  <si>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</si>
  <si>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</si>
  <si>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</si>
  <si>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</si>
  <si>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</si>
  <si>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</si>
  <si>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</si>
  <si>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</si>
  <si>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</si>
  <si>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</si>
  <si>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</si>
  <si>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</si>
  <si>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</si>
  <si>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</si>
  <si>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</si>
  <si>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</si>
  <si>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</si>
  <si>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</si>
  <si>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</si>
  <si>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</si>
  <si>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</si>
  <si>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</si>
  <si>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</si>
  <si>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</si>
  <si>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</si>
  <si>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</si>
  <si>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</si>
  <si>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</si>
  <si>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</si>
  <si>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</si>
  <si>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</si>
  <si>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</si>
  <si>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</si>
  <si>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</si>
  <si>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</si>
  <si>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</si>
  <si>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</si>
  <si>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</si>
  <si>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</si>
  <si>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</si>
  <si>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</si>
  <si>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</si>
  <si>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</si>
  <si>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</si>
  <si>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</si>
  <si>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</si>
  <si>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</si>
  <si>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</si>
  <si>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</si>
  <si>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</si>
  <si>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</si>
  <si>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</si>
  <si>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</si>
  <si>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</si>
  <si>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</si>
  <si>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</si>
  <si>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</si>
  <si>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</si>
  <si>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</si>
  <si>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</si>
  <si>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</si>
  <si>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</si>
  <si>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</si>
  <si>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</si>
  <si>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</si>
  <si>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</si>
  <si>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</si>
  <si>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</si>
  <si>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</si>
  <si>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</si>
  <si>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</si>
  <si>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</si>
  <si>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</si>
  <si>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</si>
  <si>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</si>
  <si>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</si>
  <si>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</si>
  <si>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</si>
  <si>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</si>
  <si>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</si>
  <si>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</si>
  <si>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</si>
  <si>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</si>
  <si>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</si>
  <si>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</si>
  <si>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</si>
  <si>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</si>
  <si>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</si>
  <si>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</si>
  <si>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</si>
  <si>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</si>
  <si>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</si>
  <si>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</si>
  <si>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</si>
  <si>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</si>
  <si>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</si>
  <si>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</si>
  <si>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</si>
  <si>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</si>
  <si>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</si>
  <si>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</si>
  <si>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</si>
  <si>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</si>
  <si>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</si>
  <si>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</si>
  <si>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</si>
  <si>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</si>
  <si>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</si>
  <si>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</si>
  <si>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</si>
  <si>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</si>
  <si>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</si>
  <si>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</si>
  <si>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</si>
  <si>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</si>
  <si>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</si>
  <si>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</si>
  <si>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</si>
  <si>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</si>
  <si>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</si>
  <si>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</si>
  <si>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</si>
  <si>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</si>
  <si>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</si>
  <si>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</si>
  <si>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</si>
  <si>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</si>
  <si>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</si>
  <si>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</si>
  <si>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</si>
  <si>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</si>
  <si>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</si>
  <si>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</si>
  <si>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</si>
  <si>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</si>
  <si>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</si>
  <si>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</si>
  <si>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</si>
  <si>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</si>
  <si>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</si>
  <si>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</si>
  <si>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</si>
  <si>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</si>
  <si>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</si>
  <si>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</si>
  <si>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</si>
  <si>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</si>
  <si>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</si>
  <si>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</si>
  <si>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</si>
  <si>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</si>
  <si>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</si>
  <si>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</si>
  <si>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</si>
  <si>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</si>
  <si>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</si>
  <si>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</si>
  <si>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</si>
  <si>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</si>
  <si>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</si>
  <si>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</si>
  <si>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</si>
  <si>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</si>
  <si>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</si>
  <si>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</si>
  <si>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</si>
  <si>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</si>
  <si>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</si>
  <si>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</si>
  <si>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</si>
  <si>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</si>
  <si>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</si>
  <si>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</si>
  <si>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</si>
  <si>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</si>
  <si>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</si>
  <si>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</si>
  <si>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</si>
  <si>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</si>
  <si>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</si>
  <si>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</si>
  <si>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</si>
  <si>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</si>
  <si>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</si>
  <si>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</si>
  <si>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</si>
  <si>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</si>
  <si>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</si>
  <si>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</si>
  <si>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</si>
  <si>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</si>
  <si>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</si>
  <si>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</si>
  <si>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</si>
  <si>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</si>
  <si>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</si>
  <si>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</si>
  <si>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</si>
  <si>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</si>
  <si>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</si>
  <si>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</si>
  <si>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</si>
  <si>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</si>
  <si>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</si>
  <si>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</si>
  <si>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</si>
  <si>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</si>
  <si>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</si>
  <si>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</si>
  <si>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</si>
  <si>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</si>
  <si>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</si>
  <si>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</si>
  <si>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</si>
  <si>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</si>
  <si>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</si>
  <si>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</si>
  <si>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</si>
  <si>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</si>
  <si>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</si>
  <si>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</si>
  <si>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</si>
  <si>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</si>
  <si>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</si>
  <si>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</si>
  <si>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</si>
  <si>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</si>
  <si>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</si>
  <si>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</si>
  <si>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</si>
  <si>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</si>
  <si>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</si>
  <si>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</si>
  <si>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</si>
  <si>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</si>
  <si>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</si>
  <si>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</si>
  <si>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</si>
  <si>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</si>
  <si>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</si>
  <si>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</si>
  <si>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</si>
  <si>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</si>
  <si>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</si>
  <si>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</si>
  <si>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</si>
  <si>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</si>
  <si>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</si>
  <si>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</si>
  <si>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</si>
  <si>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</si>
  <si>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</si>
  <si>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</si>
  <si>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</si>
  <si>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</si>
  <si>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</si>
  <si>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</si>
  <si>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</si>
  <si>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</si>
  <si>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</si>
  <si>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</si>
  <si>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</si>
  <si>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</si>
  <si>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</si>
  <si>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</si>
  <si>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</si>
  <si>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</si>
  <si>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</si>
  <si>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</si>
  <si>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</si>
  <si>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</si>
  <si>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</si>
  <si>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</si>
  <si>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</si>
  <si>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</si>
  <si>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</si>
  <si>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</si>
  <si>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</si>
  <si>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</si>
  <si>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</si>
  <si>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</si>
  <si>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</si>
  <si>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</si>
  <si>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</si>
  <si>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</si>
  <si>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</si>
  <si>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</si>
  <si>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</si>
  <si>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</si>
  <si>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</si>
  <si>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</si>
  <si>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</si>
  <si>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</si>
  <si>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</si>
  <si>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</si>
  <si>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</si>
  <si>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</si>
  <si>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</si>
  <si>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</si>
  <si>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</si>
  <si>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</si>
  <si>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</si>
  <si>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</si>
  <si>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</si>
  <si>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</si>
  <si>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</si>
  <si>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</si>
  <si>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</si>
  <si>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</si>
  <si>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</si>
  <si>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</si>
  <si>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</si>
  <si>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</si>
  <si>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</si>
  <si>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</si>
  <si>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</si>
  <si>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</si>
  <si>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</si>
  <si>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</si>
  <si>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</si>
  <si>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</si>
  <si>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</si>
  <si>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</si>
  <si>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</si>
  <si>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</si>
  <si>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</si>
  <si>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</si>
  <si>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</si>
  <si>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</si>
  <si>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</si>
  <si>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</si>
  <si>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</si>
  <si>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</si>
  <si>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</si>
  <si>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</si>
  <si>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</si>
  <si>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</si>
  <si>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</si>
  <si>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</si>
  <si>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</si>
  <si>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</si>
  <si>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</si>
  <si>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</si>
  <si>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</si>
  <si>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</si>
  <si>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</si>
  <si>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</si>
  <si>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</si>
  <si>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</si>
  <si>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</si>
  <si>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</si>
  <si>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</si>
  <si>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</si>
  <si>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</si>
  <si>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</si>
  <si>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</si>
  <si>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</si>
  <si>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</si>
  <si>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</si>
  <si>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</si>
  <si>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</si>
  <si>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</si>
  <si>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</si>
  <si>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</si>
  <si>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</si>
  <si>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</si>
  <si>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</si>
  <si>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</si>
  <si>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</si>
  <si>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</si>
  <si>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</si>
  <si>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</si>
  <si>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</si>
  <si>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</si>
  <si>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</si>
  <si>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</si>
  <si>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</si>
  <si>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</si>
  <si>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</si>
  <si>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</si>
  <si>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</si>
  <si>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</si>
  <si>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</si>
  <si>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</si>
  <si>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</si>
  <si>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</si>
  <si>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</si>
  <si>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</si>
  <si>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</si>
  <si>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</si>
  <si>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</si>
  <si>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</si>
  <si>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</si>
  <si>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</si>
  <si>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</si>
  <si>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</si>
  <si>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</si>
  <si>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</si>
  <si>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</si>
  <si>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</si>
  <si>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</si>
  <si>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</si>
  <si>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</si>
  <si>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</si>
  <si>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</si>
  <si>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</si>
  <si>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</si>
  <si>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</si>
  <si>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</si>
  <si>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</si>
  <si>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</si>
  <si>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</si>
  <si>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</si>
  <si>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</si>
  <si>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</si>
  <si>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</si>
  <si>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</si>
  <si>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</si>
  <si>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</si>
  <si>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</si>
  <si>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</si>
  <si>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</si>
  <si>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</si>
  <si>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</si>
  <si>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</si>
  <si>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</si>
  <si>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</si>
  <si>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</si>
  <si>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</si>
  <si>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</si>
  <si>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</si>
  <si>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</si>
  <si>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</si>
  <si>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</si>
  <si>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</si>
  <si>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</si>
  <si>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</si>
  <si>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</si>
  <si>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</si>
  <si>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</si>
  <si>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</si>
  <si>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</si>
  <si>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</si>
  <si>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</si>
  <si>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</si>
  <si>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</si>
  <si>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</si>
  <si>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</si>
  <si>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</si>
  <si>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</si>
  <si>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</si>
  <si>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</si>
  <si>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</si>
  <si>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</si>
  <si>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</si>
  <si>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</si>
  <si>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</si>
  <si>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</si>
  <si>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</si>
  <si>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</si>
  <si>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</si>
  <si>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</si>
  <si>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</si>
  <si>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</si>
  <si>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</si>
  <si>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</si>
  <si>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</si>
  <si>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</si>
  <si>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</si>
  <si>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</si>
  <si>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</si>
  <si>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</si>
  <si>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</si>
  <si>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</si>
  <si>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</si>
  <si>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</si>
  <si>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</si>
  <si>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</si>
  <si>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</si>
  <si>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</si>
  <si>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</si>
  <si>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</si>
  <si>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</si>
  <si>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</si>
  <si>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</si>
  <si>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</si>
  <si>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</si>
  <si>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</si>
  <si>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</si>
  <si>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</si>
  <si>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</si>
  <si>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</si>
  <si>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</si>
  <si>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</si>
  <si>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</si>
  <si>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</si>
  <si>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</si>
  <si>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</si>
  <si>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</si>
  <si>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</si>
  <si>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</si>
  <si>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</si>
  <si>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</si>
  <si>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</si>
  <si>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</si>
  <si>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</si>
  <si>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</si>
  <si>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</si>
  <si>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</si>
  <si>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</si>
  <si>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</si>
  <si>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</si>
  <si>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</si>
  <si>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</si>
  <si>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</si>
  <si>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</si>
  <si>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</si>
  <si>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</si>
  <si>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</si>
  <si>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</si>
  <si>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</si>
  <si>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</si>
  <si>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</si>
  <si>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</si>
  <si>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</si>
  <si>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</si>
  <si>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</si>
  <si>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</si>
  <si>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</si>
  <si>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</si>
  <si>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</si>
  <si>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</si>
  <si>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</si>
  <si>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</si>
  <si>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</si>
  <si>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</si>
  <si>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</si>
  <si>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</si>
  <si>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</si>
  <si>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</si>
  <si>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</si>
  <si>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</si>
  <si>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</si>
  <si>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</si>
  <si>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</si>
  <si>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</si>
  <si>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</si>
  <si>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</si>
  <si>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</si>
  <si>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</si>
  <si>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</si>
  <si>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</si>
  <si>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</si>
  <si>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</si>
  <si>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</si>
  <si>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</si>
  <si>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</si>
  <si>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</si>
  <si>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</si>
  <si>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</si>
  <si>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</si>
  <si>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</si>
  <si>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</si>
  <si>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</si>
  <si>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</si>
  <si>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</si>
  <si>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</si>
  <si>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</si>
  <si>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</si>
  <si>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</si>
  <si>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</si>
  <si>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</si>
  <si>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</si>
  <si>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</si>
  <si>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</si>
  <si>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</si>
  <si>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</si>
  <si>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</si>
  <si>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</si>
  <si>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</si>
  <si>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</si>
  <si>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</si>
  <si>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</si>
  <si>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</si>
  <si>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</si>
  <si>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</si>
  <si>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</si>
  <si>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</si>
  <si>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</si>
  <si>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</si>
  <si>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</si>
  <si>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</si>
  <si>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</si>
  <si>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</si>
  <si>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</si>
  <si>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</si>
  <si>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</si>
  <si>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</si>
  <si>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</si>
  <si>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</si>
  <si>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</si>
  <si>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</si>
  <si>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</si>
  <si>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</si>
  <si>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</si>
  <si>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</si>
  <si>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</si>
  <si>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</si>
  <si>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</si>
  <si>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</si>
  <si>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</si>
  <si>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</si>
  <si>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</si>
  <si>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</si>
  <si>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</si>
  <si>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</si>
  <si>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</si>
  <si>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</si>
  <si>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</si>
  <si>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</si>
  <si>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</si>
  <si>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</si>
  <si>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</si>
  <si>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</si>
  <si>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</si>
  <si>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</si>
  <si>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</si>
  <si>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</si>
  <si>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</si>
  <si>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</si>
  <si>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</si>
  <si>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</si>
  <si>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</si>
  <si>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</si>
  <si>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</si>
  <si>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</si>
  <si>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</si>
  <si>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</si>
  <si>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</si>
  <si>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</si>
  <si>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</si>
  <si>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</si>
  <si>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</si>
  <si>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</si>
  <si>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</si>
  <si>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</si>
  <si>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</si>
  <si>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</si>
  <si>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</si>
  <si>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</si>
  <si>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</si>
  <si>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</si>
  <si>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</si>
  <si>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</si>
  <si>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</si>
  <si>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</si>
  <si>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</si>
  <si>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</si>
  <si>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</si>
  <si>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</si>
  <si>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</si>
  <si>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</si>
  <si>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</si>
  <si>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</si>
  <si>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</si>
  <si>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</si>
  <si>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</si>
  <si>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</si>
  <si>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</si>
  <si>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</si>
  <si>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</si>
  <si>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</si>
  <si>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</si>
  <si>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</si>
  <si>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</si>
  <si>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</si>
  <si>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</si>
  <si>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</si>
  <si>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</si>
  <si>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</si>
  <si>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</si>
  <si>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</si>
  <si>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</si>
  <si>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</si>
  <si>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</si>
  <si>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</si>
  <si>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</si>
  <si>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</si>
  <si>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</si>
  <si>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</si>
  <si>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</si>
  <si>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</si>
  <si>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</si>
  <si>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</si>
  <si>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</si>
  <si>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</si>
  <si>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</si>
  <si>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</si>
  <si>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</si>
  <si>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</si>
  <si>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</si>
  <si>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</si>
  <si>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</si>
  <si>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</si>
  <si>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</si>
  <si>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</si>
  <si>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</si>
  <si>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</si>
  <si>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</si>
  <si>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</si>
  <si>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</si>
  <si>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</si>
  <si>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</si>
  <si>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</si>
  <si>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</si>
  <si>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</si>
  <si>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</si>
  <si>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</si>
  <si>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</si>
  <si>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</si>
  <si>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</si>
  <si>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</si>
  <si>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</si>
  <si>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</si>
  <si>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</si>
  <si>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</si>
  <si>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</si>
  <si>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</si>
  <si>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</si>
  <si>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</si>
  <si>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</si>
  <si>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</si>
  <si>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</si>
  <si>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</si>
  <si>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</si>
  <si>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</si>
  <si>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</si>
  <si>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</si>
  <si>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</si>
  <si>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</si>
  <si>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</si>
  <si>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</si>
  <si>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</si>
  <si>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</si>
  <si>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</si>
  <si>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</si>
  <si>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</si>
  <si>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</si>
  <si>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</si>
  <si>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</si>
  <si>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</si>
  <si>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</si>
  <si>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</si>
  <si>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</si>
  <si>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</si>
  <si>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</si>
  <si>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</si>
  <si>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</si>
  <si>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</si>
  <si>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</si>
  <si>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</si>
  <si>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</si>
  <si>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</si>
  <si>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</si>
  <si>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</si>
  <si>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</si>
  <si>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</si>
  <si>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</si>
  <si>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</si>
  <si>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</si>
  <si>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</si>
  <si>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</si>
  <si>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</si>
  <si>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</si>
  <si>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</si>
  <si>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</si>
  <si>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</si>
  <si>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</si>
  <si>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</si>
  <si>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</si>
  <si>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</si>
  <si>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</si>
  <si>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</si>
  <si>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</si>
  <si>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</si>
  <si>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</si>
  <si>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</si>
  <si>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</si>
  <si>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</si>
  <si>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</si>
  <si>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</si>
  <si>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</si>
  <si>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</si>
  <si>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</si>
  <si>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</si>
  <si>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</si>
  <si>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</si>
  <si>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</si>
  <si>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</si>
  <si>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</si>
  <si>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</si>
  <si>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</si>
  <si>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</si>
  <si>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</si>
  <si>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</si>
  <si>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</si>
  <si>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</si>
  <si>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</si>
  <si>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</si>
  <si>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</si>
  <si>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</si>
  <si>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</si>
  <si>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</si>
  <si>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</si>
  <si>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</si>
  <si>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</si>
  <si>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</si>
  <si>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</si>
  <si>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</si>
  <si>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</si>
  <si>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</si>
  <si>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</si>
  <si>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</si>
  <si>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</si>
  <si>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</si>
  <si>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</si>
  <si>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</si>
  <si>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</si>
  <si>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</si>
  <si>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</si>
  <si>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</si>
  <si>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</si>
  <si>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</si>
  <si>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</si>
  <si>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</si>
  <si>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</si>
  <si>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</si>
  <si>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</si>
  <si>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</si>
  <si>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</si>
  <si>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</si>
  <si>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</si>
  <si>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</si>
  <si>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</si>
  <si>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</si>
  <si>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</si>
  <si>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</si>
  <si>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</si>
  <si>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</si>
  <si>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</si>
  <si>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</si>
  <si>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</si>
  <si>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</si>
  <si>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</si>
  <si>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</si>
  <si>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</si>
  <si>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</si>
  <si>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</si>
  <si>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</si>
  <si>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</si>
  <si>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</si>
  <si>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</si>
  <si>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</si>
  <si>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</si>
  <si>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</si>
  <si>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</si>
  <si>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</si>
  <si>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</si>
  <si>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</si>
  <si>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</si>
  <si>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</si>
  <si>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</si>
  <si>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</si>
  <si>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</si>
  <si>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</si>
  <si>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</si>
  <si>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</si>
  <si>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</si>
  <si>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</si>
  <si>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</si>
  <si>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</si>
  <si>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</si>
  <si>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</si>
  <si>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</si>
  <si>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</si>
  <si>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</si>
  <si>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</si>
  <si>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</si>
  <si>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</si>
  <si>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</si>
  <si>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</si>
  <si>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</si>
  <si>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</si>
  <si>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</si>
  <si>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</si>
  <si>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</si>
  <si>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</si>
  <si>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</si>
  <si>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</si>
  <si>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</si>
  <si>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</si>
  <si>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</si>
  <si>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</si>
  <si>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</si>
  <si>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</si>
  <si>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</si>
  <si>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</si>
  <si>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</si>
  <si>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</si>
  <si>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</si>
  <si>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</si>
  <si>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</si>
  <si>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</si>
  <si>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</si>
  <si>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</si>
  <si>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</si>
  <si>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</si>
  <si>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</si>
  <si>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</si>
  <si>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</si>
  <si>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</si>
  <si>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</si>
  <si>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</si>
  <si>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</si>
  <si>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</si>
  <si>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</si>
  <si>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</si>
  <si>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</si>
  <si>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</si>
  <si>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</si>
  <si>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</si>
  <si>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</si>
  <si>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</si>
  <si>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</si>
  <si>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</si>
  <si>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</si>
  <si>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</si>
  <si>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</si>
  <si>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</si>
  <si>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</si>
  <si>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</si>
  <si>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</si>
  <si>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</si>
  <si>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</si>
  <si>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</si>
  <si>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</si>
  <si>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</si>
  <si>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</si>
  <si>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</si>
  <si>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</si>
  <si>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</si>
  <si>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</si>
  <si>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</si>
  <si>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</si>
  <si>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</si>
  <si>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</si>
  <si>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</si>
  <si>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</si>
  <si>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</si>
  <si>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</si>
  <si>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</si>
  <si>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</si>
  <si>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</si>
  <si>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</si>
  <si>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</si>
  <si>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</si>
  <si>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</si>
  <si>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</si>
  <si>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</si>
  <si>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</si>
  <si>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</si>
  <si>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</si>
  <si>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</si>
  <si>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</si>
  <si>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</si>
  <si>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</si>
  <si>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</si>
  <si>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</si>
  <si>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</si>
  <si>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</si>
  <si>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</si>
  <si>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</si>
  <si>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</si>
  <si>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</si>
  <si>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</si>
  <si>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</si>
  <si>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</si>
  <si>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</si>
  <si>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</si>
  <si>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</si>
  <si>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</si>
  <si>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</si>
  <si>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</si>
  <si>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</si>
  <si>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</si>
  <si>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</si>
  <si>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</si>
  <si>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</si>
  <si>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</si>
  <si>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</si>
  <si>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</si>
  <si>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</si>
  <si>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</si>
  <si>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</si>
  <si>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</si>
  <si>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</si>
  <si>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</si>
  <si>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</si>
  <si>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</si>
  <si>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</si>
  <si>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</si>
  <si>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</si>
  <si>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</si>
  <si>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</si>
  <si>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</si>
  <si>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</si>
  <si>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</si>
  <si>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</si>
  <si>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</si>
  <si>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</si>
  <si>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</si>
  <si>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</si>
  <si>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</si>
  <si>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</si>
  <si>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</si>
  <si>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</si>
  <si>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</si>
  <si>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</si>
  <si>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</si>
  <si>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</si>
  <si>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</si>
  <si>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</si>
  <si>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</si>
  <si>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</si>
  <si>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</si>
  <si>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</si>
  <si>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</si>
  <si>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</si>
  <si>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</si>
  <si>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</si>
  <si>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</si>
  <si>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</si>
  <si>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</si>
  <si>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</si>
  <si>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</si>
  <si>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</si>
  <si>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</si>
  <si>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</si>
  <si>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</si>
  <si>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</si>
  <si>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</si>
  <si>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</si>
  <si>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</si>
  <si>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</si>
  <si>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</si>
  <si>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</si>
  <si>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</si>
  <si>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</si>
  <si>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</si>
  <si>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</si>
  <si>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</si>
  <si>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</si>
  <si>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</si>
  <si>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</si>
  <si>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</si>
  <si>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</si>
  <si>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</si>
  <si>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</si>
  <si>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</si>
  <si>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</si>
  <si>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</si>
  <si>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</si>
  <si>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</si>
  <si>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</si>
  <si>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</si>
  <si>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</si>
  <si>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</si>
  <si>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</si>
  <si>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</si>
  <si>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</si>
  <si>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</si>
  <si>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</si>
  <si>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</si>
  <si>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</si>
  <si>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</si>
  <si>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</si>
  <si>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</si>
  <si>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</si>
  <si>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</si>
  <si>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</si>
  <si>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</si>
  <si>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</si>
  <si>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</si>
  <si>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</si>
  <si>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</si>
  <si>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</si>
  <si>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</si>
  <si>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</si>
  <si>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</si>
  <si>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</si>
  <si>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</si>
  <si>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</si>
  <si>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</si>
  <si>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</si>
  <si>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</si>
  <si>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</si>
  <si>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</si>
  <si>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</si>
  <si>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</si>
  <si>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</si>
  <si>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</si>
  <si>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</si>
  <si>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</si>
  <si>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</si>
  <si>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</si>
  <si>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</si>
  <si>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</si>
  <si>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</si>
  <si>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</si>
  <si>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</si>
  <si>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</si>
  <si>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</si>
  <si>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</si>
  <si>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</si>
  <si>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</si>
  <si>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</si>
  <si>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</si>
  <si>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</si>
  <si>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</si>
  <si>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</si>
  <si>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</si>
  <si>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</si>
  <si>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</si>
  <si>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</si>
  <si>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</si>
  <si>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</si>
  <si>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</si>
  <si>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</si>
  <si>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</si>
  <si>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</si>
  <si>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</si>
  <si>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</si>
  <si>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</si>
  <si>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</si>
  <si>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</si>
  <si>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</si>
  <si>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</si>
  <si>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</si>
  <si>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</si>
  <si>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</si>
  <si>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</si>
  <si>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</si>
  <si>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</si>
  <si>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</si>
  <si>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</si>
  <si>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</si>
  <si>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</si>
  <si>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</si>
  <si>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</si>
  <si>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</si>
  <si>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</si>
  <si>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</si>
  <si>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</si>
  <si>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</si>
  <si>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</si>
  <si>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</si>
  <si>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</si>
  <si>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</si>
  <si>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</si>
  <si>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</si>
  <si>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</si>
  <si>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</si>
  <si>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</si>
  <si>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</si>
  <si>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</si>
  <si>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</si>
  <si>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</si>
  <si>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</si>
  <si>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</si>
  <si>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</si>
  <si>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</si>
  <si>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</si>
  <si>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</si>
  <si>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</si>
  <si>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</si>
  <si>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</si>
  <si>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</si>
  <si>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</si>
  <si>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</si>
  <si>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</si>
  <si>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</si>
  <si>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</si>
  <si>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</si>
  <si>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</si>
  <si>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</si>
  <si>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</si>
  <si>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</si>
  <si>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</si>
  <si>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</si>
  <si>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</si>
  <si>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</si>
  <si>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</si>
  <si>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</si>
  <si>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</si>
  <si>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</si>
  <si>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</si>
  <si>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</si>
  <si>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</si>
  <si>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</si>
  <si>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</si>
  <si>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</si>
  <si>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</si>
  <si>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</si>
  <si>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</si>
  <si>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</si>
  <si>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</si>
  <si>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</si>
  <si>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</si>
  <si>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</si>
  <si>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</si>
  <si>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</si>
  <si>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</si>
  <si>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</si>
  <si>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</si>
  <si>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</si>
  <si>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</si>
  <si>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</si>
  <si>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</si>
  <si>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</si>
  <si>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</si>
  <si>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</si>
  <si>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</si>
  <si>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</si>
  <si>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</si>
  <si>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</si>
  <si>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</si>
  <si>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</si>
  <si>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</si>
  <si>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</si>
  <si>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</si>
  <si>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</si>
  <si>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</si>
  <si>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</si>
  <si>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</si>
  <si>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</si>
  <si>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</si>
  <si>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</si>
  <si>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</si>
  <si>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</si>
  <si>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</si>
  <si>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</si>
  <si>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</si>
  <si>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</si>
  <si>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</si>
  <si>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</si>
  <si>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</si>
  <si>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</si>
  <si>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</si>
  <si>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</si>
  <si>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</si>
  <si>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</si>
  <si>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</si>
  <si>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</si>
  <si>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</si>
  <si>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</si>
  <si>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</si>
  <si>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</si>
  <si>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</si>
  <si>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</si>
  <si>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</si>
  <si>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</si>
  <si>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</si>
  <si>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</si>
  <si>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</si>
  <si>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</si>
  <si>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</si>
  <si>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</si>
  <si>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</si>
  <si>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</si>
  <si>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</si>
  <si>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</si>
  <si>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</si>
  <si>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</si>
  <si>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</si>
  <si>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</si>
  <si>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</si>
  <si>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</si>
  <si>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</si>
  <si>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</si>
  <si>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</si>
  <si>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</si>
  <si>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</si>
  <si>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</si>
  <si>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</si>
  <si>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</si>
  <si>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</si>
  <si>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</si>
  <si>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</si>
  <si>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</si>
  <si>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</si>
  <si>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</si>
  <si>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</si>
  <si>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</si>
  <si>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</si>
  <si>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</si>
  <si>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</si>
  <si>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</si>
  <si>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</si>
  <si>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</si>
  <si>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</si>
  <si>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</si>
  <si>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</si>
  <si>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</si>
  <si>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</si>
  <si>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</si>
  <si>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</si>
  <si>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</si>
  <si>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</si>
  <si>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</si>
  <si>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</si>
  <si>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</si>
  <si>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</si>
  <si>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</si>
  <si>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</si>
  <si>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</si>
  <si>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</si>
  <si>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</si>
  <si>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</si>
  <si>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</si>
  <si>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</si>
  <si>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</si>
  <si>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</si>
  <si>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</si>
  <si>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</si>
  <si>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</si>
  <si>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</si>
  <si>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</si>
  <si>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</si>
  <si>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</si>
  <si>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</si>
  <si>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</si>
  <si>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</si>
  <si>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</si>
  <si>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</si>
  <si>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</si>
  <si>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</si>
  <si>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</si>
  <si>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</si>
  <si>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</si>
  <si>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</si>
  <si>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</si>
  <si>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</si>
  <si>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</si>
  <si>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</si>
  <si>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</si>
  <si>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</si>
  <si>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</si>
  <si>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</si>
  <si>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</si>
  <si>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</si>
  <si>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</si>
  <si>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</si>
  <si>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</si>
  <si>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</si>
  <si>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</si>
  <si>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</si>
  <si>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</si>
  <si>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</si>
  <si>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</si>
  <si>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</si>
  <si>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</si>
  <si>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</si>
  <si>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</si>
  <si>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</si>
  <si>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</si>
  <si>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</si>
  <si>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</si>
  <si>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</si>
  <si>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</si>
  <si>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</si>
  <si>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</si>
  <si>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</si>
  <si>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</si>
  <si>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</si>
  <si>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</si>
  <si>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</si>
  <si>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</si>
  <si>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</si>
  <si>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</si>
  <si>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</si>
  <si>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</si>
  <si>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</si>
  <si>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</si>
  <si>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</si>
  <si>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</si>
  <si>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</si>
  <si>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</si>
  <si>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</si>
  <si>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</si>
  <si>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</si>
  <si>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</si>
  <si>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</si>
  <si>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</si>
  <si>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</si>
  <si>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</si>
  <si>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</si>
  <si>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</si>
  <si>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</si>
  <si>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</si>
  <si>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</si>
  <si>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</si>
  <si>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</si>
  <si>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</si>
  <si>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</si>
  <si>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</si>
  <si>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</si>
  <si>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</si>
  <si>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</si>
  <si>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</si>
  <si>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</si>
  <si>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</si>
  <si>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</si>
  <si>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</si>
  <si>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</si>
  <si>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</si>
  <si>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</si>
  <si>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</si>
  <si>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</si>
  <si>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</si>
  <si>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</si>
  <si>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</si>
  <si>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</si>
  <si>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</si>
  <si>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</si>
  <si>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</si>
  <si>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</si>
  <si>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</si>
  <si>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</si>
  <si>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</si>
  <si>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</si>
  <si>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</si>
  <si>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</si>
  <si>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</si>
  <si>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</si>
  <si>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</si>
  <si>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</si>
  <si>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</si>
  <si>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</si>
  <si>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</si>
  <si>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</si>
  <si>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</si>
  <si>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</si>
  <si>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</si>
  <si>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</si>
  <si>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</si>
  <si>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</si>
  <si>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</si>
  <si>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</si>
  <si>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</si>
  <si>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</si>
  <si>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</si>
  <si>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</si>
  <si>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</si>
  <si>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</si>
  <si>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</si>
  <si>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</si>
  <si>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</si>
  <si>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</si>
  <si>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</si>
  <si>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</si>
  <si>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</si>
  <si>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</si>
  <si>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</si>
  <si>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</si>
  <si>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</si>
  <si>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</si>
  <si>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</si>
  <si>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</si>
  <si>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</si>
  <si>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</si>
  <si>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</si>
  <si>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</si>
  <si>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</si>
  <si>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</si>
  <si>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</si>
  <si>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</si>
  <si>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</si>
  <si>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</si>
  <si>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</si>
  <si>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</si>
  <si>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</si>
  <si>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</si>
  <si>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</si>
  <si>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</si>
  <si>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</si>
  <si>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</si>
  <si>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</si>
  <si>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</si>
  <si>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</si>
  <si>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</si>
  <si>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</si>
  <si>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</si>
  <si>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</si>
  <si>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</si>
  <si>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</si>
  <si>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</si>
  <si>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</si>
  <si>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</si>
  <si>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</si>
  <si>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</si>
  <si>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</si>
  <si>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</si>
  <si>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</si>
  <si>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</si>
  <si>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</si>
  <si>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</si>
  <si>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</si>
  <si>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</si>
  <si>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</si>
  <si>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</si>
  <si>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</si>
  <si>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</si>
  <si>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</si>
  <si>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</si>
  <si>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</si>
  <si>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</si>
  <si>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</si>
  <si>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</si>
  <si>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</si>
  <si>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</si>
  <si>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</si>
  <si>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</si>
  <si>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</si>
  <si>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</si>
  <si>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</si>
  <si>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</si>
  <si>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</si>
  <si>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</si>
  <si>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</si>
  <si>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</si>
  <si>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</si>
  <si>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</si>
  <si>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</si>
  <si>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</si>
  <si>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</si>
  <si>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</si>
  <si>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</si>
  <si>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</si>
  <si>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</si>
  <si>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</si>
  <si>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</si>
  <si>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</si>
  <si>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</si>
  <si>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</si>
  <si>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</si>
  <si>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</si>
  <si>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</si>
  <si>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</si>
  <si>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</si>
  <si>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</si>
  <si>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</si>
  <si>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</si>
  <si>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</si>
  <si>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</si>
  <si>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</si>
  <si>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</si>
  <si>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</si>
  <si>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</si>
  <si>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</si>
  <si>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</si>
  <si>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</si>
  <si>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</si>
  <si>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</si>
  <si>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</si>
  <si>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</si>
  <si>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</si>
  <si>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</si>
  <si>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</si>
  <si>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</si>
  <si>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</si>
  <si>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</si>
  <si>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</si>
  <si>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</si>
  <si>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</si>
  <si>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</si>
  <si>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</si>
  <si>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</si>
  <si>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</si>
  <si>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</si>
  <si>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</si>
  <si>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</si>
  <si>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</si>
  <si>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</si>
  <si>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</si>
  <si>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</si>
  <si>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</si>
  <si>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</si>
  <si>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</si>
  <si>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</si>
  <si>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</si>
  <si>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</si>
  <si>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</si>
  <si>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</si>
  <si>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</si>
  <si>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</si>
  <si>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</si>
  <si>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</si>
  <si>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</si>
  <si>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</si>
  <si>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</si>
  <si>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</si>
  <si>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</si>
  <si>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</si>
  <si>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</si>
  <si>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</si>
  <si>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</si>
  <si>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</si>
  <si>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</si>
  <si>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</si>
  <si>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</si>
  <si>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</si>
  <si>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</si>
  <si>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</si>
  <si>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</si>
  <si>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</si>
  <si>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</si>
  <si>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</si>
  <si>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</si>
  <si>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</si>
  <si>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</si>
  <si>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</si>
  <si>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</si>
  <si>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</si>
  <si>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</si>
  <si>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</si>
  <si>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</si>
  <si>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</si>
  <si>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</si>
  <si>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</si>
  <si>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</si>
  <si>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</si>
  <si>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</si>
  <si>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</si>
  <si>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</si>
  <si>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</si>
  <si>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</si>
  <si>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</si>
  <si>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</si>
  <si>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</si>
  <si>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</si>
  <si>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</si>
  <si>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</si>
  <si>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</si>
  <si>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</si>
  <si>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</si>
  <si>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</si>
  <si>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</si>
  <si>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</si>
  <si>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</si>
  <si>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</si>
  <si>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</si>
  <si>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</si>
  <si>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</si>
  <si>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</si>
  <si>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</si>
  <si>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</si>
  <si>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</si>
  <si>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</si>
  <si>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</si>
  <si>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</si>
  <si>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</si>
  <si>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</si>
  <si>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</si>
  <si>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</si>
  <si>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</si>
  <si>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</si>
  <si>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</si>
  <si>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</si>
  <si>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</si>
  <si>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</si>
  <si>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</si>
  <si>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</si>
  <si>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</si>
  <si>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</si>
  <si>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</si>
  <si>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</si>
  <si>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</si>
  <si>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</si>
  <si>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</si>
  <si>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</si>
  <si>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</si>
  <si>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</si>
  <si>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</si>
  <si>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</si>
  <si>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</si>
  <si>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</si>
  <si>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</si>
  <si>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</si>
  <si>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</si>
  <si>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</si>
  <si>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</si>
  <si>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</si>
  <si>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</si>
  <si>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</si>
  <si>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</si>
  <si>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</si>
  <si>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</si>
  <si>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</si>
  <si>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</si>
  <si>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</si>
  <si>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</si>
  <si>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</si>
  <si>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</si>
  <si>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</si>
  <si>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</si>
  <si>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</si>
  <si>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</si>
  <si>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</si>
  <si>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</si>
  <si>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</si>
  <si>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</si>
  <si>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</si>
  <si>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</si>
  <si>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</si>
  <si>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</si>
  <si>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</si>
  <si>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</si>
  <si>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</si>
  <si>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</si>
  <si>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</si>
  <si>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</si>
  <si>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</si>
  <si>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</si>
  <si>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</si>
  <si>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</si>
  <si>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</si>
  <si>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</si>
  <si>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</si>
  <si>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</si>
  <si>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</si>
  <si>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</si>
  <si>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</si>
  <si>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</si>
  <si>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</si>
  <si>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</si>
  <si>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</si>
  <si>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</si>
  <si>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</si>
  <si>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</si>
  <si>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</si>
  <si>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</si>
  <si>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</si>
  <si>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</si>
  <si>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</si>
  <si>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</si>
  <si>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</si>
  <si>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</si>
  <si>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</si>
  <si>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</si>
  <si>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</si>
  <si>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</si>
  <si>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</si>
  <si>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</si>
  <si>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</si>
  <si>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</si>
  <si>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</si>
  <si>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</si>
  <si>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</si>
  <si>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</si>
  <si>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</si>
  <si>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</si>
  <si>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</si>
  <si>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</si>
  <si>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</si>
  <si>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</si>
  <si>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</si>
  <si>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</si>
  <si>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</si>
  <si>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</si>
  <si>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</si>
  <si>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</si>
  <si>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</si>
  <si>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</si>
  <si>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</si>
  <si>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</si>
  <si>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</si>
  <si>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</si>
  <si>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</si>
  <si>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</si>
  <si>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</si>
  <si>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</si>
  <si>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</si>
  <si>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</si>
  <si>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</si>
  <si>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</si>
  <si>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</si>
  <si>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</si>
  <si>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</si>
  <si>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</si>
  <si>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</si>
  <si>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</si>
  <si>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</si>
  <si>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</si>
  <si>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</si>
  <si>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</si>
  <si>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</si>
  <si>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</si>
  <si>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</si>
  <si>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</si>
  <si>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</si>
  <si>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</si>
  <si>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</si>
  <si>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</si>
  <si>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</si>
  <si>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</si>
  <si>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</si>
  <si>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</si>
  <si>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</si>
  <si>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</si>
  <si>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</si>
  <si>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</si>
  <si>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</si>
  <si>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</si>
  <si>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</si>
  <si>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</si>
  <si>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</si>
  <si>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</si>
  <si>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</si>
  <si>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</si>
  <si>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</si>
  <si>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</si>
  <si>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</si>
  <si>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</si>
  <si>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</si>
  <si>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</si>
  <si>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</si>
  <si>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</si>
  <si>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</si>
  <si>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</si>
  <si>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</si>
  <si>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</si>
  <si>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</si>
  <si>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</si>
  <si>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</si>
  <si>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</si>
  <si>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</si>
  <si>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</si>
  <si>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</si>
  <si>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</si>
  <si>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</si>
  <si>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</si>
  <si>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</si>
  <si>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</si>
  <si>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</si>
  <si>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</si>
  <si>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</si>
  <si>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</si>
  <si>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</si>
  <si>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</si>
  <si>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</si>
  <si>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</si>
  <si>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</si>
  <si>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</si>
  <si>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</si>
  <si>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</si>
  <si>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</si>
  <si>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</si>
  <si>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</si>
  <si>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</si>
  <si>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</si>
  <si>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</si>
  <si>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</si>
  <si>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</si>
  <si>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</si>
  <si>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</si>
  <si>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</si>
  <si>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</si>
  <si>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</si>
  <si>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</si>
  <si>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</si>
  <si>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</si>
  <si>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</si>
  <si>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</si>
  <si>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</si>
  <si>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</si>
  <si>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</si>
  <si>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</si>
  <si>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</si>
  <si>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</si>
  <si>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</si>
  <si>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</si>
  <si>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</si>
  <si>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</si>
  <si>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</si>
  <si>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</si>
  <si>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</si>
  <si>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customer_name_cleaned</t>
  </si>
  <si>
    <t>segment_cleaned</t>
  </si>
  <si>
    <t>region_cleaned</t>
  </si>
  <si>
    <t>state_clean</t>
  </si>
  <si>
    <t>city_clean</t>
  </si>
  <si>
    <t>category_clean</t>
  </si>
  <si>
    <t>sub_category_clean</t>
  </si>
  <si>
    <t>ship_mode_clean</t>
  </si>
  <si>
    <t>payment_status_clean</t>
  </si>
  <si>
    <t>order_status_clean</t>
  </si>
  <si>
    <t>order_date_clean</t>
  </si>
  <si>
    <t>shipping_delay</t>
  </si>
  <si>
    <t>Duplicate_OrderID</t>
  </si>
  <si>
    <t>cleaned_discount</t>
  </si>
  <si>
    <t>calculated_sales</t>
  </si>
  <si>
    <t>calculated_profit</t>
  </si>
  <si>
    <t>profit_margin</t>
  </si>
  <si>
    <t>data_quality_flag</t>
  </si>
  <si>
    <t>order_month</t>
  </si>
  <si>
    <t>order_year</t>
  </si>
  <si>
    <t>shipping_validation</t>
  </si>
  <si>
    <t>region_flag</t>
  </si>
  <si>
    <t>Unknown</t>
  </si>
  <si>
    <t>shipmode_flag</t>
  </si>
  <si>
    <t>discount_flag</t>
  </si>
  <si>
    <t>payment_status_flag</t>
  </si>
  <si>
    <t>order_status_flag</t>
  </si>
  <si>
    <t>sales_mismatch</t>
  </si>
  <si>
    <t>profit_mismatch</t>
  </si>
  <si>
    <t>Invaild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</si>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</sst>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4406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5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2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1" fontId="2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1"/>
  </cellXfs>
  <cellStyles count="2">
    <cellStyle name="Normal" xfId="0" builtinId="0"/>
    <cellStyle name="Normal 2" xfId="1" xr:uid="{44C96066-70F4-4304-BBA3-7C17EA7DE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0805-DE35-4E02-B8C7-3D68557D285B}">
  <dimension ref="A1:AY933"/>
  <sheetViews>
    <sheetView tabSelected="1" zoomScaleNormal="100" workbookViewId="0">
      <pane ySplit="1" topLeftCell="A2" activePane="bottomLeft" state="frozen"/>
      <selection activeCell="Y1" sqref="Y1"/>
      <selection pane="bottomLeft" activeCell="R8" sqref="R8"/>
    </sheetView>
  </sheetViews>
  <sheetFormatPr defaultRowHeight="14.4"/>
  <cols>
    <col min="1" max="2" width="15.109375" bestFit="1" customWidth="1"/>
    <col min="3" max="4" width="11.44140625" hidden="1" customWidth="1"/>
    <col min="5" max="7" width="11.44140625" customWidth="1"/>
    <col min="8" max="8" width="9.44140625" hidden="1" customWidth="1"/>
    <col min="9" max="9" width="10.6640625" bestFit="1" customWidth="1"/>
    <col min="10" max="10" width="11.44140625" style="8" customWidth="1"/>
    <col min="11" max="11" width="16.6640625" style="8" bestFit="1" customWidth="1"/>
    <col min="12" max="12" width="10" bestFit="1" customWidth="1"/>
    <col min="13" max="13" width="13.77734375" hidden="1" customWidth="1"/>
    <col min="14" max="14" width="13.77734375" customWidth="1"/>
    <col min="15" max="15" width="15" hidden="1" customWidth="1"/>
    <col min="16" max="16" width="15" customWidth="1"/>
    <col min="17" max="17" width="7.21875" hidden="1" customWidth="1"/>
    <col min="18" max="18" width="11.6640625" bestFit="1" customWidth="1"/>
    <col min="19" max="19" width="15.77734375" bestFit="1" customWidth="1"/>
    <col min="20" max="20" width="10.6640625" hidden="1" customWidth="1"/>
    <col min="21" max="21" width="14.5546875" customWidth="1"/>
    <col min="22" max="22" width="12" hidden="1" customWidth="1"/>
    <col min="23" max="23" width="12" customWidth="1"/>
    <col min="24" max="24" width="13.109375" bestFit="1" customWidth="1"/>
    <col min="25" max="25" width="14.88671875" hidden="1" customWidth="1"/>
    <col min="26" max="26" width="10.44140625" hidden="1" customWidth="1"/>
    <col min="27" max="27" width="10.44140625" customWidth="1"/>
    <col min="28" max="28" width="20" bestFit="1" customWidth="1"/>
    <col min="29" max="29" width="15.44140625" hidden="1" customWidth="1"/>
    <col min="30" max="30" width="15.44140625" customWidth="1"/>
    <col min="31" max="31" width="19.88671875" bestFit="1" customWidth="1"/>
    <col min="33" max="33" width="8.33203125" bestFit="1" customWidth="1"/>
    <col min="34" max="34" width="6.77734375" hidden="1" customWidth="1"/>
    <col min="35" max="35" width="8.6640625" customWidth="1"/>
    <col min="36" max="36" width="21.88671875" bestFit="1" customWidth="1"/>
    <col min="37" max="39" width="9" bestFit="1" customWidth="1"/>
    <col min="40" max="40" width="0.33203125" customWidth="1"/>
    <col min="42" max="42" width="20.5546875" bestFit="1" customWidth="1"/>
    <col min="43" max="43" width="16.109375" hidden="1" customWidth="1"/>
    <col min="44" max="44" width="11.21875" bestFit="1" customWidth="1"/>
    <col min="45" max="45" width="20.5546875" bestFit="1" customWidth="1"/>
    <col min="48" max="48" width="8.88671875" style="6"/>
    <col min="50" max="50" width="10.21875" bestFit="1" customWidth="1"/>
  </cols>
  <sheetData>
    <row r="1" spans="1:51" ht="52.2" customHeight="1">
      <c r="A1" s="1" t="s">
        <v>0</v>
      </c>
      <c r="B1" s="9" t="s">
        <v>4099</v>
      </c>
      <c r="C1" s="1" t="s">
        <v>1</v>
      </c>
      <c r="D1" s="1" t="s">
        <v>1</v>
      </c>
      <c r="E1" s="1" t="s">
        <v>4097</v>
      </c>
      <c r="F1" s="1" t="s">
        <v>4105</v>
      </c>
      <c r="G1" s="1" t="s">
        <v>4106</v>
      </c>
      <c r="H1" s="1" t="s">
        <v>2</v>
      </c>
      <c r="I1" s="1" t="s">
        <v>2</v>
      </c>
      <c r="J1" s="7" t="s">
        <v>4098</v>
      </c>
      <c r="K1" s="7" t="s">
        <v>4107</v>
      </c>
      <c r="L1" s="1" t="s">
        <v>3</v>
      </c>
      <c r="M1" s="1" t="s">
        <v>4</v>
      </c>
      <c r="N1" s="1" t="s">
        <v>4087</v>
      </c>
      <c r="O1" s="1" t="s">
        <v>5</v>
      </c>
      <c r="P1" s="1" t="s">
        <v>4088</v>
      </c>
      <c r="Q1" s="1" t="s">
        <v>6</v>
      </c>
      <c r="R1" s="1" t="s">
        <v>4089</v>
      </c>
      <c r="S1" s="1" t="s">
        <v>4108</v>
      </c>
      <c r="T1" s="1" t="s">
        <v>7</v>
      </c>
      <c r="U1" s="1" t="s">
        <v>4090</v>
      </c>
      <c r="V1" s="1" t="s">
        <v>8</v>
      </c>
      <c r="W1" s="1" t="s">
        <v>4091</v>
      </c>
      <c r="X1" s="1" t="s">
        <v>4092</v>
      </c>
      <c r="Y1" s="1" t="s">
        <v>9</v>
      </c>
      <c r="Z1" s="1" t="s">
        <v>10</v>
      </c>
      <c r="AA1" s="1" t="s">
        <v>4093</v>
      </c>
      <c r="AB1" s="1" t="s">
        <v>11</v>
      </c>
      <c r="AC1" s="1"/>
      <c r="AD1" s="1" t="s">
        <v>4094</v>
      </c>
      <c r="AE1" s="1" t="s">
        <v>4110</v>
      </c>
      <c r="AF1" s="1" t="s">
        <v>12</v>
      </c>
      <c r="AG1" s="1" t="s">
        <v>13</v>
      </c>
      <c r="AH1" s="1" t="s">
        <v>14</v>
      </c>
      <c r="AI1" s="1" t="s">
        <v>4100</v>
      </c>
      <c r="AJ1" s="1" t="s">
        <v>4111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4095</v>
      </c>
      <c r="AP1" s="1" t="s">
        <v>4112</v>
      </c>
      <c r="AQ1" s="1" t="s">
        <v>19</v>
      </c>
      <c r="AR1" s="1" t="s">
        <v>4096</v>
      </c>
      <c r="AS1" s="1" t="s">
        <v>4113</v>
      </c>
      <c r="AT1" s="1" t="s">
        <v>4101</v>
      </c>
      <c r="AU1" s="1" t="s">
        <v>4102</v>
      </c>
      <c r="AV1" s="5" t="s">
        <v>4103</v>
      </c>
      <c r="AW1" s="1" t="s">
        <v>4104</v>
      </c>
      <c r="AX1" s="1" t="s">
        <v>4114</v>
      </c>
      <c r="AY1" s="1" t="s">
        <v>4115</v>
      </c>
    </row>
    <row r="2" spans="1:51" ht="13.8" customHeight="1">
      <c r="A2" t="s">
        <v>20</v>
      </c>
      <c r="B2">
        <f t="shared" ref="B2:B65" si="0">COUNTIF($A:$A,A2)</f>
        <v>1</v>
      </c>
      <c r="C2" t="s">
        <v>21</v>
      </c>
      <c r="D2" s="2">
        <v>45494</v>
      </c>
      <c r="E2" t="str">
        <f t="shared" ref="E2:E65" si="1">IFERROR(
TEXT(
  IF(ISNUMBER(SEARCH("/",D2)),
     DATE(RIGHT(D2,4),LEFT(D2,FIND("/",D2)-1),
          MID(D2,FIND("/",D2)+1,FIND("/",D2,FIND("/",D2)+1)-FIND("/",D2)-1)),
     IF(ISNUMBER(SEARCH("-",D2)),
        DATEVALUE(SUBSTITUTE(D2,"-","/")),
        DATEVALUE(TEXT(D2,"dd mmm yyyy"))
     )
  ),
"yyyy/mm/dd"
),
"")</f>
        <v>2024/07/21</v>
      </c>
      <c r="F2" t="str">
        <f>TEXT(E2,"MMMM")</f>
        <v>July</v>
      </c>
      <c r="G2">
        <f>YEAR(E2)</f>
        <v>2024</v>
      </c>
      <c r="H2" t="s">
        <v>22</v>
      </c>
      <c r="I2" s="4">
        <v>45500</v>
      </c>
      <c r="J2" s="8">
        <f t="shared" ref="J2:J65" si="2">I2-E2</f>
        <v>6</v>
      </c>
      <c r="K2" s="8" t="str">
        <f>IF(J2&lt;0,"INVAILD_SHIPPING","OK")</f>
        <v>OK</v>
      </c>
      <c r="L2" t="s">
        <v>23</v>
      </c>
      <c r="M2" t="s">
        <v>24</v>
      </c>
      <c r="N2" t="str">
        <f t="shared" ref="N2:N65" si="3">PROPER(TRIM(SUBSTITUTE(M2,CHAR(160)," ")))</f>
        <v>Karan Malhotra</v>
      </c>
      <c r="O2" t="s">
        <v>25</v>
      </c>
      <c r="P2" t="str">
        <f t="shared" ref="P2:P7" si="4">PROPER(TRIM(SUBSTITUTE(O2,CHAR(160)," ")))</f>
        <v>Consumer</v>
      </c>
      <c r="Q2" t="s">
        <v>26</v>
      </c>
      <c r="R2" t="str">
        <f t="shared" ref="R2:R33" si="5">PROPER(TRIM(SUBSTITUTE(Q2,CHAR(160)," ")))</f>
        <v>North</v>
      </c>
      <c r="S2" t="str">
        <f>IF(R2="Unknown","MISSING_REGION","OK")</f>
        <v>OK</v>
      </c>
      <c r="T2" t="s">
        <v>27</v>
      </c>
      <c r="U2" t="str">
        <f t="shared" ref="U2:U65" si="6">PROPER(TRIM(SUBSTITUTE(T2,CHAR(160)," ")))</f>
        <v>Rajasthan</v>
      </c>
      <c r="V2" t="s">
        <v>28</v>
      </c>
      <c r="W2" t="str">
        <f t="shared" ref="W2:W65" si="7">PROPER(TRIM(SUBSTITUTE(V2,CHAR(160)," ")))</f>
        <v>Jaipur</v>
      </c>
      <c r="X2" t="str">
        <f t="shared" ref="X2:X65" si="8">PROPER(TRIM(SUBSTITUTE(Y2,CHAR(160)," ")))</f>
        <v>Office Supplies</v>
      </c>
      <c r="Y2" t="s">
        <v>29</v>
      </c>
      <c r="Z2" t="s">
        <v>30</v>
      </c>
      <c r="AA2" t="str">
        <f t="shared" ref="AA2:AA65" si="9">PROPER(TRIM(SUBSTITUTE(Z2,CHAR(160)," ")))</f>
        <v>Paper</v>
      </c>
      <c r="AB2" t="s">
        <v>31</v>
      </c>
      <c r="AC2" t="s">
        <v>32</v>
      </c>
      <c r="AD2" t="str">
        <f t="shared" ref="AD2:AD36" si="10">PROPER(TRIM(SUBSTITUTE(AC2,CHAR(160)," ")))</f>
        <v>Second Class</v>
      </c>
      <c r="AE2" t="str">
        <f>IF(AD2="Unknown","MISSING_SHIP_MODE","OK")</f>
        <v>OK</v>
      </c>
      <c r="AF2">
        <v>8</v>
      </c>
      <c r="AG2">
        <v>2976.45</v>
      </c>
      <c r="AH2">
        <v>0.2</v>
      </c>
      <c r="AI2">
        <f>IF(RIGHT(AH2,1)="%",VALUE(SUBSTITUTE(AH2,"%",""))/100,AH2)</f>
        <v>0.2</v>
      </c>
      <c r="AJ2" t="str">
        <f>IF(AH2="","Missing Discount",
IF(AH2&lt;0,"Invalid Negative Discount",
"OK"))</f>
        <v>OK</v>
      </c>
      <c r="AK2">
        <v>19049.28</v>
      </c>
      <c r="AL2">
        <v>15841.89</v>
      </c>
      <c r="AM2">
        <v>3207.39</v>
      </c>
      <c r="AN2" t="s">
        <v>33</v>
      </c>
      <c r="AO2" t="str">
        <f t="shared" ref="AO2:AO65" si="11">UPPER(TRIM(SUBSTITUTE(AN2,CHAR(160)," ")))</f>
        <v>PAID</v>
      </c>
      <c r="AP2" t="str">
        <f>IF(AO2="Failed","EXCLUDE_FROM_SALES",
IF(AO2="Refunded","REFUNDED_PAYMENT",
"OK"))</f>
        <v>OK</v>
      </c>
      <c r="AQ2" t="s">
        <v>34</v>
      </c>
      <c r="AR2" t="str">
        <f t="shared" ref="AR2:AR65" si="12">UPPER(TRIM(SUBSTITUTE(AQ2,CHAR(160)," ")))</f>
        <v>COMPLETED</v>
      </c>
      <c r="AS2" t="str">
        <f>IF(AR2="Cancelled","EXCLUDE_FROM_SALES",
IF(AR2="Returned","RETURNED_ORDER",
"OK"))</f>
        <v>OK</v>
      </c>
      <c r="AT2">
        <f>IF(AI2&lt;0,"INVAILD",AF2*AG2*(1-AI2))</f>
        <v>19049.28</v>
      </c>
      <c r="AU2">
        <f>IF(AT2="INVAILD","INVAILD",AT2-AL2)</f>
        <v>3207.3899999999994</v>
      </c>
      <c r="AV2" s="6">
        <f>IF(OR(AT2="INVALID",AU2="INVALID"),"",AU23/AT2)</f>
        <v>0.14218700129348719</v>
      </c>
      <c r="AW2" t="str">
        <f>IF(OR(AJ2&lt;&gt;"OK",K2="INVALID_SHIPPING"),
"INVALID",
IF(OR(S2&lt;&gt;"OK",AE2&lt;&gt;"OK"),
"WARNING",
"CLEAN"))</f>
        <v>CLEAN</v>
      </c>
      <c r="AX2" s="10" t="str">
        <f>IF(AT2="INVALID","INVALID",
IF(ROUND(AK2,2)=ROUND(AT2,2),"MATCH","MISMATCH"))</f>
        <v>MATCH</v>
      </c>
      <c r="AY2" t="str">
        <f>IF(AU2="INVALID","INVALID",IF(ROUND(AM2,2)=ROUND(AU2,2),"MATCH","MISMATCH"))</f>
        <v>MATCH</v>
      </c>
    </row>
    <row r="3" spans="1:51">
      <c r="A3" t="s">
        <v>35</v>
      </c>
      <c r="B3">
        <f t="shared" si="0"/>
        <v>1</v>
      </c>
      <c r="C3" t="s">
        <v>36</v>
      </c>
      <c r="D3" s="3">
        <v>45535</v>
      </c>
      <c r="E3" t="str">
        <f t="shared" si="1"/>
        <v>2024/08/31</v>
      </c>
      <c r="F3" t="str">
        <f t="shared" ref="F3:F66" si="13">TEXT(E3,"MMMM")</f>
        <v>August</v>
      </c>
      <c r="G3">
        <f t="shared" ref="G3:G66" si="14">YEAR(E3)</f>
        <v>2024</v>
      </c>
      <c r="H3" t="s">
        <v>37</v>
      </c>
      <c r="I3" s="4">
        <v>45540</v>
      </c>
      <c r="J3" s="8">
        <f t="shared" si="2"/>
        <v>5</v>
      </c>
      <c r="K3" s="8" t="str">
        <f t="shared" ref="K3:K66" si="15">IF(J3&lt;0,"INVAILD_SHIPPING","OK")</f>
        <v>OK</v>
      </c>
      <c r="L3" t="s">
        <v>38</v>
      </c>
      <c r="M3" t="s">
        <v>39</v>
      </c>
      <c r="N3" t="str">
        <f t="shared" si="3"/>
        <v>Mira Das</v>
      </c>
      <c r="O3" t="s">
        <v>40</v>
      </c>
      <c r="P3" t="str">
        <f t="shared" si="4"/>
        <v>Small Business</v>
      </c>
      <c r="Q3" t="s">
        <v>41</v>
      </c>
      <c r="R3" t="str">
        <f t="shared" si="5"/>
        <v>East</v>
      </c>
      <c r="S3" t="str">
        <f t="shared" ref="S3:S66" si="16">IF(R3="Unknown","MISSING_REGION","OK")</f>
        <v>OK</v>
      </c>
      <c r="T3" t="s">
        <v>42</v>
      </c>
      <c r="U3" t="str">
        <f t="shared" si="6"/>
        <v>Odisha</v>
      </c>
      <c r="V3" t="s">
        <v>43</v>
      </c>
      <c r="W3" t="str">
        <f t="shared" si="7"/>
        <v>Bhubaneswar</v>
      </c>
      <c r="X3" t="str">
        <f t="shared" si="8"/>
        <v>Furniture</v>
      </c>
      <c r="Y3" t="s">
        <v>44</v>
      </c>
      <c r="Z3" t="s">
        <v>45</v>
      </c>
      <c r="AA3" t="str">
        <f t="shared" si="9"/>
        <v>Tables</v>
      </c>
      <c r="AB3" t="s">
        <v>46</v>
      </c>
      <c r="AC3" t="s">
        <v>47</v>
      </c>
      <c r="AD3" t="str">
        <f t="shared" si="10"/>
        <v>Same Day</v>
      </c>
      <c r="AE3" t="str">
        <f t="shared" ref="AE3:AE66" si="17">IF(AD3="Unknown","MISSING_SHIP_MODE","OK")</f>
        <v>OK</v>
      </c>
      <c r="AF3">
        <v>3</v>
      </c>
      <c r="AG3">
        <v>2437.5</v>
      </c>
      <c r="AH3">
        <v>0</v>
      </c>
      <c r="AI3">
        <f t="shared" ref="AI3:AI66" si="18">IF(RIGHT(AH3,1)="%",VALUE(SUBSTITUTE(AH3,"%",""))/100,AH3)</f>
        <v>0</v>
      </c>
      <c r="AJ3" t="str">
        <f t="shared" ref="AJ3:AJ66" si="19">IF(AH3="","Missing Discount",
IF(AH3&lt;0,"Invalid Negative Discount",
"OK"))</f>
        <v>OK</v>
      </c>
      <c r="AK3">
        <v>7312.5</v>
      </c>
      <c r="AL3">
        <v>4904.7299999999996</v>
      </c>
      <c r="AM3">
        <v>2407.77</v>
      </c>
      <c r="AN3" t="s">
        <v>33</v>
      </c>
      <c r="AO3" t="str">
        <f t="shared" si="11"/>
        <v>PAID</v>
      </c>
      <c r="AP3" t="str">
        <f t="shared" ref="AP3:AP66" si="20">IF(AO3="Failed","EXCLUDE_FROM_SALES",
IF(AO3="Refunded","REFUNDED_PAYMENT",
"OK"))</f>
        <v>OK</v>
      </c>
      <c r="AQ3" t="s">
        <v>34</v>
      </c>
      <c r="AR3" t="str">
        <f t="shared" si="12"/>
        <v>COMPLETED</v>
      </c>
      <c r="AS3" t="str">
        <f t="shared" ref="AS3:AS66" si="21">IF(AR3="Cancelled","EXCLUDE_FROM_SALES",
IF(AR3="Returned","RETURNED_ORDER",
"OK"))</f>
        <v>OK</v>
      </c>
      <c r="AT3">
        <f t="shared" ref="AT3:AT66" si="22">IF(AI3&lt;0,"INVAILD",AF3*AG3*(1-AI3))</f>
        <v>7312.5</v>
      </c>
      <c r="AU3">
        <f t="shared" ref="AU3:AU66" si="23">IF(AT3="INVAILD","INVAILD",AT3-AL3)</f>
        <v>2407.7700000000004</v>
      </c>
      <c r="AV3" s="6">
        <f t="shared" ref="AV3:AV66" si="24">IF(OR(AT3="INVALID",AU3="INVALID"),"",AU24/AT3)</f>
        <v>0.46802242735042721</v>
      </c>
      <c r="AW3" t="str">
        <f t="shared" ref="AW3:AW66" si="25">IF(OR(AJ3&lt;&gt;"OK",K3="INVALID_SHIPPING"),
"INVALID",
IF(OR(S3&lt;&gt;"OK",AE3&lt;&gt;"OK"),
"WARNING",
"CLEAN"))</f>
        <v>CLEAN</v>
      </c>
      <c r="AX3" s="10" t="str">
        <f t="shared" ref="AX3:AX66" si="26">IF(AT3="INVALID","INVALID",
IF(ROUND(AK3,2)=ROUND(AT3,2),"MATCH","MISMATCH"))</f>
        <v>MATCH</v>
      </c>
      <c r="AY3" t="str">
        <f t="shared" ref="AY3:AY66" si="27">IF(AU3="INVALID","INVALID",IF(ROUND(AM3,2)=ROUND(AU3,2),"MATCH","MISMATCH"))</f>
        <v>MATCH</v>
      </c>
    </row>
    <row r="4" spans="1:51">
      <c r="A4" t="s">
        <v>48</v>
      </c>
      <c r="B4">
        <f t="shared" si="0"/>
        <v>1</v>
      </c>
      <c r="C4" t="s">
        <v>49</v>
      </c>
      <c r="D4" s="3">
        <v>45510</v>
      </c>
      <c r="E4" t="str">
        <f t="shared" si="1"/>
        <v>2024/08/06</v>
      </c>
      <c r="F4" t="str">
        <f t="shared" si="13"/>
        <v>August</v>
      </c>
      <c r="G4">
        <f t="shared" si="14"/>
        <v>2024</v>
      </c>
      <c r="H4" t="s">
        <v>50</v>
      </c>
      <c r="I4" s="4">
        <v>45458</v>
      </c>
      <c r="J4" s="8">
        <f t="shared" si="2"/>
        <v>-52</v>
      </c>
      <c r="K4" s="8" t="str">
        <f>IF(J4&lt;0,"INVAILD_SHIPPING","OK")</f>
        <v>INVAILD_SHIPPING</v>
      </c>
      <c r="L4" t="s">
        <v>51</v>
      </c>
      <c r="M4" t="s">
        <v>52</v>
      </c>
      <c r="N4" t="str">
        <f t="shared" si="3"/>
        <v>Isha Nair</v>
      </c>
      <c r="O4" t="s">
        <v>25</v>
      </c>
      <c r="P4" t="str">
        <f t="shared" si="4"/>
        <v>Consumer</v>
      </c>
      <c r="Q4" t="s">
        <v>41</v>
      </c>
      <c r="R4" t="str">
        <f t="shared" si="5"/>
        <v>East</v>
      </c>
      <c r="S4" t="str">
        <f t="shared" si="16"/>
        <v>OK</v>
      </c>
      <c r="T4" t="s">
        <v>42</v>
      </c>
      <c r="U4" t="str">
        <f t="shared" si="6"/>
        <v>Odisha</v>
      </c>
      <c r="V4" t="s">
        <v>43</v>
      </c>
      <c r="W4" t="str">
        <f t="shared" si="7"/>
        <v>Bhubaneswar</v>
      </c>
      <c r="X4" t="str">
        <f t="shared" si="8"/>
        <v>Office Supplies</v>
      </c>
      <c r="Y4" t="s">
        <v>29</v>
      </c>
      <c r="Z4" t="s">
        <v>53</v>
      </c>
      <c r="AA4" t="str">
        <f t="shared" si="9"/>
        <v>Art</v>
      </c>
      <c r="AB4" t="s">
        <v>54</v>
      </c>
      <c r="AC4" t="s">
        <v>55</v>
      </c>
      <c r="AD4" t="str">
        <f t="shared" si="10"/>
        <v>First Class</v>
      </c>
      <c r="AE4" t="str">
        <f t="shared" si="17"/>
        <v>OK</v>
      </c>
      <c r="AF4">
        <v>4</v>
      </c>
      <c r="AG4">
        <v>1065.43</v>
      </c>
      <c r="AH4">
        <v>0.55000000000000004</v>
      </c>
      <c r="AI4">
        <f t="shared" si="18"/>
        <v>0.55000000000000004</v>
      </c>
      <c r="AJ4" t="str">
        <f t="shared" si="19"/>
        <v>OK</v>
      </c>
      <c r="AK4">
        <v>4261.72</v>
      </c>
      <c r="AL4">
        <v>2465.69</v>
      </c>
      <c r="AM4">
        <v>1796.03</v>
      </c>
      <c r="AN4" t="s">
        <v>33</v>
      </c>
      <c r="AO4" t="str">
        <f t="shared" si="11"/>
        <v>PAID</v>
      </c>
      <c r="AP4" t="str">
        <f t="shared" si="20"/>
        <v>OK</v>
      </c>
      <c r="AQ4" t="s">
        <v>34</v>
      </c>
      <c r="AR4" t="str">
        <f t="shared" si="12"/>
        <v>COMPLETED</v>
      </c>
      <c r="AS4" t="str">
        <f t="shared" si="21"/>
        <v>OK</v>
      </c>
      <c r="AT4">
        <f t="shared" si="22"/>
        <v>1917.7739999999999</v>
      </c>
      <c r="AU4">
        <f t="shared" si="23"/>
        <v>-547.91600000000017</v>
      </c>
      <c r="AV4" s="6">
        <f t="shared" si="24"/>
        <v>0.81372570490579232</v>
      </c>
      <c r="AW4" t="str">
        <f t="shared" si="25"/>
        <v>CLEAN</v>
      </c>
      <c r="AX4" s="10" t="str">
        <f t="shared" si="26"/>
        <v>MISMATCH</v>
      </c>
      <c r="AY4" t="str">
        <f t="shared" si="27"/>
        <v>MISMATCH</v>
      </c>
    </row>
    <row r="5" spans="1:51">
      <c r="A5" t="s">
        <v>56</v>
      </c>
      <c r="B5">
        <f t="shared" si="0"/>
        <v>1</v>
      </c>
      <c r="C5" t="s">
        <v>57</v>
      </c>
      <c r="D5" s="3">
        <v>45624</v>
      </c>
      <c r="E5" t="str">
        <f t="shared" si="1"/>
        <v>2024/11/28</v>
      </c>
      <c r="F5" t="str">
        <f t="shared" si="13"/>
        <v>November</v>
      </c>
      <c r="G5">
        <f t="shared" si="14"/>
        <v>2024</v>
      </c>
      <c r="H5" t="s">
        <v>58</v>
      </c>
      <c r="I5" s="4">
        <v>45625</v>
      </c>
      <c r="J5" s="8">
        <f t="shared" si="2"/>
        <v>1</v>
      </c>
      <c r="K5" s="8" t="str">
        <f t="shared" si="15"/>
        <v>OK</v>
      </c>
      <c r="L5" t="s">
        <v>59</v>
      </c>
      <c r="M5" t="s">
        <v>60</v>
      </c>
      <c r="N5" t="str">
        <f t="shared" si="3"/>
        <v>Arjun Bose</v>
      </c>
      <c r="O5" t="s">
        <v>40</v>
      </c>
      <c r="P5" t="str">
        <f t="shared" si="4"/>
        <v>Small Business</v>
      </c>
      <c r="Q5" t="s">
        <v>61</v>
      </c>
      <c r="R5" t="str">
        <f t="shared" si="5"/>
        <v>South</v>
      </c>
      <c r="S5" t="str">
        <f t="shared" si="16"/>
        <v>OK</v>
      </c>
      <c r="T5" t="s">
        <v>62</v>
      </c>
      <c r="U5" t="str">
        <f t="shared" si="6"/>
        <v>Telangana</v>
      </c>
      <c r="V5" t="s">
        <v>63</v>
      </c>
      <c r="W5" t="str">
        <f t="shared" si="7"/>
        <v>Hyderabad</v>
      </c>
      <c r="X5" t="str">
        <f t="shared" si="8"/>
        <v>Furniture</v>
      </c>
      <c r="Y5" t="s">
        <v>44</v>
      </c>
      <c r="Z5" t="s">
        <v>64</v>
      </c>
      <c r="AA5" t="str">
        <f t="shared" si="9"/>
        <v>Furnishings</v>
      </c>
      <c r="AB5" t="s">
        <v>65</v>
      </c>
      <c r="AC5" t="s">
        <v>66</v>
      </c>
      <c r="AD5" t="str">
        <f t="shared" si="10"/>
        <v>Standard Class</v>
      </c>
      <c r="AE5" t="str">
        <f t="shared" si="17"/>
        <v>OK</v>
      </c>
      <c r="AF5">
        <v>6</v>
      </c>
      <c r="AG5">
        <v>1848.43</v>
      </c>
      <c r="AH5">
        <v>0.25</v>
      </c>
      <c r="AI5">
        <f t="shared" si="18"/>
        <v>0.25</v>
      </c>
      <c r="AJ5" t="str">
        <f t="shared" si="19"/>
        <v>OK</v>
      </c>
      <c r="AK5">
        <v>8317.93</v>
      </c>
      <c r="AL5">
        <v>6796.77</v>
      </c>
      <c r="AM5">
        <v>1521.16</v>
      </c>
      <c r="AN5" t="s">
        <v>33</v>
      </c>
      <c r="AO5" t="str">
        <f t="shared" si="11"/>
        <v>PAID</v>
      </c>
      <c r="AP5" t="str">
        <f t="shared" si="20"/>
        <v>OK</v>
      </c>
      <c r="AQ5" t="s">
        <v>34</v>
      </c>
      <c r="AR5" t="str">
        <f t="shared" si="12"/>
        <v>COMPLETED</v>
      </c>
      <c r="AS5" t="str">
        <f t="shared" si="21"/>
        <v>OK</v>
      </c>
      <c r="AT5">
        <f t="shared" si="22"/>
        <v>8317.9349999999995</v>
      </c>
      <c r="AU5">
        <f t="shared" si="23"/>
        <v>1521.1649999999991</v>
      </c>
      <c r="AV5" s="6">
        <f t="shared" si="24"/>
        <v>0.24784300430335168</v>
      </c>
      <c r="AW5" t="str">
        <f t="shared" si="25"/>
        <v>CLEAN</v>
      </c>
      <c r="AX5" s="10" t="str">
        <f t="shared" si="26"/>
        <v>MISMATCH</v>
      </c>
      <c r="AY5" t="str">
        <f t="shared" si="27"/>
        <v>MISMATCH</v>
      </c>
    </row>
    <row r="6" spans="1:51">
      <c r="A6" t="s">
        <v>78</v>
      </c>
      <c r="B6">
        <f t="shared" si="0"/>
        <v>1</v>
      </c>
      <c r="C6" t="s">
        <v>79</v>
      </c>
      <c r="D6" s="3">
        <v>45436</v>
      </c>
      <c r="E6" t="str">
        <f t="shared" si="1"/>
        <v>2024/05/24</v>
      </c>
      <c r="F6" t="str">
        <f t="shared" si="13"/>
        <v>May</v>
      </c>
      <c r="G6">
        <f t="shared" si="14"/>
        <v>2024</v>
      </c>
      <c r="H6" t="s">
        <v>80</v>
      </c>
      <c r="I6" s="4">
        <v>45440</v>
      </c>
      <c r="J6" s="8">
        <f t="shared" si="2"/>
        <v>4</v>
      </c>
      <c r="K6" s="8" t="str">
        <f t="shared" si="15"/>
        <v>OK</v>
      </c>
      <c r="L6" t="s">
        <v>81</v>
      </c>
      <c r="M6" t="s">
        <v>82</v>
      </c>
      <c r="N6" t="str">
        <f t="shared" si="3"/>
        <v>Vikram Iyer</v>
      </c>
      <c r="O6" t="s">
        <v>40</v>
      </c>
      <c r="P6" t="str">
        <f t="shared" si="4"/>
        <v>Small Business</v>
      </c>
      <c r="Q6" t="s">
        <v>72</v>
      </c>
      <c r="R6" t="str">
        <f t="shared" si="5"/>
        <v>West</v>
      </c>
      <c r="S6" t="str">
        <f t="shared" si="16"/>
        <v>OK</v>
      </c>
      <c r="T6" t="s">
        <v>83</v>
      </c>
      <c r="U6" t="str">
        <f t="shared" si="6"/>
        <v>Madhya Pradesh</v>
      </c>
      <c r="V6" t="s">
        <v>84</v>
      </c>
      <c r="W6" t="str">
        <f t="shared" si="7"/>
        <v>Indore</v>
      </c>
      <c r="X6" t="str">
        <f t="shared" si="8"/>
        <v>Technology</v>
      </c>
      <c r="Y6" t="s">
        <v>85</v>
      </c>
      <c r="Z6" t="s">
        <v>86</v>
      </c>
      <c r="AA6" t="str">
        <f t="shared" si="9"/>
        <v>Accessories</v>
      </c>
      <c r="AB6" t="s">
        <v>87</v>
      </c>
      <c r="AC6" t="s">
        <v>47</v>
      </c>
      <c r="AD6" t="str">
        <f t="shared" si="10"/>
        <v>Same Day</v>
      </c>
      <c r="AE6" t="str">
        <f t="shared" si="17"/>
        <v>OK</v>
      </c>
      <c r="AF6">
        <v>3</v>
      </c>
      <c r="AG6">
        <v>1053.1099999999999</v>
      </c>
      <c r="AH6">
        <v>0.2</v>
      </c>
      <c r="AI6">
        <f t="shared" si="18"/>
        <v>0.2</v>
      </c>
      <c r="AJ6" t="str">
        <f t="shared" si="19"/>
        <v>OK</v>
      </c>
      <c r="AK6">
        <v>2527.46</v>
      </c>
      <c r="AL6">
        <v>1533.58</v>
      </c>
      <c r="AM6">
        <v>993.88</v>
      </c>
      <c r="AN6" t="s">
        <v>33</v>
      </c>
      <c r="AO6" t="str">
        <f t="shared" si="11"/>
        <v>PAID</v>
      </c>
      <c r="AP6" t="str">
        <f t="shared" si="20"/>
        <v>OK</v>
      </c>
      <c r="AQ6" t="s">
        <v>34</v>
      </c>
      <c r="AR6" t="str">
        <f t="shared" si="12"/>
        <v>COMPLETED</v>
      </c>
      <c r="AS6" t="str">
        <f t="shared" si="21"/>
        <v>OK</v>
      </c>
      <c r="AT6">
        <f t="shared" si="22"/>
        <v>2527.4639999999999</v>
      </c>
      <c r="AU6">
        <f t="shared" si="23"/>
        <v>993.88400000000001</v>
      </c>
      <c r="AV6" s="6">
        <f t="shared" si="24"/>
        <v>1.0313064795383828</v>
      </c>
      <c r="AW6" t="str">
        <f t="shared" si="25"/>
        <v>CLEAN</v>
      </c>
      <c r="AX6" s="10" t="str">
        <f t="shared" si="26"/>
        <v>MATCH</v>
      </c>
      <c r="AY6" t="str">
        <f t="shared" si="27"/>
        <v>MATCH</v>
      </c>
    </row>
    <row r="7" spans="1:51">
      <c r="A7" t="s">
        <v>102</v>
      </c>
      <c r="B7">
        <f t="shared" si="0"/>
        <v>1</v>
      </c>
      <c r="C7" t="s">
        <v>103</v>
      </c>
      <c r="D7" s="3">
        <v>45423</v>
      </c>
      <c r="E7" t="str">
        <f t="shared" si="1"/>
        <v>2024/05/11</v>
      </c>
      <c r="F7" t="str">
        <f t="shared" si="13"/>
        <v>May</v>
      </c>
      <c r="G7">
        <f t="shared" si="14"/>
        <v>2024</v>
      </c>
      <c r="H7" t="s">
        <v>104</v>
      </c>
      <c r="I7" s="4">
        <v>45606</v>
      </c>
      <c r="J7" s="8">
        <f t="shared" si="2"/>
        <v>183</v>
      </c>
      <c r="K7" s="8" t="str">
        <f t="shared" si="15"/>
        <v>OK</v>
      </c>
      <c r="L7" t="s">
        <v>105</v>
      </c>
      <c r="M7" t="s">
        <v>106</v>
      </c>
      <c r="N7" t="str">
        <f t="shared" si="3"/>
        <v>Aditi Sen</v>
      </c>
      <c r="O7" t="s">
        <v>107</v>
      </c>
      <c r="P7" t="str">
        <f t="shared" si="4"/>
        <v>Corporate</v>
      </c>
      <c r="Q7" t="s">
        <v>61</v>
      </c>
      <c r="R7" t="str">
        <f t="shared" si="5"/>
        <v>South</v>
      </c>
      <c r="S7" t="str">
        <f t="shared" si="16"/>
        <v>OK</v>
      </c>
      <c r="T7" t="s">
        <v>62</v>
      </c>
      <c r="U7" t="str">
        <f t="shared" si="6"/>
        <v>Telangana</v>
      </c>
      <c r="V7" t="s">
        <v>63</v>
      </c>
      <c r="W7" t="str">
        <f t="shared" si="7"/>
        <v>Hyderabad</v>
      </c>
      <c r="X7" t="str">
        <f t="shared" si="8"/>
        <v>Office Supplies</v>
      </c>
      <c r="Y7" t="s">
        <v>29</v>
      </c>
      <c r="Z7" t="s">
        <v>108</v>
      </c>
      <c r="AA7" t="str">
        <f t="shared" si="9"/>
        <v>Labels</v>
      </c>
      <c r="AB7" t="s">
        <v>109</v>
      </c>
      <c r="AC7" t="s">
        <v>55</v>
      </c>
      <c r="AD7" t="str">
        <f t="shared" si="10"/>
        <v>First Class</v>
      </c>
      <c r="AE7" t="str">
        <f t="shared" si="17"/>
        <v>OK</v>
      </c>
      <c r="AF7">
        <v>8</v>
      </c>
      <c r="AG7">
        <v>3134.2</v>
      </c>
      <c r="AH7">
        <v>0</v>
      </c>
      <c r="AI7">
        <f t="shared" si="18"/>
        <v>0</v>
      </c>
      <c r="AJ7" t="str">
        <f t="shared" si="19"/>
        <v>OK</v>
      </c>
      <c r="AK7">
        <v>25073.599999999999</v>
      </c>
      <c r="AL7">
        <v>17347.23</v>
      </c>
      <c r="AM7">
        <v>7726.37</v>
      </c>
      <c r="AN7" t="s">
        <v>33</v>
      </c>
      <c r="AO7" t="str">
        <f t="shared" si="11"/>
        <v>PAID</v>
      </c>
      <c r="AP7" t="str">
        <f t="shared" si="20"/>
        <v>OK</v>
      </c>
      <c r="AQ7" t="s">
        <v>34</v>
      </c>
      <c r="AR7" t="str">
        <f t="shared" si="12"/>
        <v>COMPLETED</v>
      </c>
      <c r="AS7" t="str">
        <f t="shared" si="21"/>
        <v>OK</v>
      </c>
      <c r="AT7">
        <f t="shared" si="22"/>
        <v>25073.599999999999</v>
      </c>
      <c r="AU7">
        <f t="shared" si="23"/>
        <v>7726.369999999999</v>
      </c>
      <c r="AV7" s="6">
        <f t="shared" si="24"/>
        <v>5.2230633016399727E-2</v>
      </c>
      <c r="AW7" t="str">
        <f t="shared" si="25"/>
        <v>CLEAN</v>
      </c>
      <c r="AX7" s="10" t="str">
        <f t="shared" si="26"/>
        <v>MATCH</v>
      </c>
      <c r="AY7" t="str">
        <f t="shared" si="27"/>
        <v>MATCH</v>
      </c>
    </row>
    <row r="8" spans="1:51">
      <c r="A8" t="s">
        <v>125</v>
      </c>
      <c r="B8">
        <f t="shared" si="0"/>
        <v>1</v>
      </c>
      <c r="C8" t="s">
        <v>126</v>
      </c>
      <c r="D8" s="3">
        <v>45495</v>
      </c>
      <c r="E8" t="str">
        <f t="shared" si="1"/>
        <v>2024/07/22</v>
      </c>
      <c r="F8" t="str">
        <f t="shared" si="13"/>
        <v>July</v>
      </c>
      <c r="G8">
        <f t="shared" si="14"/>
        <v>2024</v>
      </c>
      <c r="H8" t="s">
        <v>127</v>
      </c>
      <c r="I8" s="4">
        <v>45496</v>
      </c>
      <c r="J8" s="8">
        <f t="shared" si="2"/>
        <v>1</v>
      </c>
      <c r="K8" s="8" t="str">
        <f t="shared" si="15"/>
        <v>OK</v>
      </c>
      <c r="L8" t="s">
        <v>128</v>
      </c>
      <c r="M8" t="s">
        <v>82</v>
      </c>
      <c r="N8" t="str">
        <f t="shared" si="3"/>
        <v>Vikram Iyer</v>
      </c>
      <c r="O8" t="s">
        <v>40</v>
      </c>
      <c r="P8" t="s">
        <v>40</v>
      </c>
      <c r="Q8" t="s">
        <v>41</v>
      </c>
      <c r="R8" t="str">
        <f t="shared" si="5"/>
        <v>East</v>
      </c>
      <c r="S8" t="str">
        <f t="shared" si="16"/>
        <v>OK</v>
      </c>
      <c r="T8" t="s">
        <v>42</v>
      </c>
      <c r="U8" t="str">
        <f t="shared" si="6"/>
        <v>Odisha</v>
      </c>
      <c r="V8" t="s">
        <v>43</v>
      </c>
      <c r="W8" t="str">
        <f t="shared" si="7"/>
        <v>Bhubaneswar</v>
      </c>
      <c r="X8" t="str">
        <f t="shared" si="8"/>
        <v>Technology</v>
      </c>
      <c r="Y8" t="s">
        <v>85</v>
      </c>
      <c r="Z8" t="s">
        <v>86</v>
      </c>
      <c r="AA8" t="str">
        <f t="shared" si="9"/>
        <v>Accessories</v>
      </c>
      <c r="AB8" t="s">
        <v>129</v>
      </c>
      <c r="AC8" t="s">
        <v>47</v>
      </c>
      <c r="AD8" t="str">
        <f t="shared" si="10"/>
        <v>Same Day</v>
      </c>
      <c r="AE8" t="str">
        <f t="shared" si="17"/>
        <v>OK</v>
      </c>
      <c r="AF8">
        <v>6</v>
      </c>
      <c r="AG8">
        <v>2005.95</v>
      </c>
      <c r="AH8">
        <v>0.2</v>
      </c>
      <c r="AI8">
        <f t="shared" si="18"/>
        <v>0.2</v>
      </c>
      <c r="AJ8" t="str">
        <f t="shared" si="19"/>
        <v>OK</v>
      </c>
      <c r="AK8">
        <v>9628.56</v>
      </c>
      <c r="AL8">
        <v>8038.59</v>
      </c>
      <c r="AM8">
        <v>1589.97</v>
      </c>
      <c r="AN8" t="s">
        <v>33</v>
      </c>
      <c r="AO8" t="str">
        <f t="shared" si="11"/>
        <v>PAID</v>
      </c>
      <c r="AP8" t="str">
        <f t="shared" si="20"/>
        <v>OK</v>
      </c>
      <c r="AQ8" t="s">
        <v>34</v>
      </c>
      <c r="AR8" t="str">
        <f t="shared" si="12"/>
        <v>COMPLETED</v>
      </c>
      <c r="AS8" t="str">
        <f t="shared" si="21"/>
        <v>OK</v>
      </c>
      <c r="AT8">
        <f t="shared" si="22"/>
        <v>9628.5600000000013</v>
      </c>
      <c r="AU8">
        <f t="shared" si="23"/>
        <v>1589.9700000000012</v>
      </c>
      <c r="AV8" s="6">
        <f t="shared" si="24"/>
        <v>0.99650799288782543</v>
      </c>
      <c r="AW8" t="str">
        <f t="shared" si="25"/>
        <v>CLEAN</v>
      </c>
      <c r="AX8" s="10" t="str">
        <f t="shared" si="26"/>
        <v>MATCH</v>
      </c>
      <c r="AY8" t="str">
        <f t="shared" si="27"/>
        <v>MATCH</v>
      </c>
    </row>
    <row r="9" spans="1:51">
      <c r="A9" t="s">
        <v>130</v>
      </c>
      <c r="B9">
        <f t="shared" si="0"/>
        <v>1</v>
      </c>
      <c r="C9" t="s">
        <v>131</v>
      </c>
      <c r="D9" s="2">
        <v>45646</v>
      </c>
      <c r="E9" t="str">
        <f t="shared" si="1"/>
        <v>2024/12/20</v>
      </c>
      <c r="F9" t="str">
        <f t="shared" si="13"/>
        <v>December</v>
      </c>
      <c r="G9">
        <f t="shared" si="14"/>
        <v>2024</v>
      </c>
      <c r="H9" t="s">
        <v>132</v>
      </c>
      <c r="I9" s="4">
        <v>45647</v>
      </c>
      <c r="J9" s="8">
        <f t="shared" si="2"/>
        <v>1</v>
      </c>
      <c r="K9" s="8" t="str">
        <f t="shared" si="15"/>
        <v>OK</v>
      </c>
      <c r="L9" t="s">
        <v>133</v>
      </c>
      <c r="M9" t="s">
        <v>71</v>
      </c>
      <c r="N9" t="str">
        <f t="shared" si="3"/>
        <v>Ananya Rao</v>
      </c>
      <c r="O9" t="s">
        <v>107</v>
      </c>
      <c r="P9" t="str">
        <f t="shared" ref="P9:P72" si="28">PROPER(TRIM(SUBSTITUTE(O9,CHAR(160)," ")))</f>
        <v>Corporate</v>
      </c>
      <c r="Q9" t="s">
        <v>72</v>
      </c>
      <c r="R9" t="str">
        <f t="shared" si="5"/>
        <v>West</v>
      </c>
      <c r="S9" t="str">
        <f t="shared" si="16"/>
        <v>OK</v>
      </c>
      <c r="T9" t="s">
        <v>27</v>
      </c>
      <c r="U9" t="str">
        <f t="shared" si="6"/>
        <v>Rajasthan</v>
      </c>
      <c r="V9" t="s">
        <v>134</v>
      </c>
      <c r="W9" t="str">
        <f t="shared" si="7"/>
        <v>Udaipur</v>
      </c>
      <c r="X9" t="str">
        <f t="shared" si="8"/>
        <v>Office Supplies</v>
      </c>
      <c r="Y9" t="s">
        <v>29</v>
      </c>
      <c r="Z9" t="s">
        <v>30</v>
      </c>
      <c r="AA9" t="str">
        <f t="shared" si="9"/>
        <v>Paper</v>
      </c>
      <c r="AB9" t="s">
        <v>135</v>
      </c>
      <c r="AC9" t="s">
        <v>55</v>
      </c>
      <c r="AD9" t="str">
        <f t="shared" si="10"/>
        <v>First Class</v>
      </c>
      <c r="AE9" t="str">
        <f t="shared" si="17"/>
        <v>OK</v>
      </c>
      <c r="AF9">
        <v>1</v>
      </c>
      <c r="AG9">
        <v>702.14</v>
      </c>
      <c r="AH9">
        <v>0.15</v>
      </c>
      <c r="AI9">
        <f t="shared" si="18"/>
        <v>0.15</v>
      </c>
      <c r="AJ9" t="str">
        <f t="shared" si="19"/>
        <v>OK</v>
      </c>
      <c r="AK9">
        <v>596.82000000000005</v>
      </c>
      <c r="AL9">
        <v>380.25</v>
      </c>
      <c r="AM9">
        <v>216.57</v>
      </c>
      <c r="AN9" t="s">
        <v>136</v>
      </c>
      <c r="AO9" t="str">
        <f t="shared" si="11"/>
        <v>PENDING</v>
      </c>
      <c r="AP9" t="str">
        <f t="shared" si="20"/>
        <v>OK</v>
      </c>
      <c r="AQ9" t="s">
        <v>124</v>
      </c>
      <c r="AR9" t="str">
        <f t="shared" si="12"/>
        <v>RETURNED</v>
      </c>
      <c r="AS9" t="str">
        <f t="shared" si="21"/>
        <v>RETURNED_ORDER</v>
      </c>
      <c r="AT9">
        <f t="shared" si="22"/>
        <v>596.81899999999996</v>
      </c>
      <c r="AU9">
        <f t="shared" si="23"/>
        <v>216.56899999999996</v>
      </c>
      <c r="AV9" s="6">
        <f t="shared" si="24"/>
        <v>20.716418210546248</v>
      </c>
      <c r="AW9" t="str">
        <f t="shared" si="25"/>
        <v>CLEAN</v>
      </c>
      <c r="AX9" s="10" t="str">
        <f t="shared" si="26"/>
        <v>MATCH</v>
      </c>
      <c r="AY9" t="str">
        <f t="shared" si="27"/>
        <v>MATCH</v>
      </c>
    </row>
    <row r="10" spans="1:51">
      <c r="A10" t="s">
        <v>143</v>
      </c>
      <c r="B10">
        <f t="shared" si="0"/>
        <v>1</v>
      </c>
      <c r="C10" t="s">
        <v>144</v>
      </c>
      <c r="D10" s="2">
        <v>45653</v>
      </c>
      <c r="E10" t="str">
        <f t="shared" si="1"/>
        <v>2024/12/27</v>
      </c>
      <c r="F10" t="str">
        <f t="shared" si="13"/>
        <v>December</v>
      </c>
      <c r="G10">
        <f t="shared" si="14"/>
        <v>2024</v>
      </c>
      <c r="H10" t="s">
        <v>145</v>
      </c>
      <c r="I10" s="4">
        <v>45654</v>
      </c>
      <c r="J10" s="8">
        <f t="shared" si="2"/>
        <v>1</v>
      </c>
      <c r="K10" s="8" t="str">
        <f t="shared" si="15"/>
        <v>OK</v>
      </c>
      <c r="L10" t="s">
        <v>146</v>
      </c>
      <c r="M10" t="s">
        <v>147</v>
      </c>
      <c r="N10" t="str">
        <f t="shared" si="3"/>
        <v>Rahul Verma</v>
      </c>
      <c r="O10" t="s">
        <v>25</v>
      </c>
      <c r="P10" t="str">
        <f t="shared" si="28"/>
        <v>Consumer</v>
      </c>
      <c r="Q10" t="s">
        <v>72</v>
      </c>
      <c r="R10" t="str">
        <f t="shared" si="5"/>
        <v>West</v>
      </c>
      <c r="S10" t="str">
        <f t="shared" si="16"/>
        <v>OK</v>
      </c>
      <c r="T10" t="s">
        <v>27</v>
      </c>
      <c r="U10" t="str">
        <f t="shared" si="6"/>
        <v>Rajasthan</v>
      </c>
      <c r="V10" t="s">
        <v>134</v>
      </c>
      <c r="W10" t="str">
        <f t="shared" si="7"/>
        <v>Udaipur</v>
      </c>
      <c r="X10" t="str">
        <f t="shared" si="8"/>
        <v>Technology</v>
      </c>
      <c r="Y10" t="s">
        <v>85</v>
      </c>
      <c r="Z10" t="s">
        <v>93</v>
      </c>
      <c r="AA10" t="str">
        <f t="shared" si="9"/>
        <v>Copiers</v>
      </c>
      <c r="AB10" t="s">
        <v>148</v>
      </c>
      <c r="AC10" t="s">
        <v>66</v>
      </c>
      <c r="AD10" t="str">
        <f t="shared" si="10"/>
        <v>Standard Class</v>
      </c>
      <c r="AE10" t="str">
        <f t="shared" si="17"/>
        <v>OK</v>
      </c>
      <c r="AF10">
        <v>2</v>
      </c>
      <c r="AG10">
        <v>2737.83</v>
      </c>
      <c r="AH10">
        <v>0.25</v>
      </c>
      <c r="AI10">
        <f t="shared" si="18"/>
        <v>0.25</v>
      </c>
      <c r="AJ10" t="str">
        <f t="shared" si="19"/>
        <v>OK</v>
      </c>
      <c r="AK10">
        <v>4106.74</v>
      </c>
      <c r="AL10">
        <v>2666.3</v>
      </c>
      <c r="AM10">
        <v>1440.44</v>
      </c>
      <c r="AN10" t="s">
        <v>33</v>
      </c>
      <c r="AO10" t="str">
        <f t="shared" si="11"/>
        <v>PAID</v>
      </c>
      <c r="AP10" t="str">
        <f t="shared" si="20"/>
        <v>OK</v>
      </c>
      <c r="AQ10" t="s">
        <v>34</v>
      </c>
      <c r="AR10" t="str">
        <f t="shared" si="12"/>
        <v>COMPLETED</v>
      </c>
      <c r="AS10" t="str">
        <f t="shared" si="21"/>
        <v>OK</v>
      </c>
      <c r="AT10">
        <f t="shared" si="22"/>
        <v>4106.7449999999999</v>
      </c>
      <c r="AU10">
        <f t="shared" si="23"/>
        <v>1440.4449999999997</v>
      </c>
      <c r="AV10" s="6">
        <f t="shared" si="24"/>
        <v>1.3224104491513351</v>
      </c>
      <c r="AW10" t="str">
        <f t="shared" si="25"/>
        <v>CLEAN</v>
      </c>
      <c r="AX10" s="10" t="str">
        <f t="shared" si="26"/>
        <v>MISMATCH</v>
      </c>
      <c r="AY10" t="str">
        <f t="shared" si="27"/>
        <v>MISMATCH</v>
      </c>
    </row>
    <row r="11" spans="1:51">
      <c r="A11" t="s">
        <v>149</v>
      </c>
      <c r="B11">
        <f t="shared" si="0"/>
        <v>1</v>
      </c>
      <c r="C11" t="s">
        <v>150</v>
      </c>
      <c r="D11" s="3">
        <v>45542</v>
      </c>
      <c r="E11" t="str">
        <f t="shared" si="1"/>
        <v>2024/09/07</v>
      </c>
      <c r="F11" t="str">
        <f t="shared" si="13"/>
        <v>September</v>
      </c>
      <c r="G11">
        <f t="shared" si="14"/>
        <v>2024</v>
      </c>
      <c r="H11" t="s">
        <v>151</v>
      </c>
      <c r="I11" s="4">
        <v>45482</v>
      </c>
      <c r="J11" s="8">
        <f t="shared" si="2"/>
        <v>-60</v>
      </c>
      <c r="K11" s="8" t="str">
        <f t="shared" si="15"/>
        <v>INVAILD_SHIPPING</v>
      </c>
      <c r="L11" t="s">
        <v>152</v>
      </c>
      <c r="M11" t="s">
        <v>24</v>
      </c>
      <c r="N11" t="str">
        <f t="shared" si="3"/>
        <v>Karan Malhotra</v>
      </c>
      <c r="O11" t="s">
        <v>40</v>
      </c>
      <c r="P11" t="str">
        <f t="shared" si="28"/>
        <v>Small Business</v>
      </c>
      <c r="Q11" t="s">
        <v>26</v>
      </c>
      <c r="R11" t="str">
        <f t="shared" si="5"/>
        <v>North</v>
      </c>
      <c r="S11" t="str">
        <f t="shared" si="16"/>
        <v>OK</v>
      </c>
      <c r="T11" t="s">
        <v>153</v>
      </c>
      <c r="U11" t="str">
        <f t="shared" si="6"/>
        <v>Punjab</v>
      </c>
      <c r="V11" t="s">
        <v>154</v>
      </c>
      <c r="W11" t="str">
        <f t="shared" si="7"/>
        <v>Ludhiana</v>
      </c>
      <c r="X11" t="str">
        <f t="shared" si="8"/>
        <v>Office Supplies</v>
      </c>
      <c r="Y11" t="s">
        <v>29</v>
      </c>
      <c r="Z11" t="s">
        <v>155</v>
      </c>
      <c r="AA11" t="str">
        <f t="shared" si="9"/>
        <v>Storage</v>
      </c>
      <c r="AB11" t="s">
        <v>156</v>
      </c>
      <c r="AC11" t="s">
        <v>32</v>
      </c>
      <c r="AD11" t="str">
        <f t="shared" si="10"/>
        <v>Second Class</v>
      </c>
      <c r="AE11" t="str">
        <f t="shared" si="17"/>
        <v>OK</v>
      </c>
      <c r="AF11">
        <v>6</v>
      </c>
      <c r="AG11">
        <v>3965.76</v>
      </c>
      <c r="AH11">
        <v>0</v>
      </c>
      <c r="AI11">
        <f t="shared" si="18"/>
        <v>0</v>
      </c>
      <c r="AJ11" t="str">
        <f t="shared" si="19"/>
        <v>OK</v>
      </c>
      <c r="AK11">
        <v>23794.560000000001</v>
      </c>
      <c r="AL11">
        <v>15698.47</v>
      </c>
      <c r="AM11">
        <v>8096.09</v>
      </c>
      <c r="AN11" t="s">
        <v>33</v>
      </c>
      <c r="AO11" t="str">
        <f t="shared" si="11"/>
        <v>PAID</v>
      </c>
      <c r="AP11" t="str">
        <f t="shared" si="20"/>
        <v>OK</v>
      </c>
      <c r="AQ11" t="s">
        <v>34</v>
      </c>
      <c r="AR11" t="str">
        <f t="shared" si="12"/>
        <v>COMPLETED</v>
      </c>
      <c r="AS11" t="str">
        <f t="shared" si="21"/>
        <v>OK</v>
      </c>
      <c r="AT11">
        <f t="shared" si="22"/>
        <v>23794.560000000001</v>
      </c>
      <c r="AU11">
        <f t="shared" si="23"/>
        <v>8096.090000000002</v>
      </c>
      <c r="AV11" s="6">
        <f t="shared" si="24"/>
        <v>0.21716190591462925</v>
      </c>
      <c r="AW11" t="str">
        <f t="shared" si="25"/>
        <v>CLEAN</v>
      </c>
      <c r="AX11" s="10" t="str">
        <f t="shared" si="26"/>
        <v>MATCH</v>
      </c>
      <c r="AY11" t="str">
        <f t="shared" si="27"/>
        <v>MATCH</v>
      </c>
    </row>
    <row r="12" spans="1:51">
      <c r="A12" t="s">
        <v>157</v>
      </c>
      <c r="B12">
        <f t="shared" si="0"/>
        <v>1</v>
      </c>
      <c r="C12" t="s">
        <v>158</v>
      </c>
      <c r="D12" s="3">
        <v>45509</v>
      </c>
      <c r="E12" t="str">
        <f t="shared" si="1"/>
        <v>2024/08/05</v>
      </c>
      <c r="F12" t="str">
        <f t="shared" si="13"/>
        <v>August</v>
      </c>
      <c r="G12">
        <f t="shared" si="14"/>
        <v>2024</v>
      </c>
      <c r="H12" t="s">
        <v>159</v>
      </c>
      <c r="I12" s="4">
        <v>45427</v>
      </c>
      <c r="J12" s="8">
        <f t="shared" si="2"/>
        <v>-82</v>
      </c>
      <c r="K12" s="8" t="str">
        <f t="shared" si="15"/>
        <v>INVAILD_SHIPPING</v>
      </c>
      <c r="L12" t="s">
        <v>160</v>
      </c>
      <c r="M12" t="s">
        <v>161</v>
      </c>
      <c r="N12" t="str">
        <f t="shared" si="3"/>
        <v>Aarav Sharma</v>
      </c>
      <c r="O12" t="s">
        <v>25</v>
      </c>
      <c r="P12" t="str">
        <f t="shared" si="28"/>
        <v>Consumer</v>
      </c>
      <c r="Q12" t="s">
        <v>61</v>
      </c>
      <c r="R12" t="str">
        <f t="shared" si="5"/>
        <v>South</v>
      </c>
      <c r="S12" t="str">
        <f t="shared" si="16"/>
        <v>OK</v>
      </c>
      <c r="T12" t="s">
        <v>62</v>
      </c>
      <c r="U12" t="str">
        <f t="shared" si="6"/>
        <v>Telangana</v>
      </c>
      <c r="V12" t="s">
        <v>63</v>
      </c>
      <c r="W12" t="str">
        <f t="shared" si="7"/>
        <v>Hyderabad</v>
      </c>
      <c r="X12" t="str">
        <f t="shared" si="8"/>
        <v>Office Supplies</v>
      </c>
      <c r="Y12" t="s">
        <v>29</v>
      </c>
      <c r="Z12" t="s">
        <v>53</v>
      </c>
      <c r="AA12" t="str">
        <f t="shared" si="9"/>
        <v>Art</v>
      </c>
      <c r="AB12" t="s">
        <v>162</v>
      </c>
      <c r="AC12" t="s">
        <v>55</v>
      </c>
      <c r="AD12" t="str">
        <f t="shared" si="10"/>
        <v>First Class</v>
      </c>
      <c r="AE12" t="str">
        <f t="shared" si="17"/>
        <v>OK</v>
      </c>
      <c r="AF12">
        <v>4</v>
      </c>
      <c r="AG12">
        <v>3323.51</v>
      </c>
      <c r="AH12">
        <v>0.25</v>
      </c>
      <c r="AI12">
        <f t="shared" si="18"/>
        <v>0.25</v>
      </c>
      <c r="AJ12" t="str">
        <f t="shared" si="19"/>
        <v>OK</v>
      </c>
      <c r="AK12">
        <v>9970.5300000000007</v>
      </c>
      <c r="AL12">
        <v>5668.17</v>
      </c>
      <c r="AM12">
        <v>4302.3599999999997</v>
      </c>
      <c r="AN12" t="s">
        <v>33</v>
      </c>
      <c r="AO12" t="str">
        <f t="shared" si="11"/>
        <v>PAID</v>
      </c>
      <c r="AP12" t="str">
        <f t="shared" si="20"/>
        <v>OK</v>
      </c>
      <c r="AQ12" t="s">
        <v>34</v>
      </c>
      <c r="AR12" t="str">
        <f t="shared" si="12"/>
        <v>COMPLETED</v>
      </c>
      <c r="AS12" t="str">
        <f t="shared" si="21"/>
        <v>OK</v>
      </c>
      <c r="AT12">
        <f t="shared" si="22"/>
        <v>9970.5300000000007</v>
      </c>
      <c r="AU12">
        <f t="shared" si="23"/>
        <v>4302.3600000000006</v>
      </c>
      <c r="AV12" s="6">
        <f t="shared" si="24"/>
        <v>0.10200866954916128</v>
      </c>
      <c r="AW12" t="str">
        <f t="shared" si="25"/>
        <v>CLEAN</v>
      </c>
      <c r="AX12" s="10" t="str">
        <f t="shared" si="26"/>
        <v>MATCH</v>
      </c>
      <c r="AY12" t="str">
        <f t="shared" si="27"/>
        <v>MATCH</v>
      </c>
    </row>
    <row r="13" spans="1:51">
      <c r="A13" t="s">
        <v>163</v>
      </c>
      <c r="B13">
        <f t="shared" si="0"/>
        <v>1</v>
      </c>
      <c r="C13" t="s">
        <v>164</v>
      </c>
      <c r="D13" s="3">
        <v>45474</v>
      </c>
      <c r="E13" t="str">
        <f t="shared" si="1"/>
        <v>2024/07/01</v>
      </c>
      <c r="F13" t="str">
        <f t="shared" si="13"/>
        <v>July</v>
      </c>
      <c r="G13">
        <f t="shared" si="14"/>
        <v>2024</v>
      </c>
      <c r="H13" t="s">
        <v>165</v>
      </c>
      <c r="I13" s="4">
        <v>45299</v>
      </c>
      <c r="J13" s="8">
        <f t="shared" si="2"/>
        <v>-175</v>
      </c>
      <c r="K13" s="8" t="str">
        <f t="shared" si="15"/>
        <v>INVAILD_SHIPPING</v>
      </c>
      <c r="L13" t="s">
        <v>166</v>
      </c>
      <c r="M13" t="s">
        <v>167</v>
      </c>
      <c r="N13" t="str">
        <f t="shared" si="3"/>
        <v>Sneha Kapoor</v>
      </c>
      <c r="O13" t="s">
        <v>40</v>
      </c>
      <c r="P13" t="str">
        <f t="shared" si="28"/>
        <v>Small Business</v>
      </c>
      <c r="Q13" t="s">
        <v>26</v>
      </c>
      <c r="R13" t="str">
        <f t="shared" si="5"/>
        <v>North</v>
      </c>
      <c r="S13" t="str">
        <f t="shared" si="16"/>
        <v>OK</v>
      </c>
      <c r="T13" t="s">
        <v>27</v>
      </c>
      <c r="U13" t="str">
        <f t="shared" si="6"/>
        <v>Rajasthan</v>
      </c>
      <c r="V13" t="s">
        <v>28</v>
      </c>
      <c r="W13" t="str">
        <f t="shared" si="7"/>
        <v>Jaipur</v>
      </c>
      <c r="X13" t="str">
        <f t="shared" si="8"/>
        <v>Furniture</v>
      </c>
      <c r="Y13" t="s">
        <v>44</v>
      </c>
      <c r="Z13" t="s">
        <v>64</v>
      </c>
      <c r="AA13" t="str">
        <f t="shared" si="9"/>
        <v>Furnishings</v>
      </c>
      <c r="AB13" t="s">
        <v>168</v>
      </c>
      <c r="AC13" t="s">
        <v>47</v>
      </c>
      <c r="AD13" t="str">
        <f t="shared" si="10"/>
        <v>Same Day</v>
      </c>
      <c r="AE13" t="str">
        <f t="shared" si="17"/>
        <v>OK</v>
      </c>
      <c r="AF13">
        <v>5</v>
      </c>
      <c r="AG13">
        <v>1526.78</v>
      </c>
      <c r="AH13">
        <v>0</v>
      </c>
      <c r="AI13">
        <f t="shared" si="18"/>
        <v>0</v>
      </c>
      <c r="AJ13" t="str">
        <f t="shared" si="19"/>
        <v>OK</v>
      </c>
      <c r="AK13">
        <v>7633.9</v>
      </c>
      <c r="AL13">
        <v>4706.91</v>
      </c>
      <c r="AM13">
        <v>2926.99</v>
      </c>
      <c r="AN13" t="s">
        <v>33</v>
      </c>
      <c r="AO13" t="str">
        <f t="shared" si="11"/>
        <v>PAID</v>
      </c>
      <c r="AP13" t="str">
        <f t="shared" si="20"/>
        <v>OK</v>
      </c>
      <c r="AQ13" t="s">
        <v>34</v>
      </c>
      <c r="AR13" t="str">
        <f t="shared" si="12"/>
        <v>COMPLETED</v>
      </c>
      <c r="AS13" t="str">
        <f t="shared" si="21"/>
        <v>OK</v>
      </c>
      <c r="AT13">
        <f t="shared" si="22"/>
        <v>7633.9</v>
      </c>
      <c r="AU13">
        <f t="shared" si="23"/>
        <v>2926.99</v>
      </c>
      <c r="AV13" s="6">
        <f t="shared" si="24"/>
        <v>0.22645174812350163</v>
      </c>
      <c r="AW13" t="str">
        <f t="shared" si="25"/>
        <v>CLEAN</v>
      </c>
      <c r="AX13" s="10" t="str">
        <f t="shared" si="26"/>
        <v>MATCH</v>
      </c>
      <c r="AY13" t="str">
        <f t="shared" si="27"/>
        <v>MATCH</v>
      </c>
    </row>
    <row r="14" spans="1:51">
      <c r="A14" t="s">
        <v>176</v>
      </c>
      <c r="B14">
        <f t="shared" si="0"/>
        <v>1</v>
      </c>
      <c r="C14" t="s">
        <v>22</v>
      </c>
      <c r="D14" s="3">
        <v>45500</v>
      </c>
      <c r="E14" t="str">
        <f t="shared" si="1"/>
        <v>2024/07/27</v>
      </c>
      <c r="F14" t="str">
        <f t="shared" si="13"/>
        <v>July</v>
      </c>
      <c r="G14">
        <f t="shared" si="14"/>
        <v>2024</v>
      </c>
      <c r="H14" t="s">
        <v>177</v>
      </c>
      <c r="I14" s="4">
        <v>45504</v>
      </c>
      <c r="J14" s="8">
        <f t="shared" si="2"/>
        <v>4</v>
      </c>
      <c r="K14" s="8" t="str">
        <f t="shared" si="15"/>
        <v>OK</v>
      </c>
      <c r="L14" t="s">
        <v>178</v>
      </c>
      <c r="M14" t="s">
        <v>179</v>
      </c>
      <c r="N14" t="str">
        <f t="shared" si="3"/>
        <v>Rohan Mehta</v>
      </c>
      <c r="O14" t="s">
        <v>114</v>
      </c>
      <c r="P14" t="str">
        <f t="shared" si="28"/>
        <v>Home Office</v>
      </c>
      <c r="Q14" t="s">
        <v>72</v>
      </c>
      <c r="R14" t="str">
        <f t="shared" si="5"/>
        <v>West</v>
      </c>
      <c r="S14" t="str">
        <f t="shared" si="16"/>
        <v>OK</v>
      </c>
      <c r="T14" t="s">
        <v>83</v>
      </c>
      <c r="U14" t="str">
        <f t="shared" si="6"/>
        <v>Madhya Pradesh</v>
      </c>
      <c r="V14" t="s">
        <v>84</v>
      </c>
      <c r="W14" t="str">
        <f t="shared" si="7"/>
        <v>Indore</v>
      </c>
      <c r="X14" t="str">
        <f t="shared" si="8"/>
        <v>Office Supplies</v>
      </c>
      <c r="Y14" t="s">
        <v>29</v>
      </c>
      <c r="Z14" t="s">
        <v>155</v>
      </c>
      <c r="AA14" t="str">
        <f t="shared" si="9"/>
        <v>Storage</v>
      </c>
      <c r="AB14" t="s">
        <v>180</v>
      </c>
      <c r="AC14" t="s">
        <v>32</v>
      </c>
      <c r="AD14" t="str">
        <f t="shared" si="10"/>
        <v>Second Class</v>
      </c>
      <c r="AE14" t="str">
        <f t="shared" si="17"/>
        <v>OK</v>
      </c>
      <c r="AF14">
        <v>3</v>
      </c>
      <c r="AG14">
        <v>3887.94</v>
      </c>
      <c r="AH14">
        <v>-0.19</v>
      </c>
      <c r="AI14">
        <f t="shared" si="18"/>
        <v>-0.19</v>
      </c>
      <c r="AJ14" t="str">
        <f t="shared" si="19"/>
        <v>Invalid Negative Discount</v>
      </c>
      <c r="AK14">
        <v>9331.06</v>
      </c>
      <c r="AL14">
        <v>7529.31</v>
      </c>
      <c r="AM14">
        <v>1801.75</v>
      </c>
      <c r="AN14" t="s">
        <v>33</v>
      </c>
      <c r="AO14" t="str">
        <f t="shared" si="11"/>
        <v>PAID</v>
      </c>
      <c r="AP14" t="str">
        <f t="shared" si="20"/>
        <v>OK</v>
      </c>
      <c r="AQ14" t="s">
        <v>34</v>
      </c>
      <c r="AR14" t="str">
        <f t="shared" si="12"/>
        <v>COMPLETED</v>
      </c>
      <c r="AS14" t="str">
        <f t="shared" si="21"/>
        <v>OK</v>
      </c>
      <c r="AT14" t="str">
        <f t="shared" si="22"/>
        <v>INVAILD</v>
      </c>
      <c r="AU14" t="str">
        <f t="shared" si="23"/>
        <v>INVAILD</v>
      </c>
      <c r="AW14" t="str">
        <f t="shared" si="25"/>
        <v>INVALID</v>
      </c>
      <c r="AX14" s="10" t="s">
        <v>4116</v>
      </c>
      <c r="AY14" t="s">
        <v>4116</v>
      </c>
    </row>
    <row r="15" spans="1:51">
      <c r="A15" t="s">
        <v>205</v>
      </c>
      <c r="B15">
        <f t="shared" si="0"/>
        <v>1</v>
      </c>
      <c r="C15" t="s">
        <v>206</v>
      </c>
      <c r="D15" s="3">
        <v>45385</v>
      </c>
      <c r="E15" t="str">
        <f t="shared" si="1"/>
        <v>2024/04/03</v>
      </c>
      <c r="F15" t="str">
        <f t="shared" si="13"/>
        <v>April</v>
      </c>
      <c r="G15">
        <f t="shared" si="14"/>
        <v>2024</v>
      </c>
      <c r="H15" t="s">
        <v>207</v>
      </c>
      <c r="I15" s="4">
        <v>45352</v>
      </c>
      <c r="J15" s="8">
        <f t="shared" si="2"/>
        <v>-33</v>
      </c>
      <c r="K15" s="8" t="str">
        <f t="shared" si="15"/>
        <v>INVAILD_SHIPPING</v>
      </c>
      <c r="L15" t="s">
        <v>208</v>
      </c>
      <c r="M15" t="s">
        <v>209</v>
      </c>
      <c r="N15" t="str">
        <f t="shared" si="3"/>
        <v>Diya Patel</v>
      </c>
      <c r="O15" t="s">
        <v>25</v>
      </c>
      <c r="P15" t="str">
        <f t="shared" si="28"/>
        <v>Consumer</v>
      </c>
      <c r="Q15" t="s">
        <v>26</v>
      </c>
      <c r="R15" t="str">
        <f t="shared" si="5"/>
        <v>North</v>
      </c>
      <c r="S15" t="str">
        <f t="shared" si="16"/>
        <v>OK</v>
      </c>
      <c r="T15" t="s">
        <v>153</v>
      </c>
      <c r="U15" t="str">
        <f t="shared" si="6"/>
        <v>Punjab</v>
      </c>
      <c r="V15" t="s">
        <v>154</v>
      </c>
      <c r="W15" t="str">
        <f t="shared" si="7"/>
        <v>Ludhiana</v>
      </c>
      <c r="X15" t="str">
        <f t="shared" si="8"/>
        <v>Office Supplies</v>
      </c>
      <c r="Y15" t="s">
        <v>29</v>
      </c>
      <c r="Z15" t="s">
        <v>53</v>
      </c>
      <c r="AA15" t="str">
        <f t="shared" si="9"/>
        <v>Art</v>
      </c>
      <c r="AB15" t="s">
        <v>210</v>
      </c>
      <c r="AC15" t="s">
        <v>66</v>
      </c>
      <c r="AD15" t="str">
        <f t="shared" si="10"/>
        <v>Standard Class</v>
      </c>
      <c r="AE15" t="str">
        <f t="shared" si="17"/>
        <v>OK</v>
      </c>
      <c r="AF15">
        <v>4</v>
      </c>
      <c r="AG15">
        <v>4492.9399999999996</v>
      </c>
      <c r="AH15">
        <v>0.25</v>
      </c>
      <c r="AI15">
        <f t="shared" si="18"/>
        <v>0.25</v>
      </c>
      <c r="AJ15" t="str">
        <f t="shared" si="19"/>
        <v>OK</v>
      </c>
      <c r="AK15">
        <v>13478.82</v>
      </c>
      <c r="AL15">
        <v>10937.35</v>
      </c>
      <c r="AM15">
        <v>2541.4699999999998</v>
      </c>
      <c r="AN15" t="s">
        <v>136</v>
      </c>
      <c r="AO15" t="str">
        <f t="shared" si="11"/>
        <v>PENDING</v>
      </c>
      <c r="AP15" t="str">
        <f t="shared" si="20"/>
        <v>OK</v>
      </c>
      <c r="AQ15" t="s">
        <v>77</v>
      </c>
      <c r="AR15" t="str">
        <f t="shared" si="12"/>
        <v>CANCELLED</v>
      </c>
      <c r="AS15" t="str">
        <f t="shared" si="21"/>
        <v>EXCLUDE_FROM_SALES</v>
      </c>
      <c r="AT15">
        <f t="shared" si="22"/>
        <v>13478.82</v>
      </c>
      <c r="AU15">
        <f t="shared" si="23"/>
        <v>2541.4699999999993</v>
      </c>
      <c r="AV15" s="6">
        <f t="shared" si="24"/>
        <v>1.3933712298257558E-2</v>
      </c>
      <c r="AW15" t="str">
        <f t="shared" si="25"/>
        <v>CLEAN</v>
      </c>
      <c r="AX15" s="10" t="str">
        <f t="shared" si="26"/>
        <v>MATCH</v>
      </c>
      <c r="AY15" t="str">
        <f t="shared" si="27"/>
        <v>MATCH</v>
      </c>
    </row>
    <row r="16" spans="1:51">
      <c r="A16" t="s">
        <v>211</v>
      </c>
      <c r="B16">
        <f t="shared" si="0"/>
        <v>1</v>
      </c>
      <c r="C16" t="s">
        <v>212</v>
      </c>
      <c r="D16" s="3">
        <v>45576</v>
      </c>
      <c r="E16" t="str">
        <f t="shared" si="1"/>
        <v>2024/10/11</v>
      </c>
      <c r="F16" t="str">
        <f t="shared" si="13"/>
        <v>October</v>
      </c>
      <c r="G16">
        <f t="shared" si="14"/>
        <v>2024</v>
      </c>
      <c r="H16" t="s">
        <v>213</v>
      </c>
      <c r="I16" s="4">
        <v>45584</v>
      </c>
      <c r="J16" s="8">
        <f t="shared" si="2"/>
        <v>8</v>
      </c>
      <c r="K16" s="8" t="str">
        <f t="shared" si="15"/>
        <v>OK</v>
      </c>
      <c r="L16" t="s">
        <v>214</v>
      </c>
      <c r="M16" t="s">
        <v>60</v>
      </c>
      <c r="N16" t="str">
        <f t="shared" si="3"/>
        <v>Arjun Bose</v>
      </c>
      <c r="O16" t="s">
        <v>107</v>
      </c>
      <c r="P16" t="str">
        <f t="shared" si="28"/>
        <v>Corporate</v>
      </c>
      <c r="Q16" t="s">
        <v>41</v>
      </c>
      <c r="R16" t="str">
        <f t="shared" si="5"/>
        <v>East</v>
      </c>
      <c r="S16" t="str">
        <f t="shared" si="16"/>
        <v>OK</v>
      </c>
      <c r="T16" t="s">
        <v>215</v>
      </c>
      <c r="U16" t="str">
        <f t="shared" si="6"/>
        <v>Assam</v>
      </c>
      <c r="V16" t="s">
        <v>216</v>
      </c>
      <c r="W16" t="str">
        <f t="shared" si="7"/>
        <v>Guwahati</v>
      </c>
      <c r="X16" t="str">
        <f t="shared" si="8"/>
        <v>Technology</v>
      </c>
      <c r="Y16" t="s">
        <v>85</v>
      </c>
      <c r="Z16" t="s">
        <v>86</v>
      </c>
      <c r="AA16" t="str">
        <f t="shared" si="9"/>
        <v>Accessories</v>
      </c>
      <c r="AB16" t="s">
        <v>217</v>
      </c>
      <c r="AC16" t="s">
        <v>55</v>
      </c>
      <c r="AD16" t="str">
        <f t="shared" si="10"/>
        <v>First Class</v>
      </c>
      <c r="AE16" t="str">
        <f t="shared" si="17"/>
        <v>OK</v>
      </c>
      <c r="AF16">
        <v>2</v>
      </c>
      <c r="AG16">
        <v>4315.2</v>
      </c>
      <c r="AH16">
        <v>0.15</v>
      </c>
      <c r="AI16">
        <f t="shared" si="18"/>
        <v>0.15</v>
      </c>
      <c r="AJ16" t="str">
        <f t="shared" si="19"/>
        <v>OK</v>
      </c>
      <c r="AK16">
        <v>7335.84</v>
      </c>
      <c r="AL16">
        <v>4968.41</v>
      </c>
      <c r="AM16">
        <v>2367.4299999999998</v>
      </c>
      <c r="AN16" t="s">
        <v>33</v>
      </c>
      <c r="AO16" t="str">
        <f t="shared" si="11"/>
        <v>PAID</v>
      </c>
      <c r="AP16" t="str">
        <f t="shared" si="20"/>
        <v>OK</v>
      </c>
      <c r="AQ16" t="s">
        <v>34</v>
      </c>
      <c r="AR16" t="str">
        <f t="shared" si="12"/>
        <v>COMPLETED</v>
      </c>
      <c r="AS16" t="str">
        <f t="shared" si="21"/>
        <v>OK</v>
      </c>
      <c r="AT16">
        <f t="shared" si="22"/>
        <v>7335.8399999999992</v>
      </c>
      <c r="AU16">
        <f t="shared" si="23"/>
        <v>2367.4299999999994</v>
      </c>
      <c r="AV16" s="6">
        <f t="shared" si="24"/>
        <v>0.63751772121529371</v>
      </c>
      <c r="AW16" t="str">
        <f t="shared" si="25"/>
        <v>CLEAN</v>
      </c>
      <c r="AX16" s="10" t="str">
        <f t="shared" si="26"/>
        <v>MATCH</v>
      </c>
      <c r="AY16" t="str">
        <f t="shared" si="27"/>
        <v>MATCH</v>
      </c>
    </row>
    <row r="17" spans="1:51">
      <c r="A17" t="s">
        <v>218</v>
      </c>
      <c r="B17">
        <f t="shared" si="0"/>
        <v>1</v>
      </c>
      <c r="C17" t="s">
        <v>219</v>
      </c>
      <c r="D17" s="3">
        <v>45619</v>
      </c>
      <c r="E17" t="str">
        <f t="shared" si="1"/>
        <v>2024/11/23</v>
      </c>
      <c r="F17" t="str">
        <f t="shared" si="13"/>
        <v>November</v>
      </c>
      <c r="G17">
        <f t="shared" si="14"/>
        <v>2024</v>
      </c>
      <c r="H17" t="s">
        <v>220</v>
      </c>
      <c r="I17" s="4">
        <v>45619</v>
      </c>
      <c r="J17" s="8">
        <f t="shared" si="2"/>
        <v>0</v>
      </c>
      <c r="K17" s="8" t="str">
        <f t="shared" si="15"/>
        <v>OK</v>
      </c>
      <c r="L17" t="s">
        <v>221</v>
      </c>
      <c r="M17" t="s">
        <v>209</v>
      </c>
      <c r="N17" t="str">
        <f t="shared" si="3"/>
        <v>Diya Patel</v>
      </c>
      <c r="O17" t="s">
        <v>107</v>
      </c>
      <c r="P17" t="str">
        <f t="shared" si="28"/>
        <v>Corporate</v>
      </c>
      <c r="Q17" t="s">
        <v>26</v>
      </c>
      <c r="R17" t="str">
        <f t="shared" si="5"/>
        <v>North</v>
      </c>
      <c r="S17" t="str">
        <f t="shared" si="16"/>
        <v>OK</v>
      </c>
      <c r="T17" t="s">
        <v>173</v>
      </c>
      <c r="U17" t="str">
        <f t="shared" si="6"/>
        <v>Uttar Pradesh</v>
      </c>
      <c r="V17" t="s">
        <v>174</v>
      </c>
      <c r="W17" t="str">
        <f t="shared" si="7"/>
        <v>Noida</v>
      </c>
      <c r="X17" t="str">
        <f t="shared" si="8"/>
        <v>Technology</v>
      </c>
      <c r="Y17" t="s">
        <v>85</v>
      </c>
      <c r="Z17" t="s">
        <v>222</v>
      </c>
      <c r="AA17" t="str">
        <f t="shared" si="9"/>
        <v>Phones</v>
      </c>
      <c r="AB17" t="s">
        <v>223</v>
      </c>
      <c r="AC17" t="s">
        <v>66</v>
      </c>
      <c r="AD17" t="str">
        <f t="shared" si="10"/>
        <v>Standard Class</v>
      </c>
      <c r="AE17" t="str">
        <f t="shared" si="17"/>
        <v>OK</v>
      </c>
      <c r="AF17">
        <v>4</v>
      </c>
      <c r="AG17">
        <v>716.13</v>
      </c>
      <c r="AH17">
        <v>0.1</v>
      </c>
      <c r="AI17">
        <f t="shared" si="18"/>
        <v>0.1</v>
      </c>
      <c r="AJ17" t="str">
        <f t="shared" si="19"/>
        <v>OK</v>
      </c>
      <c r="AK17">
        <v>2578.0700000000002</v>
      </c>
      <c r="AL17">
        <v>1527.55</v>
      </c>
      <c r="AM17">
        <v>1050.52</v>
      </c>
      <c r="AN17" t="s">
        <v>33</v>
      </c>
      <c r="AO17" t="str">
        <f t="shared" si="11"/>
        <v>PAID</v>
      </c>
      <c r="AP17" t="str">
        <f t="shared" si="20"/>
        <v>OK</v>
      </c>
      <c r="AQ17" t="s">
        <v>124</v>
      </c>
      <c r="AR17" t="str">
        <f t="shared" si="12"/>
        <v>RETURNED</v>
      </c>
      <c r="AS17" t="str">
        <f t="shared" si="21"/>
        <v>RETURNED_ORDER</v>
      </c>
      <c r="AT17">
        <f t="shared" si="22"/>
        <v>2578.0680000000002</v>
      </c>
      <c r="AU17">
        <f t="shared" si="23"/>
        <v>1050.5180000000003</v>
      </c>
      <c r="AV17" s="6">
        <f t="shared" si="24"/>
        <v>1.3751344029715282</v>
      </c>
      <c r="AW17" t="str">
        <f t="shared" si="25"/>
        <v>CLEAN</v>
      </c>
      <c r="AX17" s="10" t="str">
        <f t="shared" si="26"/>
        <v>MATCH</v>
      </c>
      <c r="AY17" t="str">
        <f t="shared" si="27"/>
        <v>MATCH</v>
      </c>
    </row>
    <row r="18" spans="1:51">
      <c r="A18" t="s">
        <v>231</v>
      </c>
      <c r="B18">
        <f t="shared" si="0"/>
        <v>1</v>
      </c>
      <c r="C18" t="s">
        <v>212</v>
      </c>
      <c r="D18" s="3">
        <v>45576</v>
      </c>
      <c r="E18" t="str">
        <f t="shared" si="1"/>
        <v>2024/10/11</v>
      </c>
      <c r="F18" t="str">
        <f t="shared" si="13"/>
        <v>October</v>
      </c>
      <c r="G18">
        <f t="shared" si="14"/>
        <v>2024</v>
      </c>
      <c r="H18" t="s">
        <v>232</v>
      </c>
      <c r="I18" s="4">
        <v>45583</v>
      </c>
      <c r="J18" s="8">
        <f t="shared" si="2"/>
        <v>7</v>
      </c>
      <c r="K18" s="8" t="str">
        <f t="shared" si="15"/>
        <v>OK</v>
      </c>
      <c r="L18" t="s">
        <v>233</v>
      </c>
      <c r="M18" t="s">
        <v>71</v>
      </c>
      <c r="N18" t="str">
        <f t="shared" si="3"/>
        <v>Ananya Rao</v>
      </c>
      <c r="O18" t="s">
        <v>114</v>
      </c>
      <c r="P18" t="str">
        <f t="shared" si="28"/>
        <v>Home Office</v>
      </c>
      <c r="Q18" t="s">
        <v>72</v>
      </c>
      <c r="R18" t="str">
        <f t="shared" si="5"/>
        <v>West</v>
      </c>
      <c r="S18" t="str">
        <f t="shared" si="16"/>
        <v>OK</v>
      </c>
      <c r="T18" t="s">
        <v>234</v>
      </c>
      <c r="U18" t="str">
        <f t="shared" si="6"/>
        <v>Gujarat</v>
      </c>
      <c r="V18" t="s">
        <v>235</v>
      </c>
      <c r="W18" t="str">
        <f t="shared" si="7"/>
        <v>Ahmedabad</v>
      </c>
      <c r="X18" t="str">
        <f t="shared" si="8"/>
        <v>Technology</v>
      </c>
      <c r="Y18" t="s">
        <v>85</v>
      </c>
      <c r="Z18" t="s">
        <v>222</v>
      </c>
      <c r="AA18" t="str">
        <f t="shared" si="9"/>
        <v>Phones</v>
      </c>
      <c r="AB18" t="s">
        <v>236</v>
      </c>
      <c r="AC18" t="s">
        <v>32</v>
      </c>
      <c r="AD18" t="str">
        <f t="shared" si="10"/>
        <v>Second Class</v>
      </c>
      <c r="AE18" t="str">
        <f t="shared" si="17"/>
        <v>OK</v>
      </c>
      <c r="AF18">
        <v>2</v>
      </c>
      <c r="AG18">
        <v>1942.22</v>
      </c>
      <c r="AH18">
        <v>0.25</v>
      </c>
      <c r="AI18">
        <f t="shared" si="18"/>
        <v>0.25</v>
      </c>
      <c r="AJ18" t="str">
        <f t="shared" si="19"/>
        <v>OK</v>
      </c>
      <c r="AK18">
        <v>2913.33</v>
      </c>
      <c r="AL18">
        <v>2122.33</v>
      </c>
      <c r="AM18">
        <v>791</v>
      </c>
      <c r="AN18" t="s">
        <v>123</v>
      </c>
      <c r="AO18" t="str">
        <f t="shared" si="11"/>
        <v>REFUNDED</v>
      </c>
      <c r="AP18" t="str">
        <f t="shared" si="20"/>
        <v>REFUNDED_PAYMENT</v>
      </c>
      <c r="AQ18" t="s">
        <v>77</v>
      </c>
      <c r="AR18" t="str">
        <f t="shared" si="12"/>
        <v>CANCELLED</v>
      </c>
      <c r="AS18" t="str">
        <f t="shared" si="21"/>
        <v>EXCLUDE_FROM_SALES</v>
      </c>
      <c r="AT18">
        <f t="shared" si="22"/>
        <v>2913.33</v>
      </c>
      <c r="AU18">
        <f t="shared" si="23"/>
        <v>791</v>
      </c>
      <c r="AV18" s="6">
        <f t="shared" si="24"/>
        <v>6.1906478153865178E-2</v>
      </c>
      <c r="AW18" t="str">
        <f t="shared" si="25"/>
        <v>CLEAN</v>
      </c>
      <c r="AX18" s="10" t="str">
        <f t="shared" si="26"/>
        <v>MATCH</v>
      </c>
      <c r="AY18" t="str">
        <f t="shared" si="27"/>
        <v>MATCH</v>
      </c>
    </row>
    <row r="19" spans="1:51">
      <c r="A19" t="s">
        <v>244</v>
      </c>
      <c r="B19">
        <f t="shared" si="0"/>
        <v>1</v>
      </c>
      <c r="C19" t="s">
        <v>245</v>
      </c>
      <c r="D19" s="2">
        <v>45537</v>
      </c>
      <c r="E19" t="str">
        <f t="shared" si="1"/>
        <v>2024/09/02</v>
      </c>
      <c r="F19" t="str">
        <f t="shared" si="13"/>
        <v>September</v>
      </c>
      <c r="G19">
        <f t="shared" si="14"/>
        <v>2024</v>
      </c>
      <c r="H19" t="s">
        <v>246</v>
      </c>
      <c r="I19" s="4">
        <v>45334</v>
      </c>
      <c r="J19" s="8">
        <f t="shared" si="2"/>
        <v>-203</v>
      </c>
      <c r="K19" s="8" t="str">
        <f t="shared" si="15"/>
        <v>INVAILD_SHIPPING</v>
      </c>
      <c r="L19" t="s">
        <v>247</v>
      </c>
      <c r="M19" t="s">
        <v>71</v>
      </c>
      <c r="N19" t="str">
        <f t="shared" si="3"/>
        <v>Ananya Rao</v>
      </c>
      <c r="O19" t="s">
        <v>107</v>
      </c>
      <c r="P19" t="str">
        <f t="shared" si="28"/>
        <v>Corporate</v>
      </c>
      <c r="Q19" t="s">
        <v>72</v>
      </c>
      <c r="R19" t="str">
        <f t="shared" si="5"/>
        <v>West</v>
      </c>
      <c r="S19" t="str">
        <f t="shared" si="16"/>
        <v>OK</v>
      </c>
      <c r="T19" t="s">
        <v>248</v>
      </c>
      <c r="U19" t="str">
        <f t="shared" si="6"/>
        <v>Goa</v>
      </c>
      <c r="V19" t="s">
        <v>249</v>
      </c>
      <c r="W19" t="str">
        <f t="shared" si="7"/>
        <v>Panaji</v>
      </c>
      <c r="X19" t="str">
        <f t="shared" si="8"/>
        <v>Office Supplies</v>
      </c>
      <c r="Y19" t="s">
        <v>29</v>
      </c>
      <c r="Z19" t="s">
        <v>108</v>
      </c>
      <c r="AA19" t="str">
        <f t="shared" si="9"/>
        <v>Labels</v>
      </c>
      <c r="AB19" t="s">
        <v>250</v>
      </c>
      <c r="AC19" t="s">
        <v>55</v>
      </c>
      <c r="AD19" t="str">
        <f t="shared" si="10"/>
        <v>First Class</v>
      </c>
      <c r="AE19" t="str">
        <f t="shared" si="17"/>
        <v>OK</v>
      </c>
      <c r="AF19">
        <v>1</v>
      </c>
      <c r="AG19">
        <v>3421.77</v>
      </c>
      <c r="AH19">
        <v>0.1</v>
      </c>
      <c r="AI19">
        <f t="shared" si="18"/>
        <v>0.1</v>
      </c>
      <c r="AJ19" t="str">
        <f t="shared" si="19"/>
        <v>OK</v>
      </c>
      <c r="AK19">
        <v>3079.59</v>
      </c>
      <c r="AL19">
        <v>2001.89</v>
      </c>
      <c r="AM19">
        <v>1077.7</v>
      </c>
      <c r="AN19" t="s">
        <v>33</v>
      </c>
      <c r="AO19" t="str">
        <f t="shared" si="11"/>
        <v>PAID</v>
      </c>
      <c r="AP19" t="str">
        <f t="shared" si="20"/>
        <v>OK</v>
      </c>
      <c r="AQ19" t="s">
        <v>34</v>
      </c>
      <c r="AR19" t="str">
        <f t="shared" si="12"/>
        <v>COMPLETED</v>
      </c>
      <c r="AS19" t="str">
        <f t="shared" si="21"/>
        <v>OK</v>
      </c>
      <c r="AT19">
        <f t="shared" si="22"/>
        <v>3079.5929999999998</v>
      </c>
      <c r="AU19">
        <f t="shared" si="23"/>
        <v>1077.7029999999997</v>
      </c>
      <c r="AV19" s="6">
        <f t="shared" si="24"/>
        <v>6.4404614505877894E-2</v>
      </c>
      <c r="AW19" t="str">
        <f t="shared" si="25"/>
        <v>CLEAN</v>
      </c>
      <c r="AX19" s="10" t="str">
        <f t="shared" si="26"/>
        <v>MATCH</v>
      </c>
      <c r="AY19" t="str">
        <f t="shared" si="27"/>
        <v>MATCH</v>
      </c>
    </row>
    <row r="20" spans="1:51">
      <c r="A20" t="s">
        <v>256</v>
      </c>
      <c r="B20">
        <f t="shared" si="0"/>
        <v>1</v>
      </c>
      <c r="C20" t="s">
        <v>257</v>
      </c>
      <c r="D20" s="3">
        <v>45618</v>
      </c>
      <c r="E20" t="str">
        <f t="shared" si="1"/>
        <v>2024/11/22</v>
      </c>
      <c r="F20" t="str">
        <f t="shared" si="13"/>
        <v>November</v>
      </c>
      <c r="G20">
        <f t="shared" si="14"/>
        <v>2024</v>
      </c>
      <c r="H20" t="s">
        <v>258</v>
      </c>
      <c r="I20" s="4">
        <v>45622</v>
      </c>
      <c r="J20" s="8">
        <f t="shared" si="2"/>
        <v>4</v>
      </c>
      <c r="K20" s="8" t="str">
        <f t="shared" si="15"/>
        <v>OK</v>
      </c>
      <c r="L20" t="s">
        <v>259</v>
      </c>
      <c r="M20" t="s">
        <v>161</v>
      </c>
      <c r="N20" t="str">
        <f t="shared" si="3"/>
        <v>Aarav Sharma</v>
      </c>
      <c r="O20" t="s">
        <v>107</v>
      </c>
      <c r="P20" t="str">
        <f t="shared" si="28"/>
        <v>Corporate</v>
      </c>
      <c r="Q20" t="s">
        <v>61</v>
      </c>
      <c r="R20" t="str">
        <f t="shared" si="5"/>
        <v>South</v>
      </c>
      <c r="S20" t="str">
        <f t="shared" si="16"/>
        <v>OK</v>
      </c>
      <c r="T20" t="s">
        <v>99</v>
      </c>
      <c r="U20" t="str">
        <f t="shared" si="6"/>
        <v>Andhra Pradesh</v>
      </c>
      <c r="V20" t="s">
        <v>100</v>
      </c>
      <c r="W20" t="str">
        <f t="shared" si="7"/>
        <v>Vijayawada</v>
      </c>
      <c r="X20" t="str">
        <f t="shared" si="8"/>
        <v>Technology</v>
      </c>
      <c r="Y20" t="s">
        <v>85</v>
      </c>
      <c r="Z20" t="s">
        <v>222</v>
      </c>
      <c r="AA20" t="str">
        <f t="shared" si="9"/>
        <v>Phones</v>
      </c>
      <c r="AB20" t="s">
        <v>260</v>
      </c>
      <c r="AC20" t="s">
        <v>32</v>
      </c>
      <c r="AD20" t="str">
        <f t="shared" si="10"/>
        <v>Second Class</v>
      </c>
      <c r="AE20" t="str">
        <f t="shared" si="17"/>
        <v>OK</v>
      </c>
      <c r="AF20">
        <v>3</v>
      </c>
      <c r="AG20">
        <v>4001.25</v>
      </c>
      <c r="AI20">
        <f t="shared" si="18"/>
        <v>0</v>
      </c>
      <c r="AJ20" t="str">
        <f t="shared" si="19"/>
        <v>Missing Discount</v>
      </c>
      <c r="AK20">
        <v>9002.81</v>
      </c>
      <c r="AL20">
        <v>7529.92</v>
      </c>
      <c r="AM20">
        <v>1472.89</v>
      </c>
      <c r="AN20" t="s">
        <v>33</v>
      </c>
      <c r="AO20" t="str">
        <f t="shared" si="11"/>
        <v>PAID</v>
      </c>
      <c r="AP20" t="str">
        <f t="shared" si="20"/>
        <v>OK</v>
      </c>
      <c r="AQ20" t="s">
        <v>34</v>
      </c>
      <c r="AR20" t="str">
        <f t="shared" si="12"/>
        <v>COMPLETED</v>
      </c>
      <c r="AS20" t="str">
        <f t="shared" si="21"/>
        <v>OK</v>
      </c>
      <c r="AT20">
        <f t="shared" si="22"/>
        <v>12003.75</v>
      </c>
      <c r="AU20">
        <f t="shared" si="23"/>
        <v>4473.83</v>
      </c>
      <c r="AV20" s="6">
        <f t="shared" si="24"/>
        <v>0.69427787149849018</v>
      </c>
      <c r="AW20" t="str">
        <f t="shared" si="25"/>
        <v>INVALID</v>
      </c>
      <c r="AX20" s="10" t="str">
        <f t="shared" si="26"/>
        <v>MISMATCH</v>
      </c>
      <c r="AY20" t="str">
        <f t="shared" si="27"/>
        <v>MISMATCH</v>
      </c>
    </row>
    <row r="21" spans="1:51">
      <c r="A21" t="s">
        <v>261</v>
      </c>
      <c r="B21">
        <f t="shared" si="0"/>
        <v>1</v>
      </c>
      <c r="C21" t="s">
        <v>262</v>
      </c>
      <c r="D21" s="3">
        <v>45495</v>
      </c>
      <c r="E21" t="str">
        <f t="shared" si="1"/>
        <v>2024/07/22</v>
      </c>
      <c r="F21" t="str">
        <f t="shared" si="13"/>
        <v>July</v>
      </c>
      <c r="G21">
        <f t="shared" si="14"/>
        <v>2024</v>
      </c>
      <c r="H21" t="s">
        <v>263</v>
      </c>
      <c r="I21" s="4">
        <v>45500</v>
      </c>
      <c r="J21" s="8">
        <f t="shared" si="2"/>
        <v>5</v>
      </c>
      <c r="K21" s="8" t="str">
        <f t="shared" si="15"/>
        <v>OK</v>
      </c>
      <c r="L21" t="s">
        <v>264</v>
      </c>
      <c r="M21" t="s">
        <v>141</v>
      </c>
      <c r="N21" t="str">
        <f t="shared" si="3"/>
        <v>Priya Menon</v>
      </c>
      <c r="O21" t="s">
        <v>114</v>
      </c>
      <c r="P21" t="str">
        <f t="shared" si="28"/>
        <v>Home Office</v>
      </c>
      <c r="Q21" t="s">
        <v>72</v>
      </c>
      <c r="R21" t="str">
        <f t="shared" si="5"/>
        <v>West</v>
      </c>
      <c r="S21" t="str">
        <f t="shared" si="16"/>
        <v>OK</v>
      </c>
      <c r="T21" t="s">
        <v>248</v>
      </c>
      <c r="U21" t="str">
        <f t="shared" si="6"/>
        <v>Goa</v>
      </c>
      <c r="V21" t="s">
        <v>249</v>
      </c>
      <c r="W21" t="str">
        <f t="shared" si="7"/>
        <v>Panaji</v>
      </c>
      <c r="X21" t="str">
        <f t="shared" si="8"/>
        <v>Furniture</v>
      </c>
      <c r="Y21" t="s">
        <v>44</v>
      </c>
      <c r="Z21" t="s">
        <v>45</v>
      </c>
      <c r="AA21" t="str">
        <f t="shared" si="9"/>
        <v>Tables</v>
      </c>
      <c r="AB21" t="s">
        <v>265</v>
      </c>
      <c r="AC21" t="s">
        <v>47</v>
      </c>
      <c r="AD21" t="str">
        <f t="shared" si="10"/>
        <v>Same Day</v>
      </c>
      <c r="AE21" t="str">
        <f t="shared" si="17"/>
        <v>OK</v>
      </c>
      <c r="AF21">
        <v>7</v>
      </c>
      <c r="AG21">
        <v>492.41</v>
      </c>
      <c r="AH21">
        <v>0.25</v>
      </c>
      <c r="AI21">
        <f t="shared" si="18"/>
        <v>0.25</v>
      </c>
      <c r="AJ21" t="str">
        <f t="shared" si="19"/>
        <v>OK</v>
      </c>
      <c r="AK21">
        <v>2585.15</v>
      </c>
      <c r="AL21">
        <v>2070.73</v>
      </c>
      <c r="AM21">
        <v>514.41999999999996</v>
      </c>
      <c r="AN21" t="s">
        <v>33</v>
      </c>
      <c r="AO21" t="str">
        <f t="shared" si="11"/>
        <v>PAID</v>
      </c>
      <c r="AP21" t="str">
        <f t="shared" si="20"/>
        <v>OK</v>
      </c>
      <c r="AQ21" t="s">
        <v>34</v>
      </c>
      <c r="AR21" t="str">
        <f t="shared" si="12"/>
        <v>COMPLETED</v>
      </c>
      <c r="AS21" t="str">
        <f t="shared" si="21"/>
        <v>OK</v>
      </c>
      <c r="AT21">
        <f t="shared" si="22"/>
        <v>2585.1525000000001</v>
      </c>
      <c r="AU21">
        <f t="shared" si="23"/>
        <v>514.42250000000013</v>
      </c>
      <c r="AV21" s="6">
        <f t="shared" si="24"/>
        <v>0.69162612263686563</v>
      </c>
      <c r="AW21" t="str">
        <f t="shared" si="25"/>
        <v>CLEAN</v>
      </c>
      <c r="AX21" s="10" t="str">
        <f t="shared" si="26"/>
        <v>MATCH</v>
      </c>
      <c r="AY21" t="str">
        <f t="shared" si="27"/>
        <v>MATCH</v>
      </c>
    </row>
    <row r="22" spans="1:51">
      <c r="A22" t="s">
        <v>271</v>
      </c>
      <c r="B22">
        <f t="shared" si="0"/>
        <v>1</v>
      </c>
      <c r="C22" t="s">
        <v>272</v>
      </c>
      <c r="D22" s="3">
        <v>45441</v>
      </c>
      <c r="E22" t="str">
        <f t="shared" si="1"/>
        <v>2024/05/29</v>
      </c>
      <c r="F22" t="str">
        <f t="shared" si="13"/>
        <v>May</v>
      </c>
      <c r="G22">
        <f t="shared" si="14"/>
        <v>2024</v>
      </c>
      <c r="H22" t="s">
        <v>273</v>
      </c>
      <c r="I22" s="4">
        <v>45441</v>
      </c>
      <c r="J22" s="8">
        <f t="shared" si="2"/>
        <v>0</v>
      </c>
      <c r="K22" s="8" t="str">
        <f t="shared" si="15"/>
        <v>OK</v>
      </c>
      <c r="L22" t="s">
        <v>274</v>
      </c>
      <c r="M22" t="s">
        <v>167</v>
      </c>
      <c r="N22" t="str">
        <f t="shared" si="3"/>
        <v>Sneha Kapoor</v>
      </c>
      <c r="O22" t="s">
        <v>40</v>
      </c>
      <c r="P22" t="str">
        <f t="shared" si="28"/>
        <v>Small Business</v>
      </c>
      <c r="Q22" t="s">
        <v>72</v>
      </c>
      <c r="R22" t="str">
        <f t="shared" si="5"/>
        <v>West</v>
      </c>
      <c r="S22" t="str">
        <f t="shared" si="16"/>
        <v>OK</v>
      </c>
      <c r="T22" t="s">
        <v>234</v>
      </c>
      <c r="U22" t="str">
        <f t="shared" si="6"/>
        <v>Gujarat</v>
      </c>
      <c r="V22" t="s">
        <v>235</v>
      </c>
      <c r="W22" t="str">
        <f t="shared" si="7"/>
        <v>Ahmedabad</v>
      </c>
      <c r="X22" t="str">
        <f t="shared" si="8"/>
        <v>Furniture</v>
      </c>
      <c r="Y22" t="s">
        <v>44</v>
      </c>
      <c r="Z22" t="s">
        <v>203</v>
      </c>
      <c r="AA22" t="str">
        <f t="shared" si="9"/>
        <v>Bookcases</v>
      </c>
      <c r="AB22" t="s">
        <v>275</v>
      </c>
      <c r="AC22" t="s">
        <v>32</v>
      </c>
      <c r="AD22" t="str">
        <f t="shared" si="10"/>
        <v>Second Class</v>
      </c>
      <c r="AE22" t="str">
        <f t="shared" si="17"/>
        <v>OK</v>
      </c>
      <c r="AF22">
        <v>8</v>
      </c>
      <c r="AG22">
        <v>2507.12</v>
      </c>
      <c r="AH22">
        <v>0.05</v>
      </c>
      <c r="AI22">
        <f t="shared" si="18"/>
        <v>0.05</v>
      </c>
      <c r="AJ22" t="str">
        <f t="shared" si="19"/>
        <v>OK</v>
      </c>
      <c r="AK22">
        <v>19054.11</v>
      </c>
      <c r="AL22">
        <v>15313.83</v>
      </c>
      <c r="AM22">
        <v>3740.28</v>
      </c>
      <c r="AN22" t="s">
        <v>136</v>
      </c>
      <c r="AO22" t="str">
        <f t="shared" si="11"/>
        <v>PENDING</v>
      </c>
      <c r="AP22" t="str">
        <f t="shared" si="20"/>
        <v>OK</v>
      </c>
      <c r="AQ22" t="s">
        <v>124</v>
      </c>
      <c r="AR22" t="str">
        <f t="shared" si="12"/>
        <v>RETURNED</v>
      </c>
      <c r="AS22" t="str">
        <f t="shared" si="21"/>
        <v>RETURNED_ORDER</v>
      </c>
      <c r="AT22">
        <f t="shared" si="22"/>
        <v>19054.111999999997</v>
      </c>
      <c r="AU22">
        <f t="shared" si="23"/>
        <v>3740.2819999999974</v>
      </c>
      <c r="AV22" s="6">
        <f t="shared" si="24"/>
        <v>4.0266898819530383E-2</v>
      </c>
      <c r="AW22" t="str">
        <f t="shared" si="25"/>
        <v>CLEAN</v>
      </c>
      <c r="AX22" s="10" t="str">
        <f t="shared" si="26"/>
        <v>MATCH</v>
      </c>
      <c r="AY22" t="str">
        <f t="shared" si="27"/>
        <v>MATCH</v>
      </c>
    </row>
    <row r="23" spans="1:51">
      <c r="A23" t="s">
        <v>276</v>
      </c>
      <c r="B23">
        <f t="shared" si="0"/>
        <v>1</v>
      </c>
      <c r="C23" t="s">
        <v>277</v>
      </c>
      <c r="D23" s="3">
        <v>45590</v>
      </c>
      <c r="E23" t="str">
        <f t="shared" si="1"/>
        <v>2024/10/25</v>
      </c>
      <c r="F23" t="str">
        <f t="shared" si="13"/>
        <v>October</v>
      </c>
      <c r="G23">
        <f t="shared" si="14"/>
        <v>2024</v>
      </c>
      <c r="H23" t="s">
        <v>278</v>
      </c>
      <c r="I23" s="4">
        <v>45593</v>
      </c>
      <c r="J23" s="8">
        <f t="shared" si="2"/>
        <v>3</v>
      </c>
      <c r="K23" s="8" t="str">
        <f t="shared" si="15"/>
        <v>OK</v>
      </c>
      <c r="L23" t="s">
        <v>279</v>
      </c>
      <c r="M23" t="s">
        <v>179</v>
      </c>
      <c r="N23" t="str">
        <f t="shared" si="3"/>
        <v>Rohan Mehta</v>
      </c>
      <c r="O23" t="s">
        <v>107</v>
      </c>
      <c r="P23" t="str">
        <f t="shared" si="28"/>
        <v>Corporate</v>
      </c>
      <c r="Q23" t="s">
        <v>72</v>
      </c>
      <c r="R23" t="str">
        <f t="shared" si="5"/>
        <v>West</v>
      </c>
      <c r="S23" t="str">
        <f t="shared" si="16"/>
        <v>OK</v>
      </c>
      <c r="T23" t="s">
        <v>73</v>
      </c>
      <c r="U23" t="str">
        <f t="shared" si="6"/>
        <v>Maharashtra</v>
      </c>
      <c r="V23" t="s">
        <v>74</v>
      </c>
      <c r="W23" t="str">
        <f t="shared" si="7"/>
        <v>Mumbai</v>
      </c>
      <c r="X23" t="str">
        <f t="shared" si="8"/>
        <v>Furniture</v>
      </c>
      <c r="Y23" t="s">
        <v>44</v>
      </c>
      <c r="Z23" t="s">
        <v>203</v>
      </c>
      <c r="AA23" t="str">
        <f t="shared" si="9"/>
        <v>Bookcases</v>
      </c>
      <c r="AB23" t="s">
        <v>280</v>
      </c>
      <c r="AC23" t="s">
        <v>32</v>
      </c>
      <c r="AD23" t="str">
        <f t="shared" si="10"/>
        <v>Second Class</v>
      </c>
      <c r="AE23" t="str">
        <f t="shared" si="17"/>
        <v>OK</v>
      </c>
      <c r="AF23">
        <v>3</v>
      </c>
      <c r="AG23">
        <v>3126.47</v>
      </c>
      <c r="AH23">
        <v>0</v>
      </c>
      <c r="AI23">
        <f t="shared" si="18"/>
        <v>0</v>
      </c>
      <c r="AJ23" t="str">
        <f t="shared" si="19"/>
        <v>OK</v>
      </c>
      <c r="AK23">
        <v>9379.41</v>
      </c>
      <c r="AL23">
        <v>6670.85</v>
      </c>
      <c r="AM23">
        <v>2708.56</v>
      </c>
      <c r="AN23" t="s">
        <v>33</v>
      </c>
      <c r="AO23" t="str">
        <f t="shared" si="11"/>
        <v>PAID</v>
      </c>
      <c r="AP23" t="str">
        <f t="shared" si="20"/>
        <v>OK</v>
      </c>
      <c r="AQ23" t="s">
        <v>124</v>
      </c>
      <c r="AR23" t="str">
        <f t="shared" si="12"/>
        <v>RETURNED</v>
      </c>
      <c r="AS23" t="str">
        <f t="shared" si="21"/>
        <v>RETURNED_ORDER</v>
      </c>
      <c r="AT23">
        <f t="shared" si="22"/>
        <v>9379.41</v>
      </c>
      <c r="AU23">
        <f t="shared" si="23"/>
        <v>2708.5599999999995</v>
      </c>
      <c r="AV23" s="6">
        <f t="shared" si="24"/>
        <v>0.1532357045912269</v>
      </c>
      <c r="AW23" t="str">
        <f t="shared" si="25"/>
        <v>CLEAN</v>
      </c>
      <c r="AX23" s="10" t="str">
        <f t="shared" si="26"/>
        <v>MATCH</v>
      </c>
      <c r="AY23" t="str">
        <f t="shared" si="27"/>
        <v>MATCH</v>
      </c>
    </row>
    <row r="24" spans="1:51">
      <c r="A24" t="s">
        <v>286</v>
      </c>
      <c r="B24">
        <f t="shared" si="0"/>
        <v>1</v>
      </c>
      <c r="C24" t="s">
        <v>287</v>
      </c>
      <c r="D24" s="3">
        <v>45460</v>
      </c>
      <c r="E24" t="str">
        <f t="shared" si="1"/>
        <v>2024/06/17</v>
      </c>
      <c r="F24" t="str">
        <f t="shared" si="13"/>
        <v>June</v>
      </c>
      <c r="G24">
        <f t="shared" si="14"/>
        <v>2024</v>
      </c>
      <c r="H24" t="s">
        <v>288</v>
      </c>
      <c r="I24" s="4">
        <v>45465</v>
      </c>
      <c r="J24" s="8">
        <f t="shared" si="2"/>
        <v>5</v>
      </c>
      <c r="K24" s="8" t="str">
        <f t="shared" si="15"/>
        <v>OK</v>
      </c>
      <c r="L24" t="s">
        <v>289</v>
      </c>
      <c r="M24" t="s">
        <v>161</v>
      </c>
      <c r="N24" t="str">
        <f t="shared" si="3"/>
        <v>Aarav Sharma</v>
      </c>
      <c r="O24" t="s">
        <v>107</v>
      </c>
      <c r="P24" t="str">
        <f t="shared" si="28"/>
        <v>Corporate</v>
      </c>
      <c r="Q24" t="s">
        <v>72</v>
      </c>
      <c r="R24" t="str">
        <f t="shared" si="5"/>
        <v>West</v>
      </c>
      <c r="S24" t="str">
        <f t="shared" si="16"/>
        <v>OK</v>
      </c>
      <c r="T24" t="s">
        <v>234</v>
      </c>
      <c r="U24" t="str">
        <f t="shared" si="6"/>
        <v>Gujarat</v>
      </c>
      <c r="V24" t="s">
        <v>235</v>
      </c>
      <c r="W24" t="str">
        <f t="shared" si="7"/>
        <v>Ahmedabad</v>
      </c>
      <c r="X24" t="str">
        <f t="shared" si="8"/>
        <v>Technology</v>
      </c>
      <c r="Y24" t="s">
        <v>85</v>
      </c>
      <c r="Z24" t="s">
        <v>222</v>
      </c>
      <c r="AA24" t="str">
        <f t="shared" si="9"/>
        <v>Phones</v>
      </c>
      <c r="AB24" t="s">
        <v>290</v>
      </c>
      <c r="AC24" t="s">
        <v>55</v>
      </c>
      <c r="AD24" t="str">
        <f t="shared" si="10"/>
        <v>First Class</v>
      </c>
      <c r="AE24" t="str">
        <f t="shared" si="17"/>
        <v>OK</v>
      </c>
      <c r="AF24">
        <v>7</v>
      </c>
      <c r="AG24">
        <v>2210.6799999999998</v>
      </c>
      <c r="AH24">
        <v>0.1</v>
      </c>
      <c r="AI24">
        <f t="shared" si="18"/>
        <v>0.1</v>
      </c>
      <c r="AJ24" t="str">
        <f t="shared" si="19"/>
        <v>OK</v>
      </c>
      <c r="AK24">
        <v>13927.28</v>
      </c>
      <c r="AL24">
        <v>10504.87</v>
      </c>
      <c r="AM24">
        <v>3422.41</v>
      </c>
      <c r="AN24" t="s">
        <v>33</v>
      </c>
      <c r="AO24" t="str">
        <f t="shared" si="11"/>
        <v>PAID</v>
      </c>
      <c r="AP24" t="str">
        <f t="shared" si="20"/>
        <v>OK</v>
      </c>
      <c r="AQ24" t="s">
        <v>34</v>
      </c>
      <c r="AR24" t="str">
        <f t="shared" si="12"/>
        <v>COMPLETED</v>
      </c>
      <c r="AS24" t="str">
        <f t="shared" si="21"/>
        <v>OK</v>
      </c>
      <c r="AT24">
        <f t="shared" si="22"/>
        <v>13927.284</v>
      </c>
      <c r="AU24">
        <f t="shared" si="23"/>
        <v>3422.4139999999989</v>
      </c>
      <c r="AV24" s="6">
        <f t="shared" si="24"/>
        <v>0.64172023777213116</v>
      </c>
      <c r="AW24" t="str">
        <f t="shared" si="25"/>
        <v>CLEAN</v>
      </c>
      <c r="AX24" s="10" t="str">
        <f t="shared" si="26"/>
        <v>MATCH</v>
      </c>
      <c r="AY24" t="str">
        <f t="shared" si="27"/>
        <v>MATCH</v>
      </c>
    </row>
    <row r="25" spans="1:51">
      <c r="A25" t="s">
        <v>291</v>
      </c>
      <c r="B25">
        <f t="shared" si="0"/>
        <v>1</v>
      </c>
      <c r="C25" t="s">
        <v>292</v>
      </c>
      <c r="D25" s="3">
        <v>45608</v>
      </c>
      <c r="E25" t="str">
        <f t="shared" si="1"/>
        <v>2024/11/12</v>
      </c>
      <c r="F25" t="str">
        <f t="shared" si="13"/>
        <v>November</v>
      </c>
      <c r="G25">
        <f t="shared" si="14"/>
        <v>2024</v>
      </c>
      <c r="H25" t="s">
        <v>293</v>
      </c>
      <c r="I25" s="4">
        <v>45637</v>
      </c>
      <c r="J25" s="8">
        <f t="shared" si="2"/>
        <v>29</v>
      </c>
      <c r="K25" s="8" t="str">
        <f t="shared" si="15"/>
        <v>OK</v>
      </c>
      <c r="L25" t="s">
        <v>294</v>
      </c>
      <c r="M25" t="s">
        <v>39</v>
      </c>
      <c r="N25" t="str">
        <f t="shared" si="3"/>
        <v>Mira Das</v>
      </c>
      <c r="O25" t="s">
        <v>40</v>
      </c>
      <c r="P25" t="str">
        <f t="shared" si="28"/>
        <v>Small Business</v>
      </c>
      <c r="Q25" t="s">
        <v>72</v>
      </c>
      <c r="R25" t="str">
        <f t="shared" si="5"/>
        <v>West</v>
      </c>
      <c r="S25" t="str">
        <f t="shared" si="16"/>
        <v>OK</v>
      </c>
      <c r="T25" t="s">
        <v>83</v>
      </c>
      <c r="U25" t="str">
        <f t="shared" si="6"/>
        <v>Madhya Pradesh</v>
      </c>
      <c r="V25" t="s">
        <v>84</v>
      </c>
      <c r="W25" t="str">
        <f t="shared" si="7"/>
        <v>Indore</v>
      </c>
      <c r="X25" t="str">
        <f t="shared" si="8"/>
        <v>Technology</v>
      </c>
      <c r="Y25" t="s">
        <v>85</v>
      </c>
      <c r="Z25" t="s">
        <v>93</v>
      </c>
      <c r="AA25" t="str">
        <f t="shared" si="9"/>
        <v>Copiers</v>
      </c>
      <c r="AB25" t="s">
        <v>295</v>
      </c>
      <c r="AC25" t="s">
        <v>55</v>
      </c>
      <c r="AD25" t="str">
        <f t="shared" si="10"/>
        <v>First Class</v>
      </c>
      <c r="AE25" t="str">
        <f t="shared" si="17"/>
        <v>OK</v>
      </c>
      <c r="AF25">
        <v>4</v>
      </c>
      <c r="AG25">
        <v>1370.92</v>
      </c>
      <c r="AH25">
        <v>0.1</v>
      </c>
      <c r="AI25">
        <f t="shared" si="18"/>
        <v>0.1</v>
      </c>
      <c r="AJ25" t="str">
        <f t="shared" si="19"/>
        <v>OK</v>
      </c>
      <c r="AK25">
        <v>4935.3100000000004</v>
      </c>
      <c r="AL25">
        <v>3374.77</v>
      </c>
      <c r="AM25">
        <v>1560.54</v>
      </c>
      <c r="AN25" t="s">
        <v>136</v>
      </c>
      <c r="AO25" t="str">
        <f t="shared" si="11"/>
        <v>PENDING</v>
      </c>
      <c r="AP25" t="str">
        <f t="shared" si="20"/>
        <v>OK</v>
      </c>
      <c r="AQ25" t="s">
        <v>124</v>
      </c>
      <c r="AR25" t="str">
        <f t="shared" si="12"/>
        <v>RETURNED</v>
      </c>
      <c r="AS25" t="str">
        <f t="shared" si="21"/>
        <v>RETURNED_ORDER</v>
      </c>
      <c r="AT25">
        <f t="shared" si="22"/>
        <v>4935.3120000000008</v>
      </c>
      <c r="AU25">
        <f t="shared" si="23"/>
        <v>1560.5420000000008</v>
      </c>
      <c r="AV25" s="6">
        <f t="shared" si="24"/>
        <v>0.65651107771909845</v>
      </c>
      <c r="AW25" t="str">
        <f t="shared" si="25"/>
        <v>CLEAN</v>
      </c>
      <c r="AX25" s="10" t="str">
        <f t="shared" si="26"/>
        <v>MATCH</v>
      </c>
      <c r="AY25" t="str">
        <f t="shared" si="27"/>
        <v>MATCH</v>
      </c>
    </row>
    <row r="26" spans="1:51">
      <c r="A26" t="s">
        <v>296</v>
      </c>
      <c r="B26">
        <f t="shared" si="0"/>
        <v>1</v>
      </c>
      <c r="C26" t="s">
        <v>297</v>
      </c>
      <c r="D26" s="3">
        <v>45575</v>
      </c>
      <c r="E26" t="str">
        <f t="shared" si="1"/>
        <v>2024/10/10</v>
      </c>
      <c r="F26" t="str">
        <f t="shared" si="13"/>
        <v>October</v>
      </c>
      <c r="G26">
        <f t="shared" si="14"/>
        <v>2024</v>
      </c>
      <c r="H26" t="s">
        <v>298</v>
      </c>
      <c r="I26" s="4">
        <v>45581</v>
      </c>
      <c r="J26" s="8">
        <f t="shared" si="2"/>
        <v>6</v>
      </c>
      <c r="K26" s="8" t="str">
        <f t="shared" si="15"/>
        <v>OK</v>
      </c>
      <c r="L26" t="s">
        <v>299</v>
      </c>
      <c r="M26" t="s">
        <v>52</v>
      </c>
      <c r="N26" t="str">
        <f t="shared" si="3"/>
        <v>Isha Nair</v>
      </c>
      <c r="O26" t="s">
        <v>114</v>
      </c>
      <c r="P26" t="str">
        <f t="shared" si="28"/>
        <v>Home Office</v>
      </c>
      <c r="Q26" t="s">
        <v>72</v>
      </c>
      <c r="R26" t="str">
        <f t="shared" si="5"/>
        <v>West</v>
      </c>
      <c r="S26" t="str">
        <f t="shared" si="16"/>
        <v>OK</v>
      </c>
      <c r="T26" t="s">
        <v>27</v>
      </c>
      <c r="U26" t="str">
        <f t="shared" si="6"/>
        <v>Rajasthan</v>
      </c>
      <c r="V26" t="s">
        <v>134</v>
      </c>
      <c r="W26" t="str">
        <f t="shared" si="7"/>
        <v>Udaipur</v>
      </c>
      <c r="X26" t="str">
        <f t="shared" si="8"/>
        <v>Technology</v>
      </c>
      <c r="Y26" t="s">
        <v>85</v>
      </c>
      <c r="Z26" t="s">
        <v>93</v>
      </c>
      <c r="AA26" t="str">
        <f t="shared" si="9"/>
        <v>Copiers</v>
      </c>
      <c r="AB26" t="s">
        <v>300</v>
      </c>
      <c r="AC26" t="s">
        <v>66</v>
      </c>
      <c r="AD26" t="str">
        <f t="shared" si="10"/>
        <v>Standard Class</v>
      </c>
      <c r="AE26" t="str">
        <f t="shared" si="17"/>
        <v>OK</v>
      </c>
      <c r="AF26">
        <v>7</v>
      </c>
      <c r="AG26">
        <v>2509.27</v>
      </c>
      <c r="AH26">
        <v>0.2</v>
      </c>
      <c r="AI26">
        <f t="shared" si="18"/>
        <v>0.2</v>
      </c>
      <c r="AJ26" t="str">
        <f t="shared" si="19"/>
        <v>OK</v>
      </c>
      <c r="AK26">
        <v>14051.91</v>
      </c>
      <c r="AL26">
        <v>11990.37</v>
      </c>
      <c r="AM26">
        <v>2061.54</v>
      </c>
      <c r="AN26" t="s">
        <v>33</v>
      </c>
      <c r="AO26" t="str">
        <f t="shared" si="11"/>
        <v>PAID</v>
      </c>
      <c r="AP26" t="str">
        <f t="shared" si="20"/>
        <v>OK</v>
      </c>
      <c r="AQ26" t="s">
        <v>34</v>
      </c>
      <c r="AR26" t="str">
        <f t="shared" si="12"/>
        <v>COMPLETED</v>
      </c>
      <c r="AS26" t="str">
        <f t="shared" si="21"/>
        <v>OK</v>
      </c>
      <c r="AT26">
        <f t="shared" si="22"/>
        <v>14051.912</v>
      </c>
      <c r="AU26">
        <f t="shared" si="23"/>
        <v>2061.5419999999995</v>
      </c>
      <c r="AV26" s="6">
        <f t="shared" si="24"/>
        <v>0.25415733460329093</v>
      </c>
      <c r="AW26" t="str">
        <f t="shared" si="25"/>
        <v>CLEAN</v>
      </c>
      <c r="AX26" s="10" t="str">
        <f t="shared" si="26"/>
        <v>MATCH</v>
      </c>
      <c r="AY26" t="str">
        <f t="shared" si="27"/>
        <v>MATCH</v>
      </c>
    </row>
    <row r="27" spans="1:51">
      <c r="A27" t="s">
        <v>301</v>
      </c>
      <c r="B27">
        <f t="shared" si="0"/>
        <v>1</v>
      </c>
      <c r="C27" t="s">
        <v>302</v>
      </c>
      <c r="D27" s="3">
        <v>45629</v>
      </c>
      <c r="E27" t="str">
        <f t="shared" si="1"/>
        <v>2024/12/03</v>
      </c>
      <c r="F27" t="str">
        <f t="shared" si="13"/>
        <v>December</v>
      </c>
      <c r="G27">
        <f t="shared" si="14"/>
        <v>2024</v>
      </c>
      <c r="H27" t="s">
        <v>303</v>
      </c>
      <c r="I27" s="4">
        <v>45368</v>
      </c>
      <c r="J27" s="8">
        <f t="shared" si="2"/>
        <v>-261</v>
      </c>
      <c r="K27" s="8" t="str">
        <f t="shared" si="15"/>
        <v>INVAILD_SHIPPING</v>
      </c>
      <c r="L27" t="s">
        <v>304</v>
      </c>
      <c r="M27" t="s">
        <v>161</v>
      </c>
      <c r="N27" t="str">
        <f t="shared" si="3"/>
        <v>Aarav Sharma</v>
      </c>
      <c r="O27" t="s">
        <v>40</v>
      </c>
      <c r="P27" t="str">
        <f t="shared" si="28"/>
        <v>Small Business</v>
      </c>
      <c r="Q27" t="s">
        <v>41</v>
      </c>
      <c r="R27" t="str">
        <f t="shared" si="5"/>
        <v>East</v>
      </c>
      <c r="S27" t="str">
        <f t="shared" si="16"/>
        <v>OK</v>
      </c>
      <c r="T27" t="s">
        <v>42</v>
      </c>
      <c r="U27" t="str">
        <f t="shared" si="6"/>
        <v>Odisha</v>
      </c>
      <c r="V27" t="s">
        <v>43</v>
      </c>
      <c r="W27" t="str">
        <f t="shared" si="7"/>
        <v>Bhubaneswar</v>
      </c>
      <c r="X27" t="str">
        <f t="shared" si="8"/>
        <v>Furniture</v>
      </c>
      <c r="Y27" t="s">
        <v>44</v>
      </c>
      <c r="Z27" t="s">
        <v>203</v>
      </c>
      <c r="AA27" t="str">
        <f t="shared" si="9"/>
        <v>Bookcases</v>
      </c>
      <c r="AB27" t="s">
        <v>305</v>
      </c>
      <c r="AC27" t="s">
        <v>47</v>
      </c>
      <c r="AD27" t="str">
        <f t="shared" si="10"/>
        <v>Same Day</v>
      </c>
      <c r="AE27" t="str">
        <f t="shared" si="17"/>
        <v>OK</v>
      </c>
      <c r="AF27">
        <v>8</v>
      </c>
      <c r="AG27">
        <v>855.81</v>
      </c>
      <c r="AH27">
        <v>0</v>
      </c>
      <c r="AI27">
        <f t="shared" si="18"/>
        <v>0</v>
      </c>
      <c r="AJ27" t="str">
        <f t="shared" si="19"/>
        <v>OK</v>
      </c>
      <c r="AK27">
        <v>6846.48</v>
      </c>
      <c r="AL27">
        <v>4239.8900000000003</v>
      </c>
      <c r="AM27">
        <v>2606.59</v>
      </c>
      <c r="AN27" t="s">
        <v>136</v>
      </c>
      <c r="AO27" t="str">
        <f t="shared" si="11"/>
        <v>PENDING</v>
      </c>
      <c r="AP27" t="str">
        <f t="shared" si="20"/>
        <v>OK</v>
      </c>
      <c r="AQ27" t="s">
        <v>77</v>
      </c>
      <c r="AR27" t="str">
        <f t="shared" si="12"/>
        <v>CANCELLED</v>
      </c>
      <c r="AS27" t="str">
        <f t="shared" si="21"/>
        <v>EXCLUDE_FROM_SALES</v>
      </c>
      <c r="AT27">
        <f t="shared" si="22"/>
        <v>6846.48</v>
      </c>
      <c r="AU27">
        <f t="shared" si="23"/>
        <v>2606.5899999999992</v>
      </c>
      <c r="AV27" s="6">
        <f t="shared" si="24"/>
        <v>0.38002594033722431</v>
      </c>
      <c r="AW27" t="str">
        <f t="shared" si="25"/>
        <v>CLEAN</v>
      </c>
      <c r="AX27" s="10" t="str">
        <f t="shared" si="26"/>
        <v>MATCH</v>
      </c>
      <c r="AY27" t="str">
        <f t="shared" si="27"/>
        <v>MATCH</v>
      </c>
    </row>
    <row r="28" spans="1:51">
      <c r="A28" t="s">
        <v>313</v>
      </c>
      <c r="B28">
        <f t="shared" si="0"/>
        <v>1</v>
      </c>
      <c r="C28" t="s">
        <v>314</v>
      </c>
      <c r="D28" s="3">
        <v>45511</v>
      </c>
      <c r="E28" t="str">
        <f t="shared" si="1"/>
        <v>2024/08/07</v>
      </c>
      <c r="F28" t="str">
        <f t="shared" si="13"/>
        <v>August</v>
      </c>
      <c r="G28">
        <f t="shared" si="14"/>
        <v>2024</v>
      </c>
      <c r="H28" t="s">
        <v>315</v>
      </c>
      <c r="I28" s="4">
        <v>45487</v>
      </c>
      <c r="J28" s="8">
        <f t="shared" si="2"/>
        <v>-24</v>
      </c>
      <c r="K28" s="8" t="str">
        <f t="shared" si="15"/>
        <v>INVAILD_SHIPPING</v>
      </c>
      <c r="L28" t="s">
        <v>316</v>
      </c>
      <c r="M28" t="s">
        <v>141</v>
      </c>
      <c r="N28" t="str">
        <f t="shared" si="3"/>
        <v>Priya Menon</v>
      </c>
      <c r="O28" t="s">
        <v>40</v>
      </c>
      <c r="P28" t="str">
        <f t="shared" si="28"/>
        <v>Small Business</v>
      </c>
      <c r="Q28" t="s">
        <v>41</v>
      </c>
      <c r="R28" t="str">
        <f t="shared" si="5"/>
        <v>East</v>
      </c>
      <c r="S28" t="str">
        <f t="shared" si="16"/>
        <v>OK</v>
      </c>
      <c r="T28" t="s">
        <v>42</v>
      </c>
      <c r="U28" t="str">
        <f t="shared" si="6"/>
        <v>Odisha</v>
      </c>
      <c r="V28" t="s">
        <v>43</v>
      </c>
      <c r="W28" t="str">
        <f t="shared" si="7"/>
        <v>Bhubaneswar</v>
      </c>
      <c r="X28" t="str">
        <f t="shared" si="8"/>
        <v>Furniture</v>
      </c>
      <c r="Y28" t="s">
        <v>44</v>
      </c>
      <c r="Z28" t="s">
        <v>64</v>
      </c>
      <c r="AA28" t="str">
        <f t="shared" si="9"/>
        <v>Furnishings</v>
      </c>
      <c r="AB28" t="s">
        <v>317</v>
      </c>
      <c r="AC28" t="s">
        <v>47</v>
      </c>
      <c r="AD28" t="str">
        <f t="shared" si="10"/>
        <v>Same Day</v>
      </c>
      <c r="AE28" t="str">
        <f t="shared" si="17"/>
        <v>OK</v>
      </c>
      <c r="AF28">
        <v>3</v>
      </c>
      <c r="AG28">
        <v>1010.23</v>
      </c>
      <c r="AH28">
        <v>0</v>
      </c>
      <c r="AI28">
        <f t="shared" si="18"/>
        <v>0</v>
      </c>
      <c r="AJ28" t="str">
        <f t="shared" si="19"/>
        <v>OK</v>
      </c>
      <c r="AK28">
        <v>3030.69</v>
      </c>
      <c r="AL28">
        <v>1721.08</v>
      </c>
      <c r="AM28">
        <v>1309.6099999999999</v>
      </c>
      <c r="AN28" t="s">
        <v>33</v>
      </c>
      <c r="AO28" t="str">
        <f t="shared" si="11"/>
        <v>PAID</v>
      </c>
      <c r="AP28" t="str">
        <f t="shared" si="20"/>
        <v>OK</v>
      </c>
      <c r="AQ28" t="s">
        <v>34</v>
      </c>
      <c r="AR28" t="str">
        <f t="shared" si="12"/>
        <v>COMPLETED</v>
      </c>
      <c r="AS28" t="str">
        <f t="shared" si="21"/>
        <v>OK</v>
      </c>
      <c r="AT28">
        <f t="shared" si="22"/>
        <v>3030.69</v>
      </c>
      <c r="AU28">
        <f t="shared" si="23"/>
        <v>1309.6100000000001</v>
      </c>
      <c r="AV28" s="6">
        <f t="shared" si="24"/>
        <v>0.58106305824746174</v>
      </c>
      <c r="AW28" t="str">
        <f t="shared" si="25"/>
        <v>CLEAN</v>
      </c>
      <c r="AX28" s="10" t="str">
        <f t="shared" si="26"/>
        <v>MATCH</v>
      </c>
      <c r="AY28" t="str">
        <f t="shared" si="27"/>
        <v>MATCH</v>
      </c>
    </row>
    <row r="29" spans="1:51">
      <c r="A29" t="s">
        <v>318</v>
      </c>
      <c r="B29">
        <f t="shared" si="0"/>
        <v>1</v>
      </c>
      <c r="C29" t="s">
        <v>319</v>
      </c>
      <c r="D29" s="3">
        <v>45465</v>
      </c>
      <c r="E29" t="str">
        <f t="shared" si="1"/>
        <v>2024/06/22</v>
      </c>
      <c r="F29" t="str">
        <f t="shared" si="13"/>
        <v>June</v>
      </c>
      <c r="G29">
        <f t="shared" si="14"/>
        <v>2024</v>
      </c>
      <c r="H29" t="s">
        <v>320</v>
      </c>
      <c r="I29" s="4">
        <v>45468</v>
      </c>
      <c r="J29" s="8">
        <f t="shared" si="2"/>
        <v>3</v>
      </c>
      <c r="K29" s="8" t="str">
        <f t="shared" si="15"/>
        <v>OK</v>
      </c>
      <c r="L29" t="s">
        <v>321</v>
      </c>
      <c r="M29" t="s">
        <v>179</v>
      </c>
      <c r="N29" t="str">
        <f t="shared" si="3"/>
        <v>Rohan Mehta</v>
      </c>
      <c r="O29" t="s">
        <v>40</v>
      </c>
      <c r="P29" t="str">
        <f t="shared" si="28"/>
        <v>Small Business</v>
      </c>
      <c r="Q29" t="s">
        <v>26</v>
      </c>
      <c r="R29" t="str">
        <f t="shared" si="5"/>
        <v>North</v>
      </c>
      <c r="S29" t="str">
        <f t="shared" si="16"/>
        <v>OK</v>
      </c>
      <c r="T29" t="s">
        <v>322</v>
      </c>
      <c r="U29" t="str">
        <f t="shared" si="6"/>
        <v>Haryana</v>
      </c>
      <c r="V29" t="s">
        <v>323</v>
      </c>
      <c r="W29" t="str">
        <f t="shared" si="7"/>
        <v>Gurugram</v>
      </c>
      <c r="X29" t="str">
        <f t="shared" si="8"/>
        <v>Furniture</v>
      </c>
      <c r="Y29" t="s">
        <v>44</v>
      </c>
      <c r="Z29" t="s">
        <v>75</v>
      </c>
      <c r="AA29" t="str">
        <f t="shared" si="9"/>
        <v>Chairs</v>
      </c>
      <c r="AB29" t="s">
        <v>324</v>
      </c>
      <c r="AC29" t="s">
        <v>66</v>
      </c>
      <c r="AD29" t="str">
        <f t="shared" si="10"/>
        <v>Standard Class</v>
      </c>
      <c r="AE29" t="str">
        <f t="shared" si="17"/>
        <v>OK</v>
      </c>
      <c r="AF29">
        <v>9</v>
      </c>
      <c r="AG29">
        <v>3329.77</v>
      </c>
      <c r="AH29">
        <v>0.1</v>
      </c>
      <c r="AI29">
        <f t="shared" si="18"/>
        <v>0.1</v>
      </c>
      <c r="AJ29" t="str">
        <f t="shared" si="19"/>
        <v>OK</v>
      </c>
      <c r="AK29">
        <v>26971.14</v>
      </c>
      <c r="AL29">
        <v>17376.2</v>
      </c>
      <c r="AM29">
        <v>9594.94</v>
      </c>
      <c r="AN29" t="s">
        <v>33</v>
      </c>
      <c r="AO29" t="str">
        <f t="shared" si="11"/>
        <v>PAID</v>
      </c>
      <c r="AP29" t="str">
        <f t="shared" si="20"/>
        <v>OK</v>
      </c>
      <c r="AQ29" t="s">
        <v>34</v>
      </c>
      <c r="AR29" t="str">
        <f t="shared" si="12"/>
        <v>COMPLETED</v>
      </c>
      <c r="AS29" t="str">
        <f t="shared" si="21"/>
        <v>OK</v>
      </c>
      <c r="AT29">
        <f t="shared" si="22"/>
        <v>26971.137000000002</v>
      </c>
      <c r="AU29">
        <f t="shared" si="23"/>
        <v>9594.9370000000017</v>
      </c>
      <c r="AV29" s="6">
        <f t="shared" si="24"/>
        <v>8.3330932618821366E-2</v>
      </c>
      <c r="AW29" t="str">
        <f t="shared" si="25"/>
        <v>CLEAN</v>
      </c>
      <c r="AX29" s="10" t="str">
        <f t="shared" si="26"/>
        <v>MATCH</v>
      </c>
      <c r="AY29" t="str">
        <f t="shared" si="27"/>
        <v>MATCH</v>
      </c>
    </row>
    <row r="30" spans="1:51">
      <c r="A30" t="s">
        <v>325</v>
      </c>
      <c r="B30">
        <f t="shared" si="0"/>
        <v>1</v>
      </c>
      <c r="C30" t="s">
        <v>326</v>
      </c>
      <c r="D30" s="2">
        <v>45309</v>
      </c>
      <c r="E30" t="str">
        <f t="shared" si="1"/>
        <v>2024/01/18</v>
      </c>
      <c r="F30" t="str">
        <f t="shared" si="13"/>
        <v>January</v>
      </c>
      <c r="G30">
        <f t="shared" si="14"/>
        <v>2024</v>
      </c>
      <c r="H30" t="s">
        <v>327</v>
      </c>
      <c r="I30" s="4">
        <v>45315</v>
      </c>
      <c r="J30" s="8">
        <f t="shared" si="2"/>
        <v>6</v>
      </c>
      <c r="K30" s="8" t="str">
        <f t="shared" si="15"/>
        <v>OK</v>
      </c>
      <c r="L30" t="s">
        <v>328</v>
      </c>
      <c r="M30" t="s">
        <v>52</v>
      </c>
      <c r="N30" t="str">
        <f t="shared" si="3"/>
        <v>Isha Nair</v>
      </c>
      <c r="O30" t="s">
        <v>114</v>
      </c>
      <c r="P30" t="str">
        <f t="shared" si="28"/>
        <v>Home Office</v>
      </c>
      <c r="Q30" t="s">
        <v>41</v>
      </c>
      <c r="R30" t="str">
        <f t="shared" si="5"/>
        <v>East</v>
      </c>
      <c r="S30" t="str">
        <f t="shared" si="16"/>
        <v>OK</v>
      </c>
      <c r="T30" t="s">
        <v>185</v>
      </c>
      <c r="U30" t="str">
        <f t="shared" si="6"/>
        <v>Bihar</v>
      </c>
      <c r="V30" t="s">
        <v>186</v>
      </c>
      <c r="W30" t="str">
        <f t="shared" si="7"/>
        <v>Patna</v>
      </c>
      <c r="X30" t="str">
        <f t="shared" si="8"/>
        <v>Office Supplies</v>
      </c>
      <c r="Y30" t="s">
        <v>29</v>
      </c>
      <c r="Z30" t="s">
        <v>53</v>
      </c>
      <c r="AA30" t="str">
        <f t="shared" si="9"/>
        <v>Art</v>
      </c>
      <c r="AB30" t="s">
        <v>329</v>
      </c>
      <c r="AC30" t="s">
        <v>32</v>
      </c>
      <c r="AD30" t="str">
        <f t="shared" si="10"/>
        <v>Second Class</v>
      </c>
      <c r="AE30" t="str">
        <f t="shared" si="17"/>
        <v>OK</v>
      </c>
      <c r="AF30">
        <v>8</v>
      </c>
      <c r="AG30">
        <v>3927.82</v>
      </c>
      <c r="AH30">
        <v>0.05</v>
      </c>
      <c r="AI30">
        <f t="shared" si="18"/>
        <v>0.05</v>
      </c>
      <c r="AJ30" t="str">
        <f t="shared" si="19"/>
        <v>OK</v>
      </c>
      <c r="AK30">
        <v>29851.43</v>
      </c>
      <c r="AL30">
        <v>17487.48</v>
      </c>
      <c r="AM30">
        <v>12363.95</v>
      </c>
      <c r="AN30" t="s">
        <v>136</v>
      </c>
      <c r="AO30" t="str">
        <f t="shared" si="11"/>
        <v>PENDING</v>
      </c>
      <c r="AP30" t="str">
        <f t="shared" si="20"/>
        <v>OK</v>
      </c>
      <c r="AQ30" t="s">
        <v>124</v>
      </c>
      <c r="AR30" t="str">
        <f t="shared" si="12"/>
        <v>RETURNED</v>
      </c>
      <c r="AS30" t="str">
        <f t="shared" si="21"/>
        <v>RETURNED_ORDER</v>
      </c>
      <c r="AT30">
        <f t="shared" si="22"/>
        <v>29851.432000000001</v>
      </c>
      <c r="AU30">
        <f t="shared" si="23"/>
        <v>12363.952000000001</v>
      </c>
      <c r="AV30" s="6">
        <f t="shared" si="24"/>
        <v>9.1757072156538454E-3</v>
      </c>
      <c r="AW30" t="str">
        <f t="shared" si="25"/>
        <v>CLEAN</v>
      </c>
      <c r="AX30" s="10" t="str">
        <f t="shared" si="26"/>
        <v>MATCH</v>
      </c>
      <c r="AY30" t="str">
        <f t="shared" si="27"/>
        <v>MATCH</v>
      </c>
    </row>
    <row r="31" spans="1:51">
      <c r="A31" t="s">
        <v>330</v>
      </c>
      <c r="B31">
        <f t="shared" si="0"/>
        <v>1</v>
      </c>
      <c r="C31" t="s">
        <v>331</v>
      </c>
      <c r="D31" s="3">
        <v>45492</v>
      </c>
      <c r="E31" t="str">
        <f t="shared" si="1"/>
        <v>2024/07/19</v>
      </c>
      <c r="F31" t="str">
        <f t="shared" si="13"/>
        <v>July</v>
      </c>
      <c r="G31">
        <f t="shared" si="14"/>
        <v>2024</v>
      </c>
      <c r="H31" t="s">
        <v>331</v>
      </c>
      <c r="I31" s="4">
        <v>45492</v>
      </c>
      <c r="J31" s="8">
        <f t="shared" si="2"/>
        <v>0</v>
      </c>
      <c r="K31" s="8" t="str">
        <f t="shared" si="15"/>
        <v>OK</v>
      </c>
      <c r="L31" t="s">
        <v>332</v>
      </c>
      <c r="M31" t="s">
        <v>71</v>
      </c>
      <c r="N31" t="str">
        <f t="shared" si="3"/>
        <v>Ananya Rao</v>
      </c>
      <c r="O31" t="s">
        <v>40</v>
      </c>
      <c r="P31" t="str">
        <f t="shared" si="28"/>
        <v>Small Business</v>
      </c>
      <c r="Q31" t="s">
        <v>61</v>
      </c>
      <c r="R31" t="str">
        <f t="shared" si="5"/>
        <v>South</v>
      </c>
      <c r="S31" t="str">
        <f t="shared" si="16"/>
        <v>OK</v>
      </c>
      <c r="T31" t="s">
        <v>241</v>
      </c>
      <c r="U31" t="str">
        <f t="shared" si="6"/>
        <v>Kerala</v>
      </c>
      <c r="V31" t="s">
        <v>242</v>
      </c>
      <c r="W31" t="str">
        <f t="shared" si="7"/>
        <v>Kochi</v>
      </c>
      <c r="X31" t="str">
        <f t="shared" si="8"/>
        <v>Furniture</v>
      </c>
      <c r="Y31" t="s">
        <v>44</v>
      </c>
      <c r="Z31" t="s">
        <v>203</v>
      </c>
      <c r="AA31" t="str">
        <f t="shared" si="9"/>
        <v>Bookcases</v>
      </c>
      <c r="AB31" t="s">
        <v>333</v>
      </c>
      <c r="AC31" t="s">
        <v>66</v>
      </c>
      <c r="AD31" t="str">
        <f t="shared" si="10"/>
        <v>Standard Class</v>
      </c>
      <c r="AE31" t="str">
        <f t="shared" si="17"/>
        <v>OK</v>
      </c>
      <c r="AF31">
        <v>9</v>
      </c>
      <c r="AG31">
        <v>2386.79</v>
      </c>
      <c r="AH31">
        <v>0.25</v>
      </c>
      <c r="AI31">
        <f t="shared" si="18"/>
        <v>0.25</v>
      </c>
      <c r="AJ31" t="str">
        <f t="shared" si="19"/>
        <v>OK</v>
      </c>
      <c r="AK31">
        <v>16110.83</v>
      </c>
      <c r="AL31">
        <v>10680.03</v>
      </c>
      <c r="AM31">
        <v>5430.8</v>
      </c>
      <c r="AN31" t="s">
        <v>123</v>
      </c>
      <c r="AO31" t="str">
        <f t="shared" si="11"/>
        <v>REFUNDED</v>
      </c>
      <c r="AP31" t="str">
        <f t="shared" si="20"/>
        <v>REFUNDED_PAYMENT</v>
      </c>
      <c r="AQ31" t="s">
        <v>124</v>
      </c>
      <c r="AR31" t="str">
        <f t="shared" si="12"/>
        <v>RETURNED</v>
      </c>
      <c r="AS31" t="str">
        <f t="shared" si="21"/>
        <v>RETURNED_ORDER</v>
      </c>
      <c r="AT31">
        <f t="shared" si="22"/>
        <v>16110.8325</v>
      </c>
      <c r="AU31">
        <f t="shared" si="23"/>
        <v>5430.8024999999998</v>
      </c>
      <c r="AV31" s="6">
        <f t="shared" si="24"/>
        <v>4.0463706639616542E-2</v>
      </c>
      <c r="AW31" t="str">
        <f t="shared" si="25"/>
        <v>CLEAN</v>
      </c>
      <c r="AX31" s="10" t="str">
        <f t="shared" si="26"/>
        <v>MATCH</v>
      </c>
      <c r="AY31" t="str">
        <f t="shared" si="27"/>
        <v>MATCH</v>
      </c>
    </row>
    <row r="32" spans="1:51">
      <c r="A32" t="s">
        <v>334</v>
      </c>
      <c r="B32">
        <f t="shared" si="0"/>
        <v>1</v>
      </c>
      <c r="C32" t="s">
        <v>335</v>
      </c>
      <c r="D32" s="3">
        <v>45516</v>
      </c>
      <c r="E32" t="str">
        <f t="shared" si="1"/>
        <v>2024/08/12</v>
      </c>
      <c r="F32" t="str">
        <f t="shared" si="13"/>
        <v>August</v>
      </c>
      <c r="G32">
        <f t="shared" si="14"/>
        <v>2024</v>
      </c>
      <c r="H32" t="s">
        <v>336</v>
      </c>
      <c r="I32" s="4">
        <v>45516</v>
      </c>
      <c r="J32" s="8">
        <f t="shared" si="2"/>
        <v>0</v>
      </c>
      <c r="K32" s="8" t="str">
        <f t="shared" si="15"/>
        <v>OK</v>
      </c>
      <c r="L32" t="s">
        <v>337</v>
      </c>
      <c r="M32" t="s">
        <v>147</v>
      </c>
      <c r="N32" t="str">
        <f t="shared" si="3"/>
        <v>Rahul Verma</v>
      </c>
      <c r="O32" t="s">
        <v>107</v>
      </c>
      <c r="P32" t="str">
        <f t="shared" si="28"/>
        <v>Corporate</v>
      </c>
      <c r="Q32" t="s">
        <v>61</v>
      </c>
      <c r="R32" t="str">
        <f t="shared" si="5"/>
        <v>South</v>
      </c>
      <c r="S32" t="str">
        <f t="shared" si="16"/>
        <v>OK</v>
      </c>
      <c r="T32" t="s">
        <v>338</v>
      </c>
      <c r="U32" t="str">
        <f t="shared" si="6"/>
        <v>Tamil Nadu</v>
      </c>
      <c r="V32" t="s">
        <v>339</v>
      </c>
      <c r="W32" t="str">
        <f t="shared" si="7"/>
        <v>Chennai</v>
      </c>
      <c r="X32" t="str">
        <f t="shared" si="8"/>
        <v>Office Supplies</v>
      </c>
      <c r="Y32" t="s">
        <v>29</v>
      </c>
      <c r="Z32" t="s">
        <v>155</v>
      </c>
      <c r="AA32" t="str">
        <f t="shared" si="9"/>
        <v>Storage</v>
      </c>
      <c r="AB32" t="s">
        <v>340</v>
      </c>
      <c r="AC32" t="s">
        <v>66</v>
      </c>
      <c r="AD32" t="str">
        <f t="shared" si="10"/>
        <v>Standard Class</v>
      </c>
      <c r="AE32" t="str">
        <f t="shared" si="17"/>
        <v>OK</v>
      </c>
      <c r="AF32">
        <v>8</v>
      </c>
      <c r="AG32">
        <v>2445.31</v>
      </c>
      <c r="AH32">
        <v>0.1</v>
      </c>
      <c r="AI32">
        <f t="shared" si="18"/>
        <v>0.1</v>
      </c>
      <c r="AJ32" t="str">
        <f t="shared" si="19"/>
        <v>OK</v>
      </c>
      <c r="AK32">
        <v>17606.23</v>
      </c>
      <c r="AL32">
        <v>12438.96</v>
      </c>
      <c r="AM32">
        <v>5167.2700000000004</v>
      </c>
      <c r="AN32" t="s">
        <v>33</v>
      </c>
      <c r="AO32" t="str">
        <f t="shared" si="11"/>
        <v>PAID</v>
      </c>
      <c r="AP32" t="str">
        <f t="shared" si="20"/>
        <v>OK</v>
      </c>
      <c r="AQ32" t="s">
        <v>34</v>
      </c>
      <c r="AR32" t="str">
        <f t="shared" si="12"/>
        <v>COMPLETED</v>
      </c>
      <c r="AS32" t="str">
        <f t="shared" si="21"/>
        <v>OK</v>
      </c>
      <c r="AT32">
        <f t="shared" si="22"/>
        <v>17606.232</v>
      </c>
      <c r="AU32">
        <f t="shared" si="23"/>
        <v>5167.2720000000008</v>
      </c>
      <c r="AV32" s="6">
        <f t="shared" si="24"/>
        <v>1.5031609261993139E-2</v>
      </c>
      <c r="AW32" t="str">
        <f t="shared" si="25"/>
        <v>CLEAN</v>
      </c>
      <c r="AX32" s="10" t="str">
        <f t="shared" si="26"/>
        <v>MATCH</v>
      </c>
      <c r="AY32" t="str">
        <f t="shared" si="27"/>
        <v>MATCH</v>
      </c>
    </row>
    <row r="33" spans="1:51">
      <c r="A33" t="s">
        <v>346</v>
      </c>
      <c r="B33">
        <f t="shared" si="0"/>
        <v>1</v>
      </c>
      <c r="C33" t="s">
        <v>347</v>
      </c>
      <c r="D33" s="3">
        <v>45447</v>
      </c>
      <c r="E33" t="str">
        <f t="shared" si="1"/>
        <v>2024/06/04</v>
      </c>
      <c r="F33" t="str">
        <f t="shared" si="13"/>
        <v>June</v>
      </c>
      <c r="G33">
        <f t="shared" si="14"/>
        <v>2024</v>
      </c>
      <c r="H33" t="s">
        <v>348</v>
      </c>
      <c r="I33" s="4">
        <v>45395</v>
      </c>
      <c r="J33" s="8">
        <f t="shared" si="2"/>
        <v>-52</v>
      </c>
      <c r="K33" s="8" t="str">
        <f t="shared" si="15"/>
        <v>INVAILD_SHIPPING</v>
      </c>
      <c r="L33" t="s">
        <v>349</v>
      </c>
      <c r="M33" t="s">
        <v>161</v>
      </c>
      <c r="N33" t="str">
        <f t="shared" si="3"/>
        <v>Aarav Sharma</v>
      </c>
      <c r="O33" t="s">
        <v>114</v>
      </c>
      <c r="P33" t="str">
        <f t="shared" si="28"/>
        <v>Home Office</v>
      </c>
      <c r="Q33" t="s">
        <v>26</v>
      </c>
      <c r="R33" t="str">
        <f t="shared" si="5"/>
        <v>North</v>
      </c>
      <c r="S33" t="str">
        <f t="shared" si="16"/>
        <v>OK</v>
      </c>
      <c r="T33" t="s">
        <v>173</v>
      </c>
      <c r="U33" t="str">
        <f t="shared" si="6"/>
        <v>Uttar Pradesh</v>
      </c>
      <c r="V33" t="s">
        <v>174</v>
      </c>
      <c r="W33" t="str">
        <f t="shared" si="7"/>
        <v>Noida</v>
      </c>
      <c r="X33" t="str">
        <f t="shared" si="8"/>
        <v>Technology</v>
      </c>
      <c r="Y33" t="s">
        <v>85</v>
      </c>
      <c r="Z33" t="s">
        <v>93</v>
      </c>
      <c r="AA33" t="str">
        <f t="shared" si="9"/>
        <v>Copiers</v>
      </c>
      <c r="AB33" t="s">
        <v>350</v>
      </c>
      <c r="AC33" t="s">
        <v>32</v>
      </c>
      <c r="AD33" t="str">
        <f t="shared" si="10"/>
        <v>Second Class</v>
      </c>
      <c r="AE33" t="str">
        <f t="shared" si="17"/>
        <v>OK</v>
      </c>
      <c r="AF33">
        <v>9</v>
      </c>
      <c r="AG33">
        <v>792.11</v>
      </c>
      <c r="AH33">
        <v>0.05</v>
      </c>
      <c r="AI33">
        <f t="shared" si="18"/>
        <v>0.05</v>
      </c>
      <c r="AJ33" t="str">
        <f t="shared" si="19"/>
        <v>OK</v>
      </c>
      <c r="AK33">
        <v>6772.54</v>
      </c>
      <c r="AL33">
        <v>5755.46</v>
      </c>
      <c r="AM33">
        <v>1017.08</v>
      </c>
      <c r="AN33" t="s">
        <v>33</v>
      </c>
      <c r="AO33" t="str">
        <f t="shared" si="11"/>
        <v>PAID</v>
      </c>
      <c r="AP33" t="str">
        <f t="shared" si="20"/>
        <v>OK</v>
      </c>
      <c r="AQ33" t="s">
        <v>34</v>
      </c>
      <c r="AR33" t="str">
        <f t="shared" si="12"/>
        <v>COMPLETED</v>
      </c>
      <c r="AS33" t="str">
        <f t="shared" si="21"/>
        <v>OK</v>
      </c>
      <c r="AT33">
        <f t="shared" si="22"/>
        <v>6772.5404999999992</v>
      </c>
      <c r="AU33">
        <f t="shared" si="23"/>
        <v>1017.0804999999991</v>
      </c>
      <c r="AV33" s="6">
        <f t="shared" si="24"/>
        <v>0.13205029929315304</v>
      </c>
      <c r="AW33" t="str">
        <f t="shared" si="25"/>
        <v>CLEAN</v>
      </c>
      <c r="AX33" s="10" t="str">
        <f t="shared" si="26"/>
        <v>MATCH</v>
      </c>
      <c r="AY33" t="str">
        <f t="shared" si="27"/>
        <v>MATCH</v>
      </c>
    </row>
    <row r="34" spans="1:51">
      <c r="A34" t="s">
        <v>356</v>
      </c>
      <c r="B34">
        <f t="shared" si="0"/>
        <v>1</v>
      </c>
      <c r="C34" t="s">
        <v>357</v>
      </c>
      <c r="D34" s="2">
        <v>45406</v>
      </c>
      <c r="E34" t="str">
        <f t="shared" si="1"/>
        <v>2024/04/24</v>
      </c>
      <c r="F34" t="str">
        <f t="shared" si="13"/>
        <v>April</v>
      </c>
      <c r="G34">
        <f t="shared" si="14"/>
        <v>2024</v>
      </c>
      <c r="H34" t="s">
        <v>358</v>
      </c>
      <c r="I34" s="4">
        <v>45411</v>
      </c>
      <c r="J34" s="8">
        <f t="shared" si="2"/>
        <v>5</v>
      </c>
      <c r="K34" s="8" t="str">
        <f t="shared" si="15"/>
        <v>OK</v>
      </c>
      <c r="L34" t="s">
        <v>359</v>
      </c>
      <c r="M34" t="s">
        <v>71</v>
      </c>
      <c r="N34" t="str">
        <f t="shared" si="3"/>
        <v>Ananya Rao</v>
      </c>
      <c r="O34" t="s">
        <v>107</v>
      </c>
      <c r="P34" t="str">
        <f t="shared" si="28"/>
        <v>Corporate</v>
      </c>
      <c r="Q34" t="s">
        <v>61</v>
      </c>
      <c r="R34" t="str">
        <f t="shared" ref="R34:R65" si="29">PROPER(TRIM(SUBSTITUTE(Q34,CHAR(160)," ")))</f>
        <v>South</v>
      </c>
      <c r="S34" t="str">
        <f t="shared" si="16"/>
        <v>OK</v>
      </c>
      <c r="T34" t="s">
        <v>62</v>
      </c>
      <c r="U34" t="str">
        <f t="shared" si="6"/>
        <v>Telangana</v>
      </c>
      <c r="V34" t="s">
        <v>63</v>
      </c>
      <c r="W34" t="str">
        <f t="shared" si="7"/>
        <v>Hyderabad</v>
      </c>
      <c r="X34" t="str">
        <f t="shared" si="8"/>
        <v>Office Supplies</v>
      </c>
      <c r="Y34" t="s">
        <v>29</v>
      </c>
      <c r="Z34" t="s">
        <v>53</v>
      </c>
      <c r="AA34" t="str">
        <f t="shared" si="9"/>
        <v>Art</v>
      </c>
      <c r="AB34" t="s">
        <v>360</v>
      </c>
      <c r="AC34" t="s">
        <v>66</v>
      </c>
      <c r="AD34" t="str">
        <f t="shared" si="10"/>
        <v>Standard Class</v>
      </c>
      <c r="AE34" t="str">
        <f t="shared" si="17"/>
        <v>OK</v>
      </c>
      <c r="AF34">
        <v>6</v>
      </c>
      <c r="AG34">
        <v>1528.08</v>
      </c>
      <c r="AH34">
        <v>0</v>
      </c>
      <c r="AI34">
        <f t="shared" si="18"/>
        <v>0</v>
      </c>
      <c r="AJ34" t="str">
        <f t="shared" si="19"/>
        <v>OK</v>
      </c>
      <c r="AK34">
        <v>9168.48</v>
      </c>
      <c r="AL34">
        <v>7439.77</v>
      </c>
      <c r="AM34">
        <v>1728.71</v>
      </c>
      <c r="AN34" t="s">
        <v>33</v>
      </c>
      <c r="AO34" t="str">
        <f t="shared" si="11"/>
        <v>PAID</v>
      </c>
      <c r="AP34" t="str">
        <f t="shared" si="20"/>
        <v>OK</v>
      </c>
      <c r="AQ34" t="s">
        <v>34</v>
      </c>
      <c r="AR34" t="str">
        <f t="shared" si="12"/>
        <v>COMPLETED</v>
      </c>
      <c r="AS34" t="str">
        <f t="shared" si="21"/>
        <v>OK</v>
      </c>
      <c r="AT34">
        <f t="shared" si="22"/>
        <v>9168.48</v>
      </c>
      <c r="AU34">
        <f t="shared" si="23"/>
        <v>1728.7099999999991</v>
      </c>
      <c r="AV34" s="6">
        <f t="shared" si="24"/>
        <v>0.86444536062684307</v>
      </c>
      <c r="AW34" t="str">
        <f t="shared" si="25"/>
        <v>CLEAN</v>
      </c>
      <c r="AX34" s="10" t="str">
        <f t="shared" si="26"/>
        <v>MATCH</v>
      </c>
      <c r="AY34" t="str">
        <f t="shared" si="27"/>
        <v>MATCH</v>
      </c>
    </row>
    <row r="35" spans="1:51">
      <c r="A35" t="s">
        <v>361</v>
      </c>
      <c r="B35">
        <f t="shared" si="0"/>
        <v>1</v>
      </c>
      <c r="C35" t="s">
        <v>362</v>
      </c>
      <c r="D35" s="3">
        <v>45591</v>
      </c>
      <c r="E35" t="str">
        <f t="shared" si="1"/>
        <v>2024/10/26</v>
      </c>
      <c r="F35" t="str">
        <f t="shared" si="13"/>
        <v>October</v>
      </c>
      <c r="G35">
        <f t="shared" si="14"/>
        <v>2024</v>
      </c>
      <c r="H35" t="s">
        <v>363</v>
      </c>
      <c r="I35" s="4">
        <v>45593</v>
      </c>
      <c r="J35" s="8">
        <f t="shared" si="2"/>
        <v>2</v>
      </c>
      <c r="K35" s="8" t="str">
        <f t="shared" si="15"/>
        <v>OK</v>
      </c>
      <c r="L35" t="s">
        <v>364</v>
      </c>
      <c r="M35" t="s">
        <v>365</v>
      </c>
      <c r="N35" t="str">
        <f t="shared" si="3"/>
        <v>Kabir Singh</v>
      </c>
      <c r="O35" t="s">
        <v>40</v>
      </c>
      <c r="P35" t="str">
        <f t="shared" si="28"/>
        <v>Small Business</v>
      </c>
      <c r="Q35" t="s">
        <v>26</v>
      </c>
      <c r="R35" t="str">
        <f t="shared" si="29"/>
        <v>North</v>
      </c>
      <c r="S35" t="str">
        <f t="shared" si="16"/>
        <v>OK</v>
      </c>
      <c r="T35" t="s">
        <v>27</v>
      </c>
      <c r="U35" t="str">
        <f t="shared" si="6"/>
        <v>Rajasthan</v>
      </c>
      <c r="V35" t="s">
        <v>28</v>
      </c>
      <c r="W35" t="str">
        <f t="shared" si="7"/>
        <v>Jaipur</v>
      </c>
      <c r="X35" t="str">
        <f t="shared" si="8"/>
        <v>Furniture</v>
      </c>
      <c r="Y35" t="s">
        <v>44</v>
      </c>
      <c r="Z35" t="s">
        <v>75</v>
      </c>
      <c r="AA35" t="str">
        <f t="shared" si="9"/>
        <v>Chairs</v>
      </c>
      <c r="AB35" t="s">
        <v>366</v>
      </c>
      <c r="AC35" t="s">
        <v>55</v>
      </c>
      <c r="AD35" t="str">
        <f t="shared" si="10"/>
        <v>First Class</v>
      </c>
      <c r="AE35" t="str">
        <f t="shared" si="17"/>
        <v>OK</v>
      </c>
      <c r="AF35">
        <v>9</v>
      </c>
      <c r="AG35">
        <v>1399.63</v>
      </c>
      <c r="AH35">
        <v>0</v>
      </c>
      <c r="AI35">
        <f t="shared" si="18"/>
        <v>0</v>
      </c>
      <c r="AJ35" t="str">
        <f t="shared" si="19"/>
        <v>OK</v>
      </c>
      <c r="AK35">
        <v>12596.67</v>
      </c>
      <c r="AL35">
        <v>10603.29</v>
      </c>
      <c r="AM35">
        <v>1993.38</v>
      </c>
      <c r="AN35" t="s">
        <v>199</v>
      </c>
      <c r="AO35" t="str">
        <f t="shared" si="11"/>
        <v>FAILED</v>
      </c>
      <c r="AP35" t="str">
        <f t="shared" si="20"/>
        <v>EXCLUDE_FROM_SALES</v>
      </c>
      <c r="AQ35" t="s">
        <v>77</v>
      </c>
      <c r="AR35" t="str">
        <f t="shared" si="12"/>
        <v>CANCELLED</v>
      </c>
      <c r="AS35" t="str">
        <f t="shared" si="21"/>
        <v>EXCLUDE_FROM_SALES</v>
      </c>
      <c r="AT35">
        <f t="shared" si="22"/>
        <v>12596.670000000002</v>
      </c>
      <c r="AU35">
        <f t="shared" si="23"/>
        <v>1993.380000000001</v>
      </c>
      <c r="AV35" s="6">
        <f t="shared" si="24"/>
        <v>7.1062034648839686E-2</v>
      </c>
      <c r="AW35" t="str">
        <f t="shared" si="25"/>
        <v>CLEAN</v>
      </c>
      <c r="AX35" s="10" t="str">
        <f t="shared" si="26"/>
        <v>MATCH</v>
      </c>
      <c r="AY35" t="str">
        <f t="shared" si="27"/>
        <v>MATCH</v>
      </c>
    </row>
    <row r="36" spans="1:51">
      <c r="A36" t="s">
        <v>388</v>
      </c>
      <c r="B36">
        <f t="shared" si="0"/>
        <v>1</v>
      </c>
      <c r="C36" t="s">
        <v>389</v>
      </c>
      <c r="D36" s="3">
        <v>45475</v>
      </c>
      <c r="E36" t="str">
        <f t="shared" si="1"/>
        <v>2024/07/02</v>
      </c>
      <c r="F36" t="str">
        <f t="shared" si="13"/>
        <v>July</v>
      </c>
      <c r="G36">
        <f t="shared" si="14"/>
        <v>2024</v>
      </c>
      <c r="H36" t="s">
        <v>390</v>
      </c>
      <c r="I36" s="4">
        <v>45337</v>
      </c>
      <c r="J36" s="8">
        <f t="shared" si="2"/>
        <v>-138</v>
      </c>
      <c r="K36" s="8" t="str">
        <f t="shared" si="15"/>
        <v>INVAILD_SHIPPING</v>
      </c>
      <c r="L36" t="s">
        <v>391</v>
      </c>
      <c r="M36" t="s">
        <v>141</v>
      </c>
      <c r="N36" t="str">
        <f t="shared" si="3"/>
        <v>Priya Menon</v>
      </c>
      <c r="O36" t="s">
        <v>25</v>
      </c>
      <c r="P36" t="str">
        <f t="shared" si="28"/>
        <v>Consumer</v>
      </c>
      <c r="Q36" t="s">
        <v>72</v>
      </c>
      <c r="R36" t="str">
        <f t="shared" si="29"/>
        <v>West</v>
      </c>
      <c r="S36" t="str">
        <f t="shared" si="16"/>
        <v>OK</v>
      </c>
      <c r="T36" t="s">
        <v>248</v>
      </c>
      <c r="U36" t="str">
        <f t="shared" si="6"/>
        <v>Goa</v>
      </c>
      <c r="V36" t="s">
        <v>249</v>
      </c>
      <c r="W36" t="str">
        <f t="shared" si="7"/>
        <v>Panaji</v>
      </c>
      <c r="X36" t="str">
        <f t="shared" si="8"/>
        <v>Furniture</v>
      </c>
      <c r="Y36" t="s">
        <v>44</v>
      </c>
      <c r="Z36" t="s">
        <v>75</v>
      </c>
      <c r="AA36" t="str">
        <f t="shared" si="9"/>
        <v>Chairs</v>
      </c>
      <c r="AB36" t="s">
        <v>392</v>
      </c>
      <c r="AC36" t="s">
        <v>47</v>
      </c>
      <c r="AD36" t="str">
        <f t="shared" si="10"/>
        <v>Same Day</v>
      </c>
      <c r="AE36" t="str">
        <f t="shared" si="17"/>
        <v>OK</v>
      </c>
      <c r="AF36">
        <v>5</v>
      </c>
      <c r="AG36">
        <v>255.87</v>
      </c>
      <c r="AH36">
        <v>0</v>
      </c>
      <c r="AI36">
        <f t="shared" si="18"/>
        <v>0</v>
      </c>
      <c r="AJ36" t="str">
        <f t="shared" si="19"/>
        <v>OK</v>
      </c>
      <c r="AK36">
        <v>1279.3499999999999</v>
      </c>
      <c r="AL36">
        <v>1091.54</v>
      </c>
      <c r="AM36">
        <v>187.81</v>
      </c>
      <c r="AN36" t="s">
        <v>33</v>
      </c>
      <c r="AO36" t="str">
        <f t="shared" si="11"/>
        <v>PAID</v>
      </c>
      <c r="AP36" t="str">
        <f t="shared" si="20"/>
        <v>OK</v>
      </c>
      <c r="AQ36" t="s">
        <v>34</v>
      </c>
      <c r="AR36" t="str">
        <f t="shared" si="12"/>
        <v>COMPLETED</v>
      </c>
      <c r="AS36" t="str">
        <f t="shared" si="21"/>
        <v>OK</v>
      </c>
      <c r="AT36">
        <f t="shared" si="22"/>
        <v>1279.3499999999999</v>
      </c>
      <c r="AU36">
        <f t="shared" si="23"/>
        <v>187.80999999999995</v>
      </c>
      <c r="AV36" s="6">
        <f t="shared" si="24"/>
        <v>7.0387102825653685</v>
      </c>
      <c r="AW36" t="str">
        <f t="shared" si="25"/>
        <v>CLEAN</v>
      </c>
      <c r="AX36" s="10" t="str">
        <f t="shared" si="26"/>
        <v>MATCH</v>
      </c>
      <c r="AY36" t="str">
        <f t="shared" si="27"/>
        <v>MATCH</v>
      </c>
    </row>
    <row r="37" spans="1:51">
      <c r="A37" t="s">
        <v>393</v>
      </c>
      <c r="B37">
        <f t="shared" si="0"/>
        <v>1</v>
      </c>
      <c r="C37" t="s">
        <v>394</v>
      </c>
      <c r="D37" s="3">
        <v>45300</v>
      </c>
      <c r="E37" t="str">
        <f t="shared" si="1"/>
        <v>2024/01/09</v>
      </c>
      <c r="F37" t="str">
        <f t="shared" si="13"/>
        <v>January</v>
      </c>
      <c r="G37">
        <f t="shared" si="14"/>
        <v>2024</v>
      </c>
      <c r="H37" t="s">
        <v>395</v>
      </c>
      <c r="I37" s="4">
        <v>45542</v>
      </c>
      <c r="J37" s="8">
        <f t="shared" si="2"/>
        <v>242</v>
      </c>
      <c r="K37" s="8" t="str">
        <f t="shared" si="15"/>
        <v>OK</v>
      </c>
      <c r="L37" t="s">
        <v>396</v>
      </c>
      <c r="M37" t="s">
        <v>52</v>
      </c>
      <c r="N37" t="str">
        <f t="shared" si="3"/>
        <v>Isha Nair</v>
      </c>
      <c r="O37" t="s">
        <v>114</v>
      </c>
      <c r="P37" t="str">
        <f t="shared" si="28"/>
        <v>Home Office</v>
      </c>
      <c r="Q37" t="s">
        <v>26</v>
      </c>
      <c r="R37" t="str">
        <f t="shared" si="29"/>
        <v>North</v>
      </c>
      <c r="S37" t="str">
        <f t="shared" si="16"/>
        <v>OK</v>
      </c>
      <c r="T37" t="s">
        <v>27</v>
      </c>
      <c r="U37" t="str">
        <f t="shared" si="6"/>
        <v>Rajasthan</v>
      </c>
      <c r="V37" t="s">
        <v>28</v>
      </c>
      <c r="W37" t="str">
        <f t="shared" si="7"/>
        <v>Jaipur</v>
      </c>
      <c r="X37" t="str">
        <f t="shared" si="8"/>
        <v>Office Supplies</v>
      </c>
      <c r="Y37" t="s">
        <v>29</v>
      </c>
      <c r="Z37" t="s">
        <v>155</v>
      </c>
      <c r="AA37" t="str">
        <f t="shared" si="9"/>
        <v>Storage</v>
      </c>
      <c r="AB37" t="s">
        <v>397</v>
      </c>
      <c r="AD37" t="s">
        <v>4109</v>
      </c>
      <c r="AE37" t="str">
        <f t="shared" si="17"/>
        <v>MISSING_SHIP_MODE</v>
      </c>
      <c r="AF37">
        <v>9</v>
      </c>
      <c r="AG37">
        <v>1389.48</v>
      </c>
      <c r="AH37">
        <v>0.1</v>
      </c>
      <c r="AI37">
        <f t="shared" si="18"/>
        <v>0.1</v>
      </c>
      <c r="AJ37" t="str">
        <f t="shared" si="19"/>
        <v>OK</v>
      </c>
      <c r="AK37">
        <v>11254.79</v>
      </c>
      <c r="AL37">
        <v>6578.06</v>
      </c>
      <c r="AM37">
        <v>4676.7299999999996</v>
      </c>
      <c r="AN37" t="s">
        <v>136</v>
      </c>
      <c r="AO37" t="str">
        <f t="shared" si="11"/>
        <v>PENDING</v>
      </c>
      <c r="AP37" t="str">
        <f t="shared" si="20"/>
        <v>OK</v>
      </c>
      <c r="AQ37" t="s">
        <v>124</v>
      </c>
      <c r="AR37" t="str">
        <f t="shared" si="12"/>
        <v>RETURNED</v>
      </c>
      <c r="AS37" t="str">
        <f t="shared" si="21"/>
        <v>RETURNED_ORDER</v>
      </c>
      <c r="AT37">
        <f t="shared" si="22"/>
        <v>11254.788</v>
      </c>
      <c r="AU37">
        <f t="shared" si="23"/>
        <v>4676.7280000000001</v>
      </c>
      <c r="AW37" t="str">
        <f t="shared" si="25"/>
        <v>WARNING</v>
      </c>
      <c r="AX37" s="10" t="str">
        <f t="shared" si="26"/>
        <v>MATCH</v>
      </c>
      <c r="AY37" t="str">
        <f t="shared" si="27"/>
        <v>MATCH</v>
      </c>
    </row>
    <row r="38" spans="1:51">
      <c r="A38" t="s">
        <v>398</v>
      </c>
      <c r="B38">
        <f t="shared" si="0"/>
        <v>1</v>
      </c>
      <c r="C38" t="s">
        <v>399</v>
      </c>
      <c r="D38" s="3">
        <v>45493</v>
      </c>
      <c r="E38" t="str">
        <f t="shared" si="1"/>
        <v>2024/07/20</v>
      </c>
      <c r="F38" t="str">
        <f t="shared" si="13"/>
        <v>July</v>
      </c>
      <c r="G38">
        <f t="shared" si="14"/>
        <v>2024</v>
      </c>
      <c r="H38" t="s">
        <v>400</v>
      </c>
      <c r="I38" s="4">
        <v>45498</v>
      </c>
      <c r="J38" s="8">
        <f t="shared" si="2"/>
        <v>5</v>
      </c>
      <c r="K38" s="8" t="str">
        <f t="shared" si="15"/>
        <v>OK</v>
      </c>
      <c r="L38" t="s">
        <v>401</v>
      </c>
      <c r="M38" t="s">
        <v>141</v>
      </c>
      <c r="N38" t="str">
        <f t="shared" si="3"/>
        <v>Priya Menon</v>
      </c>
      <c r="O38" t="s">
        <v>107</v>
      </c>
      <c r="P38" t="str">
        <f t="shared" si="28"/>
        <v>Corporate</v>
      </c>
      <c r="Q38" t="s">
        <v>41</v>
      </c>
      <c r="R38" t="str">
        <f t="shared" si="29"/>
        <v>East</v>
      </c>
      <c r="S38" t="str">
        <f t="shared" si="16"/>
        <v>OK</v>
      </c>
      <c r="T38" t="s">
        <v>215</v>
      </c>
      <c r="U38" t="str">
        <f t="shared" si="6"/>
        <v>Assam</v>
      </c>
      <c r="V38" t="s">
        <v>216</v>
      </c>
      <c r="W38" t="str">
        <f t="shared" si="7"/>
        <v>Guwahati</v>
      </c>
      <c r="X38" t="str">
        <f t="shared" si="8"/>
        <v>Office Supplies</v>
      </c>
      <c r="Y38" t="s">
        <v>29</v>
      </c>
      <c r="Z38" t="s">
        <v>108</v>
      </c>
      <c r="AA38" t="str">
        <f t="shared" si="9"/>
        <v>Labels</v>
      </c>
      <c r="AB38" t="s">
        <v>402</v>
      </c>
      <c r="AC38" t="s">
        <v>47</v>
      </c>
      <c r="AD38" t="str">
        <f t="shared" ref="AD38:AD60" si="30">PROPER(TRIM(SUBSTITUTE(AC38,CHAR(160)," ")))</f>
        <v>Same Day</v>
      </c>
      <c r="AE38" t="str">
        <f t="shared" si="17"/>
        <v>OK</v>
      </c>
      <c r="AF38">
        <v>5</v>
      </c>
      <c r="AG38">
        <v>4133.8500000000004</v>
      </c>
      <c r="AH38">
        <v>0.2</v>
      </c>
      <c r="AI38">
        <f t="shared" si="18"/>
        <v>0.2</v>
      </c>
      <c r="AJ38" t="str">
        <f t="shared" si="19"/>
        <v>OK</v>
      </c>
      <c r="AK38">
        <v>16535.400000000001</v>
      </c>
      <c r="AL38">
        <v>12990.21</v>
      </c>
      <c r="AM38">
        <v>3545.19</v>
      </c>
      <c r="AN38" t="s">
        <v>33</v>
      </c>
      <c r="AO38" t="str">
        <f t="shared" si="11"/>
        <v>PAID</v>
      </c>
      <c r="AP38" t="str">
        <f t="shared" si="20"/>
        <v>OK</v>
      </c>
      <c r="AQ38" t="s">
        <v>77</v>
      </c>
      <c r="AR38" t="str">
        <f t="shared" si="12"/>
        <v>CANCELLED</v>
      </c>
      <c r="AS38" t="str">
        <f t="shared" si="21"/>
        <v>EXCLUDE_FROM_SALES</v>
      </c>
      <c r="AT38">
        <f t="shared" si="22"/>
        <v>16535.400000000001</v>
      </c>
      <c r="AU38">
        <f t="shared" si="23"/>
        <v>3545.1900000000023</v>
      </c>
      <c r="AV38" s="6">
        <f t="shared" si="24"/>
        <v>0.30861726961549185</v>
      </c>
      <c r="AW38" t="str">
        <f t="shared" si="25"/>
        <v>CLEAN</v>
      </c>
      <c r="AX38" s="10" t="str">
        <f t="shared" si="26"/>
        <v>MATCH</v>
      </c>
      <c r="AY38" t="str">
        <f t="shared" si="27"/>
        <v>MATCH</v>
      </c>
    </row>
    <row r="39" spans="1:51">
      <c r="A39" t="s">
        <v>403</v>
      </c>
      <c r="B39">
        <f t="shared" si="0"/>
        <v>1</v>
      </c>
      <c r="C39" t="s">
        <v>404</v>
      </c>
      <c r="D39" s="3">
        <v>45486</v>
      </c>
      <c r="E39" t="str">
        <f t="shared" si="1"/>
        <v>2024/07/13</v>
      </c>
      <c r="F39" t="str">
        <f t="shared" si="13"/>
        <v>July</v>
      </c>
      <c r="G39">
        <f t="shared" si="14"/>
        <v>2024</v>
      </c>
      <c r="H39" t="s">
        <v>405</v>
      </c>
      <c r="I39" s="4">
        <v>45492</v>
      </c>
      <c r="J39" s="8">
        <f t="shared" si="2"/>
        <v>6</v>
      </c>
      <c r="K39" s="8" t="str">
        <f t="shared" si="15"/>
        <v>OK</v>
      </c>
      <c r="L39" t="s">
        <v>406</v>
      </c>
      <c r="M39" t="s">
        <v>71</v>
      </c>
      <c r="N39" t="str">
        <f t="shared" si="3"/>
        <v>Ananya Rao</v>
      </c>
      <c r="O39" t="s">
        <v>107</v>
      </c>
      <c r="P39" t="str">
        <f t="shared" si="28"/>
        <v>Corporate</v>
      </c>
      <c r="Q39" t="s">
        <v>41</v>
      </c>
      <c r="R39" t="str">
        <f t="shared" si="29"/>
        <v>East</v>
      </c>
      <c r="S39" t="str">
        <f t="shared" si="16"/>
        <v>OK</v>
      </c>
      <c r="T39" t="s">
        <v>215</v>
      </c>
      <c r="U39" t="str">
        <f t="shared" si="6"/>
        <v>Assam</v>
      </c>
      <c r="V39" t="s">
        <v>216</v>
      </c>
      <c r="W39" t="str">
        <f t="shared" si="7"/>
        <v>Guwahati</v>
      </c>
      <c r="X39" t="str">
        <f t="shared" si="8"/>
        <v>Office Supplies</v>
      </c>
      <c r="Y39" t="s">
        <v>29</v>
      </c>
      <c r="Z39" t="s">
        <v>108</v>
      </c>
      <c r="AA39" t="str">
        <f t="shared" si="9"/>
        <v>Labels</v>
      </c>
      <c r="AB39" t="s">
        <v>407</v>
      </c>
      <c r="AC39" t="s">
        <v>47</v>
      </c>
      <c r="AD39" t="str">
        <f t="shared" si="30"/>
        <v>Same Day</v>
      </c>
      <c r="AE39" t="str">
        <f t="shared" si="17"/>
        <v>OK</v>
      </c>
      <c r="AF39">
        <v>3</v>
      </c>
      <c r="AG39">
        <v>275.76</v>
      </c>
      <c r="AH39">
        <v>0.2</v>
      </c>
      <c r="AI39">
        <f t="shared" si="18"/>
        <v>0.2</v>
      </c>
      <c r="AJ39" t="str">
        <f t="shared" si="19"/>
        <v>OK</v>
      </c>
      <c r="AK39">
        <v>661.82</v>
      </c>
      <c r="AL39">
        <v>481.47</v>
      </c>
      <c r="AM39">
        <v>180.35</v>
      </c>
      <c r="AN39" t="s">
        <v>123</v>
      </c>
      <c r="AO39" t="str">
        <f t="shared" si="11"/>
        <v>REFUNDED</v>
      </c>
      <c r="AP39" t="str">
        <f t="shared" si="20"/>
        <v>REFUNDED_PAYMENT</v>
      </c>
      <c r="AQ39" t="s">
        <v>77</v>
      </c>
      <c r="AR39" t="str">
        <f t="shared" si="12"/>
        <v>CANCELLED</v>
      </c>
      <c r="AS39" t="str">
        <f t="shared" si="21"/>
        <v>EXCLUDE_FROM_SALES</v>
      </c>
      <c r="AT39">
        <f t="shared" si="22"/>
        <v>661.82400000000007</v>
      </c>
      <c r="AU39">
        <f t="shared" si="23"/>
        <v>180.35400000000004</v>
      </c>
      <c r="AV39" s="6">
        <f t="shared" si="24"/>
        <v>2.0011634513103176</v>
      </c>
      <c r="AW39" t="str">
        <f t="shared" si="25"/>
        <v>CLEAN</v>
      </c>
      <c r="AX39" s="10" t="str">
        <f t="shared" si="26"/>
        <v>MATCH</v>
      </c>
      <c r="AY39" t="str">
        <f t="shared" si="27"/>
        <v>MATCH</v>
      </c>
    </row>
    <row r="40" spans="1:51">
      <c r="A40" t="s">
        <v>408</v>
      </c>
      <c r="B40">
        <f t="shared" si="0"/>
        <v>1</v>
      </c>
      <c r="C40" t="s">
        <v>409</v>
      </c>
      <c r="D40" s="2">
        <v>45398</v>
      </c>
      <c r="E40" t="str">
        <f t="shared" si="1"/>
        <v>2024/04/16</v>
      </c>
      <c r="F40" t="str">
        <f t="shared" si="13"/>
        <v>April</v>
      </c>
      <c r="G40">
        <f t="shared" si="14"/>
        <v>2024</v>
      </c>
      <c r="H40" t="s">
        <v>410</v>
      </c>
      <c r="I40" s="4">
        <v>45398</v>
      </c>
      <c r="J40" s="8">
        <f t="shared" si="2"/>
        <v>0</v>
      </c>
      <c r="K40" s="8" t="str">
        <f t="shared" si="15"/>
        <v>OK</v>
      </c>
      <c r="L40" t="s">
        <v>411</v>
      </c>
      <c r="M40" t="s">
        <v>82</v>
      </c>
      <c r="N40" t="str">
        <f t="shared" si="3"/>
        <v>Vikram Iyer</v>
      </c>
      <c r="O40" t="s">
        <v>114</v>
      </c>
      <c r="P40" t="str">
        <f t="shared" si="28"/>
        <v>Home Office</v>
      </c>
      <c r="Q40" t="s">
        <v>41</v>
      </c>
      <c r="R40" t="str">
        <f t="shared" si="29"/>
        <v>East</v>
      </c>
      <c r="S40" t="str">
        <f t="shared" si="16"/>
        <v>OK</v>
      </c>
      <c r="T40" t="s">
        <v>185</v>
      </c>
      <c r="U40" t="str">
        <f t="shared" si="6"/>
        <v>Bihar</v>
      </c>
      <c r="V40" t="s">
        <v>186</v>
      </c>
      <c r="W40" t="str">
        <f t="shared" si="7"/>
        <v>Patna</v>
      </c>
      <c r="X40" t="str">
        <f t="shared" si="8"/>
        <v>Furniture</v>
      </c>
      <c r="Y40" t="s">
        <v>44</v>
      </c>
      <c r="Z40" t="s">
        <v>203</v>
      </c>
      <c r="AA40" t="str">
        <f t="shared" si="9"/>
        <v>Bookcases</v>
      </c>
      <c r="AB40" t="s">
        <v>412</v>
      </c>
      <c r="AC40" t="s">
        <v>66</v>
      </c>
      <c r="AD40" t="str">
        <f t="shared" si="30"/>
        <v>Standard Class</v>
      </c>
      <c r="AE40" t="str">
        <f t="shared" si="17"/>
        <v>OK</v>
      </c>
      <c r="AF40">
        <v>1</v>
      </c>
      <c r="AG40">
        <v>949.59</v>
      </c>
      <c r="AH40">
        <v>0</v>
      </c>
      <c r="AI40">
        <f t="shared" si="18"/>
        <v>0</v>
      </c>
      <c r="AJ40" t="str">
        <f t="shared" si="19"/>
        <v>OK</v>
      </c>
      <c r="AK40">
        <v>949.59</v>
      </c>
      <c r="AL40">
        <v>751.25</v>
      </c>
      <c r="AM40">
        <v>198.34</v>
      </c>
      <c r="AN40" t="s">
        <v>33</v>
      </c>
      <c r="AO40" t="str">
        <f t="shared" si="11"/>
        <v>PAID</v>
      </c>
      <c r="AP40" t="str">
        <f t="shared" si="20"/>
        <v>OK</v>
      </c>
      <c r="AQ40" t="s">
        <v>34</v>
      </c>
      <c r="AR40" t="str">
        <f t="shared" si="12"/>
        <v>COMPLETED</v>
      </c>
      <c r="AS40" t="str">
        <f t="shared" si="21"/>
        <v>OK</v>
      </c>
      <c r="AT40">
        <f t="shared" si="22"/>
        <v>949.59</v>
      </c>
      <c r="AU40">
        <f t="shared" si="23"/>
        <v>198.34000000000003</v>
      </c>
      <c r="AV40" s="6">
        <f t="shared" si="24"/>
        <v>4.1213113027727744</v>
      </c>
      <c r="AW40" t="str">
        <f t="shared" si="25"/>
        <v>CLEAN</v>
      </c>
      <c r="AX40" s="10" t="str">
        <f t="shared" si="26"/>
        <v>MATCH</v>
      </c>
      <c r="AY40" t="str">
        <f t="shared" si="27"/>
        <v>MATCH</v>
      </c>
    </row>
    <row r="41" spans="1:51">
      <c r="A41" t="s">
        <v>413</v>
      </c>
      <c r="B41">
        <f t="shared" si="0"/>
        <v>1</v>
      </c>
      <c r="C41" t="s">
        <v>414</v>
      </c>
      <c r="D41" s="2">
        <v>45595</v>
      </c>
      <c r="E41" t="str">
        <f t="shared" si="1"/>
        <v>2024/10/30</v>
      </c>
      <c r="F41" t="str">
        <f t="shared" si="13"/>
        <v>October</v>
      </c>
      <c r="G41">
        <f t="shared" si="14"/>
        <v>2024</v>
      </c>
      <c r="H41" t="s">
        <v>415</v>
      </c>
      <c r="I41" s="4">
        <v>45333</v>
      </c>
      <c r="J41" s="8">
        <f t="shared" si="2"/>
        <v>-262</v>
      </c>
      <c r="K41" s="8" t="str">
        <f t="shared" si="15"/>
        <v>INVAILD_SHIPPING</v>
      </c>
      <c r="L41" t="s">
        <v>416</v>
      </c>
      <c r="M41" t="s">
        <v>167</v>
      </c>
      <c r="N41" t="str">
        <f t="shared" si="3"/>
        <v>Sneha Kapoor</v>
      </c>
      <c r="O41" t="s">
        <v>114</v>
      </c>
      <c r="P41" t="str">
        <f t="shared" si="28"/>
        <v>Home Office</v>
      </c>
      <c r="Q41" t="s">
        <v>26</v>
      </c>
      <c r="R41" t="str">
        <f t="shared" si="29"/>
        <v>North</v>
      </c>
      <c r="S41" t="str">
        <f t="shared" si="16"/>
        <v>OK</v>
      </c>
      <c r="T41" t="s">
        <v>27</v>
      </c>
      <c r="U41" t="str">
        <f t="shared" si="6"/>
        <v>Rajasthan</v>
      </c>
      <c r="V41" t="s">
        <v>28</v>
      </c>
      <c r="W41" t="str">
        <f t="shared" si="7"/>
        <v>Jaipur</v>
      </c>
      <c r="X41" t="str">
        <f t="shared" si="8"/>
        <v>Technology</v>
      </c>
      <c r="Y41" t="s">
        <v>85</v>
      </c>
      <c r="Z41" t="s">
        <v>222</v>
      </c>
      <c r="AA41" t="str">
        <f t="shared" si="9"/>
        <v>Phones</v>
      </c>
      <c r="AB41" t="s">
        <v>417</v>
      </c>
      <c r="AC41" t="s">
        <v>66</v>
      </c>
      <c r="AD41" t="str">
        <f t="shared" si="30"/>
        <v>Standard Class</v>
      </c>
      <c r="AE41" t="str">
        <f t="shared" si="17"/>
        <v>OK</v>
      </c>
      <c r="AF41">
        <v>9</v>
      </c>
      <c r="AG41">
        <v>3042.29</v>
      </c>
      <c r="AH41">
        <v>0.2</v>
      </c>
      <c r="AI41">
        <f t="shared" si="18"/>
        <v>0.2</v>
      </c>
      <c r="AJ41" t="str">
        <f t="shared" si="19"/>
        <v>OK</v>
      </c>
      <c r="AK41">
        <v>21904.49</v>
      </c>
      <c r="AL41">
        <v>13570.55</v>
      </c>
      <c r="AM41">
        <v>8333.94</v>
      </c>
      <c r="AN41" t="s">
        <v>33</v>
      </c>
      <c r="AO41" t="str">
        <f t="shared" si="11"/>
        <v>PAID</v>
      </c>
      <c r="AP41" t="str">
        <f t="shared" si="20"/>
        <v>OK</v>
      </c>
      <c r="AQ41" t="s">
        <v>34</v>
      </c>
      <c r="AR41" t="str">
        <f t="shared" si="12"/>
        <v>COMPLETED</v>
      </c>
      <c r="AS41" t="str">
        <f t="shared" si="21"/>
        <v>OK</v>
      </c>
      <c r="AT41">
        <f t="shared" si="22"/>
        <v>21904.488000000001</v>
      </c>
      <c r="AU41">
        <f t="shared" si="23"/>
        <v>8333.9380000000019</v>
      </c>
      <c r="AV41" s="6">
        <f t="shared" si="24"/>
        <v>0.20236994354764198</v>
      </c>
      <c r="AW41" t="str">
        <f t="shared" si="25"/>
        <v>CLEAN</v>
      </c>
      <c r="AX41" s="10" t="str">
        <f t="shared" si="26"/>
        <v>MATCH</v>
      </c>
      <c r="AY41" t="str">
        <f t="shared" si="27"/>
        <v>MATCH</v>
      </c>
    </row>
    <row r="42" spans="1:51">
      <c r="A42" t="s">
        <v>418</v>
      </c>
      <c r="B42">
        <f t="shared" si="0"/>
        <v>1</v>
      </c>
      <c r="C42" t="s">
        <v>419</v>
      </c>
      <c r="D42" s="3">
        <v>45316</v>
      </c>
      <c r="E42" t="str">
        <f t="shared" si="1"/>
        <v>2024/01/25</v>
      </c>
      <c r="F42" t="str">
        <f t="shared" si="13"/>
        <v>January</v>
      </c>
      <c r="G42">
        <f t="shared" si="14"/>
        <v>2024</v>
      </c>
      <c r="H42" t="s">
        <v>420</v>
      </c>
      <c r="I42" s="4">
        <v>45293</v>
      </c>
      <c r="J42" s="8">
        <f t="shared" si="2"/>
        <v>-23</v>
      </c>
      <c r="K42" s="8" t="str">
        <f t="shared" si="15"/>
        <v>INVAILD_SHIPPING</v>
      </c>
      <c r="L42" t="s">
        <v>421</v>
      </c>
      <c r="M42" t="s">
        <v>167</v>
      </c>
      <c r="N42" t="str">
        <f t="shared" si="3"/>
        <v>Sneha Kapoor</v>
      </c>
      <c r="O42" t="s">
        <v>114</v>
      </c>
      <c r="P42" t="str">
        <f t="shared" si="28"/>
        <v>Home Office</v>
      </c>
      <c r="Q42" t="s">
        <v>26</v>
      </c>
      <c r="R42" t="str">
        <f t="shared" si="29"/>
        <v>North</v>
      </c>
      <c r="S42" t="str">
        <f t="shared" si="16"/>
        <v>OK</v>
      </c>
      <c r="T42" t="s">
        <v>322</v>
      </c>
      <c r="U42" t="str">
        <f t="shared" si="6"/>
        <v>Haryana</v>
      </c>
      <c r="V42" t="s">
        <v>323</v>
      </c>
      <c r="W42" t="str">
        <f t="shared" si="7"/>
        <v>Gurugram</v>
      </c>
      <c r="X42" t="str">
        <f t="shared" si="8"/>
        <v>Office Supplies</v>
      </c>
      <c r="Y42" t="s">
        <v>29</v>
      </c>
      <c r="Z42" t="s">
        <v>197</v>
      </c>
      <c r="AA42" t="str">
        <f t="shared" si="9"/>
        <v>Binders</v>
      </c>
      <c r="AB42" t="s">
        <v>422</v>
      </c>
      <c r="AC42" t="s">
        <v>47</v>
      </c>
      <c r="AD42" t="str">
        <f t="shared" si="30"/>
        <v>Same Day</v>
      </c>
      <c r="AE42" t="str">
        <f t="shared" si="17"/>
        <v>OK</v>
      </c>
      <c r="AF42">
        <v>2</v>
      </c>
      <c r="AG42">
        <v>2832.77</v>
      </c>
      <c r="AH42">
        <v>0.15</v>
      </c>
      <c r="AI42">
        <f t="shared" si="18"/>
        <v>0.15</v>
      </c>
      <c r="AJ42" t="str">
        <f t="shared" si="19"/>
        <v>OK</v>
      </c>
      <c r="AK42">
        <v>4815.71</v>
      </c>
      <c r="AL42">
        <v>3027.75</v>
      </c>
      <c r="AM42">
        <v>1917.47</v>
      </c>
      <c r="AN42" t="s">
        <v>33</v>
      </c>
      <c r="AO42" t="str">
        <f t="shared" si="11"/>
        <v>PAID</v>
      </c>
      <c r="AP42" t="str">
        <f t="shared" si="20"/>
        <v>OK</v>
      </c>
      <c r="AQ42" t="s">
        <v>34</v>
      </c>
      <c r="AR42" t="str">
        <f t="shared" si="12"/>
        <v>COMPLETED</v>
      </c>
      <c r="AS42" t="str">
        <f t="shared" si="21"/>
        <v>OK</v>
      </c>
      <c r="AT42">
        <f t="shared" si="22"/>
        <v>4815.7089999999998</v>
      </c>
      <c r="AU42">
        <f t="shared" si="23"/>
        <v>1787.9589999999998</v>
      </c>
      <c r="AV42" s="6">
        <f t="shared" si="24"/>
        <v>4.6950511336959946E-2</v>
      </c>
      <c r="AW42" t="str">
        <f t="shared" si="25"/>
        <v>CLEAN</v>
      </c>
      <c r="AX42" s="10" t="str">
        <f t="shared" si="26"/>
        <v>MATCH</v>
      </c>
      <c r="AY42" t="str">
        <f t="shared" si="27"/>
        <v>MISMATCH</v>
      </c>
    </row>
    <row r="43" spans="1:51">
      <c r="A43" t="s">
        <v>423</v>
      </c>
      <c r="B43">
        <f t="shared" si="0"/>
        <v>1</v>
      </c>
      <c r="C43" t="s">
        <v>424</v>
      </c>
      <c r="D43" s="3">
        <v>45649</v>
      </c>
      <c r="E43" t="str">
        <f t="shared" si="1"/>
        <v>2024/12/23</v>
      </c>
      <c r="F43" t="str">
        <f t="shared" si="13"/>
        <v>December</v>
      </c>
      <c r="G43">
        <f t="shared" si="14"/>
        <v>2024</v>
      </c>
      <c r="H43" t="s">
        <v>425</v>
      </c>
      <c r="I43" s="4">
        <v>45655</v>
      </c>
      <c r="J43" s="8">
        <f t="shared" si="2"/>
        <v>6</v>
      </c>
      <c r="K43" s="8" t="str">
        <f t="shared" si="15"/>
        <v>OK</v>
      </c>
      <c r="L43" t="s">
        <v>426</v>
      </c>
      <c r="M43" t="s">
        <v>161</v>
      </c>
      <c r="N43" t="str">
        <f t="shared" si="3"/>
        <v>Aarav Sharma</v>
      </c>
      <c r="O43" t="s">
        <v>107</v>
      </c>
      <c r="P43" t="str">
        <f t="shared" si="28"/>
        <v>Corporate</v>
      </c>
      <c r="Q43" t="s">
        <v>41</v>
      </c>
      <c r="R43" t="str">
        <f t="shared" si="29"/>
        <v>East</v>
      </c>
      <c r="S43" t="str">
        <f t="shared" si="16"/>
        <v>OK</v>
      </c>
      <c r="T43" t="s">
        <v>310</v>
      </c>
      <c r="U43" t="str">
        <f t="shared" si="6"/>
        <v>Jharkhand</v>
      </c>
      <c r="V43" t="s">
        <v>311</v>
      </c>
      <c r="W43" t="str">
        <f t="shared" si="7"/>
        <v>Ranchi</v>
      </c>
      <c r="X43" t="str">
        <f t="shared" si="8"/>
        <v>Office Supplies</v>
      </c>
      <c r="Y43" t="s">
        <v>29</v>
      </c>
      <c r="Z43" t="s">
        <v>30</v>
      </c>
      <c r="AA43" t="str">
        <f t="shared" si="9"/>
        <v>Paper</v>
      </c>
      <c r="AB43" t="s">
        <v>427</v>
      </c>
      <c r="AC43" t="s">
        <v>55</v>
      </c>
      <c r="AD43" t="str">
        <f t="shared" si="30"/>
        <v>First Class</v>
      </c>
      <c r="AE43" t="str">
        <f t="shared" si="17"/>
        <v>OK</v>
      </c>
      <c r="AF43">
        <v>7</v>
      </c>
      <c r="AG43">
        <v>447.84</v>
      </c>
      <c r="AH43">
        <v>0</v>
      </c>
      <c r="AI43">
        <f t="shared" si="18"/>
        <v>0</v>
      </c>
      <c r="AJ43" t="str">
        <f t="shared" si="19"/>
        <v>OK</v>
      </c>
      <c r="AK43">
        <v>3134.88</v>
      </c>
      <c r="AL43">
        <v>2367.63</v>
      </c>
      <c r="AM43">
        <v>767.25</v>
      </c>
      <c r="AN43" t="s">
        <v>123</v>
      </c>
      <c r="AO43" t="str">
        <f t="shared" si="11"/>
        <v>REFUNDED</v>
      </c>
      <c r="AP43" t="str">
        <f t="shared" si="20"/>
        <v>REFUNDED_PAYMENT</v>
      </c>
      <c r="AQ43" t="s">
        <v>124</v>
      </c>
      <c r="AR43" t="str">
        <f t="shared" si="12"/>
        <v>RETURNED</v>
      </c>
      <c r="AS43" t="str">
        <f t="shared" si="21"/>
        <v>RETURNED_ORDER</v>
      </c>
      <c r="AT43">
        <f t="shared" si="22"/>
        <v>3134.8799999999997</v>
      </c>
      <c r="AU43">
        <f t="shared" si="23"/>
        <v>767.24999999999955</v>
      </c>
      <c r="AV43" s="6">
        <f t="shared" si="24"/>
        <v>0.7332625172255397</v>
      </c>
      <c r="AW43" t="str">
        <f t="shared" si="25"/>
        <v>CLEAN</v>
      </c>
      <c r="AX43" s="10" t="str">
        <f t="shared" si="26"/>
        <v>MATCH</v>
      </c>
      <c r="AY43" t="str">
        <f t="shared" si="27"/>
        <v>MATCH</v>
      </c>
    </row>
    <row r="44" spans="1:51">
      <c r="A44" t="s">
        <v>428</v>
      </c>
      <c r="B44">
        <f t="shared" si="0"/>
        <v>1</v>
      </c>
      <c r="C44" t="s">
        <v>429</v>
      </c>
      <c r="D44" s="2">
        <v>45404</v>
      </c>
      <c r="E44" t="str">
        <f t="shared" si="1"/>
        <v>2024/04/22</v>
      </c>
      <c r="F44" t="str">
        <f t="shared" si="13"/>
        <v>April</v>
      </c>
      <c r="G44">
        <f t="shared" si="14"/>
        <v>2024</v>
      </c>
      <c r="H44" t="s">
        <v>430</v>
      </c>
      <c r="I44" s="4">
        <v>45409</v>
      </c>
      <c r="J44" s="8">
        <f t="shared" si="2"/>
        <v>5</v>
      </c>
      <c r="K44" s="8" t="str">
        <f t="shared" si="15"/>
        <v>OK</v>
      </c>
      <c r="L44" t="s">
        <v>431</v>
      </c>
      <c r="M44" t="s">
        <v>39</v>
      </c>
      <c r="N44" t="str">
        <f t="shared" si="3"/>
        <v>Mira Das</v>
      </c>
      <c r="O44" t="s">
        <v>114</v>
      </c>
      <c r="P44" t="str">
        <f t="shared" si="28"/>
        <v>Home Office</v>
      </c>
      <c r="Q44" t="s">
        <v>72</v>
      </c>
      <c r="R44" t="str">
        <f t="shared" si="29"/>
        <v>West</v>
      </c>
      <c r="S44" t="str">
        <f t="shared" si="16"/>
        <v>OK</v>
      </c>
      <c r="T44" t="s">
        <v>73</v>
      </c>
      <c r="U44" t="str">
        <f t="shared" si="6"/>
        <v>Maharashtra</v>
      </c>
      <c r="V44" t="s">
        <v>74</v>
      </c>
      <c r="W44" t="str">
        <f t="shared" si="7"/>
        <v>Mumbai</v>
      </c>
      <c r="X44" t="str">
        <f t="shared" si="8"/>
        <v>Office Supplies</v>
      </c>
      <c r="Y44" t="s">
        <v>29</v>
      </c>
      <c r="Z44" t="s">
        <v>30</v>
      </c>
      <c r="AA44" t="str">
        <f t="shared" si="9"/>
        <v>Paper</v>
      </c>
      <c r="AB44" t="s">
        <v>432</v>
      </c>
      <c r="AC44" t="s">
        <v>32</v>
      </c>
      <c r="AD44" t="str">
        <f t="shared" si="30"/>
        <v>Second Class</v>
      </c>
      <c r="AE44" t="str">
        <f t="shared" si="17"/>
        <v>OK</v>
      </c>
      <c r="AF44">
        <v>1</v>
      </c>
      <c r="AG44">
        <v>4280.1899999999996</v>
      </c>
      <c r="AH44">
        <v>0.05</v>
      </c>
      <c r="AI44">
        <f t="shared" si="18"/>
        <v>0.05</v>
      </c>
      <c r="AJ44" t="str">
        <f t="shared" si="19"/>
        <v>OK</v>
      </c>
      <c r="AK44">
        <v>4066.18</v>
      </c>
      <c r="AL44">
        <v>2628.92</v>
      </c>
      <c r="AM44">
        <v>1437.26</v>
      </c>
      <c r="AN44" t="s">
        <v>33</v>
      </c>
      <c r="AO44" t="str">
        <f t="shared" si="11"/>
        <v>PAID</v>
      </c>
      <c r="AP44" t="str">
        <f t="shared" si="20"/>
        <v>OK</v>
      </c>
      <c r="AQ44" t="s">
        <v>34</v>
      </c>
      <c r="AR44" t="str">
        <f t="shared" si="12"/>
        <v>COMPLETED</v>
      </c>
      <c r="AS44" t="str">
        <f t="shared" si="21"/>
        <v>OK</v>
      </c>
      <c r="AT44">
        <f t="shared" si="22"/>
        <v>4066.1804999999995</v>
      </c>
      <c r="AU44">
        <f t="shared" si="23"/>
        <v>1437.2604999999994</v>
      </c>
      <c r="AV44" s="6">
        <f t="shared" si="24"/>
        <v>0.82083579418080477</v>
      </c>
      <c r="AW44" t="str">
        <f t="shared" si="25"/>
        <v>CLEAN</v>
      </c>
      <c r="AX44" s="10" t="str">
        <f t="shared" si="26"/>
        <v>MATCH</v>
      </c>
      <c r="AY44" t="str">
        <f t="shared" si="27"/>
        <v>MATCH</v>
      </c>
    </row>
    <row r="45" spans="1:51">
      <c r="A45" t="s">
        <v>443</v>
      </c>
      <c r="B45">
        <f t="shared" si="0"/>
        <v>1</v>
      </c>
      <c r="C45" t="s">
        <v>104</v>
      </c>
      <c r="D45" s="3">
        <v>45576</v>
      </c>
      <c r="E45" t="str">
        <f t="shared" si="1"/>
        <v>2024/10/11</v>
      </c>
      <c r="F45" t="str">
        <f t="shared" si="13"/>
        <v>October</v>
      </c>
      <c r="G45">
        <f t="shared" si="14"/>
        <v>2024</v>
      </c>
      <c r="H45" t="s">
        <v>444</v>
      </c>
      <c r="I45" s="4">
        <v>45609</v>
      </c>
      <c r="J45" s="8">
        <f t="shared" si="2"/>
        <v>33</v>
      </c>
      <c r="K45" s="8" t="str">
        <f t="shared" si="15"/>
        <v>OK</v>
      </c>
      <c r="L45" t="s">
        <v>445</v>
      </c>
      <c r="M45" t="s">
        <v>52</v>
      </c>
      <c r="N45" t="str">
        <f t="shared" si="3"/>
        <v>Isha Nair</v>
      </c>
      <c r="O45" t="s">
        <v>107</v>
      </c>
      <c r="P45" t="str">
        <f t="shared" si="28"/>
        <v>Corporate</v>
      </c>
      <c r="Q45" t="s">
        <v>41</v>
      </c>
      <c r="R45" t="str">
        <f t="shared" si="29"/>
        <v>East</v>
      </c>
      <c r="S45" t="str">
        <f t="shared" si="16"/>
        <v>OK</v>
      </c>
      <c r="T45" t="s">
        <v>310</v>
      </c>
      <c r="U45" t="str">
        <f t="shared" si="6"/>
        <v>Jharkhand</v>
      </c>
      <c r="V45" t="s">
        <v>311</v>
      </c>
      <c r="W45" t="str">
        <f t="shared" si="7"/>
        <v>Ranchi</v>
      </c>
      <c r="X45" t="str">
        <f t="shared" si="8"/>
        <v>Office Supplies</v>
      </c>
      <c r="Y45" t="s">
        <v>29</v>
      </c>
      <c r="Z45" t="s">
        <v>155</v>
      </c>
      <c r="AA45" t="str">
        <f t="shared" si="9"/>
        <v>Storage</v>
      </c>
      <c r="AB45" t="s">
        <v>446</v>
      </c>
      <c r="AC45" t="s">
        <v>32</v>
      </c>
      <c r="AD45" t="str">
        <f t="shared" si="30"/>
        <v>Second Class</v>
      </c>
      <c r="AE45" t="str">
        <f t="shared" si="17"/>
        <v>OK</v>
      </c>
      <c r="AF45">
        <v>9</v>
      </c>
      <c r="AG45">
        <v>2211.12</v>
      </c>
      <c r="AH45">
        <v>0</v>
      </c>
      <c r="AI45">
        <f t="shared" si="18"/>
        <v>0</v>
      </c>
      <c r="AJ45" t="str">
        <f t="shared" si="19"/>
        <v>OK</v>
      </c>
      <c r="AK45">
        <v>19900.080000000002</v>
      </c>
      <c r="AL45">
        <v>10962.66</v>
      </c>
      <c r="AM45">
        <v>8937.42</v>
      </c>
      <c r="AN45" t="s">
        <v>199</v>
      </c>
      <c r="AO45" t="str">
        <f t="shared" si="11"/>
        <v>FAILED</v>
      </c>
      <c r="AP45" t="str">
        <f t="shared" si="20"/>
        <v>EXCLUDE_FROM_SALES</v>
      </c>
      <c r="AQ45" t="s">
        <v>124</v>
      </c>
      <c r="AR45" t="str">
        <f t="shared" si="12"/>
        <v>RETURNED</v>
      </c>
      <c r="AS45" t="str">
        <f t="shared" si="21"/>
        <v>RETURNED_ORDER</v>
      </c>
      <c r="AT45">
        <f t="shared" si="22"/>
        <v>19900.079999999998</v>
      </c>
      <c r="AU45">
        <f t="shared" si="23"/>
        <v>8937.4199999999983</v>
      </c>
      <c r="AV45" s="6">
        <f t="shared" si="24"/>
        <v>1.5467777013961752E-2</v>
      </c>
      <c r="AW45" t="str">
        <f t="shared" si="25"/>
        <v>CLEAN</v>
      </c>
      <c r="AX45" s="10" t="str">
        <f t="shared" si="26"/>
        <v>MATCH</v>
      </c>
      <c r="AY45" t="str">
        <f t="shared" si="27"/>
        <v>MATCH</v>
      </c>
    </row>
    <row r="46" spans="1:51">
      <c r="A46" t="s">
        <v>447</v>
      </c>
      <c r="B46">
        <f t="shared" si="0"/>
        <v>1</v>
      </c>
      <c r="C46" t="s">
        <v>448</v>
      </c>
      <c r="D46" s="2">
        <v>45539</v>
      </c>
      <c r="E46" t="str">
        <f t="shared" si="1"/>
        <v>2024/09/04</v>
      </c>
      <c r="F46" t="str">
        <f t="shared" si="13"/>
        <v>September</v>
      </c>
      <c r="G46">
        <f t="shared" si="14"/>
        <v>2024</v>
      </c>
      <c r="H46" t="s">
        <v>449</v>
      </c>
      <c r="I46" s="4">
        <v>45396</v>
      </c>
      <c r="J46" s="8">
        <f t="shared" si="2"/>
        <v>-143</v>
      </c>
      <c r="K46" s="8" t="str">
        <f t="shared" si="15"/>
        <v>INVAILD_SHIPPING</v>
      </c>
      <c r="L46" t="s">
        <v>450</v>
      </c>
      <c r="M46" t="s">
        <v>92</v>
      </c>
      <c r="N46" t="str">
        <f t="shared" si="3"/>
        <v>Neha Gupta</v>
      </c>
      <c r="O46" t="s">
        <v>40</v>
      </c>
      <c r="P46" t="str">
        <f t="shared" si="28"/>
        <v>Small Business</v>
      </c>
      <c r="Q46" t="s">
        <v>72</v>
      </c>
      <c r="R46" t="str">
        <f t="shared" si="29"/>
        <v>West</v>
      </c>
      <c r="S46" t="str">
        <f t="shared" si="16"/>
        <v>OK</v>
      </c>
      <c r="T46" t="s">
        <v>234</v>
      </c>
      <c r="U46" t="str">
        <f t="shared" si="6"/>
        <v>Gujarat</v>
      </c>
      <c r="V46" t="s">
        <v>235</v>
      </c>
      <c r="W46" t="str">
        <f t="shared" si="7"/>
        <v>Ahmedabad</v>
      </c>
      <c r="X46" t="str">
        <f t="shared" si="8"/>
        <v>Technology</v>
      </c>
      <c r="Y46" t="s">
        <v>85</v>
      </c>
      <c r="Z46" t="s">
        <v>381</v>
      </c>
      <c r="AA46" t="str">
        <f t="shared" si="9"/>
        <v>Machines</v>
      </c>
      <c r="AB46" t="s">
        <v>451</v>
      </c>
      <c r="AC46" t="s">
        <v>47</v>
      </c>
      <c r="AD46" t="str">
        <f t="shared" si="30"/>
        <v>Same Day</v>
      </c>
      <c r="AE46" t="str">
        <f t="shared" si="17"/>
        <v>OK</v>
      </c>
      <c r="AF46">
        <v>7</v>
      </c>
      <c r="AG46">
        <v>3417.09</v>
      </c>
      <c r="AH46">
        <v>0.1</v>
      </c>
      <c r="AI46">
        <f t="shared" si="18"/>
        <v>0.1</v>
      </c>
      <c r="AJ46" t="str">
        <f t="shared" si="19"/>
        <v>OK</v>
      </c>
      <c r="AK46">
        <v>21527.67</v>
      </c>
      <c r="AL46">
        <v>18287.580000000002</v>
      </c>
      <c r="AM46">
        <v>3240.09</v>
      </c>
      <c r="AN46" t="s">
        <v>123</v>
      </c>
      <c r="AO46" t="str">
        <f t="shared" si="11"/>
        <v>REFUNDED</v>
      </c>
      <c r="AP46" t="str">
        <f t="shared" si="20"/>
        <v>REFUNDED_PAYMENT</v>
      </c>
      <c r="AQ46" t="s">
        <v>124</v>
      </c>
      <c r="AR46" t="str">
        <f t="shared" si="12"/>
        <v>RETURNED</v>
      </c>
      <c r="AS46" t="str">
        <f t="shared" si="21"/>
        <v>RETURNED_ORDER</v>
      </c>
      <c r="AT46">
        <f t="shared" si="22"/>
        <v>21527.667000000001</v>
      </c>
      <c r="AU46">
        <f t="shared" si="23"/>
        <v>3240.0869999999995</v>
      </c>
      <c r="AV46" s="6">
        <f t="shared" si="24"/>
        <v>8.7943110602742014E-2</v>
      </c>
      <c r="AW46" t="str">
        <f t="shared" si="25"/>
        <v>CLEAN</v>
      </c>
      <c r="AX46" s="10" t="str">
        <f t="shared" si="26"/>
        <v>MATCH</v>
      </c>
      <c r="AY46" t="str">
        <f t="shared" si="27"/>
        <v>MATCH</v>
      </c>
    </row>
    <row r="47" spans="1:51">
      <c r="A47" t="s">
        <v>461</v>
      </c>
      <c r="B47">
        <f t="shared" si="0"/>
        <v>1</v>
      </c>
      <c r="C47" t="s">
        <v>462</v>
      </c>
      <c r="D47" s="3">
        <v>45598</v>
      </c>
      <c r="E47" t="str">
        <f t="shared" si="1"/>
        <v>2024/11/02</v>
      </c>
      <c r="F47" t="str">
        <f t="shared" si="13"/>
        <v>November</v>
      </c>
      <c r="G47">
        <f t="shared" si="14"/>
        <v>2024</v>
      </c>
      <c r="H47" t="s">
        <v>463</v>
      </c>
      <c r="I47" s="4">
        <v>45329</v>
      </c>
      <c r="J47" s="8">
        <f t="shared" si="2"/>
        <v>-269</v>
      </c>
      <c r="K47" s="8" t="str">
        <f t="shared" si="15"/>
        <v>INVAILD_SHIPPING</v>
      </c>
      <c r="L47" t="s">
        <v>464</v>
      </c>
      <c r="M47" t="s">
        <v>24</v>
      </c>
      <c r="N47" t="str">
        <f t="shared" si="3"/>
        <v>Karan Malhotra</v>
      </c>
      <c r="O47" t="s">
        <v>114</v>
      </c>
      <c r="P47" t="str">
        <f t="shared" si="28"/>
        <v>Home Office</v>
      </c>
      <c r="Q47" t="s">
        <v>61</v>
      </c>
      <c r="R47" t="str">
        <f t="shared" si="29"/>
        <v>South</v>
      </c>
      <c r="S47" t="str">
        <f t="shared" si="16"/>
        <v>OK</v>
      </c>
      <c r="T47" t="s">
        <v>338</v>
      </c>
      <c r="U47" t="str">
        <f t="shared" si="6"/>
        <v>Tamil Nadu</v>
      </c>
      <c r="V47" t="s">
        <v>339</v>
      </c>
      <c r="W47" t="str">
        <f t="shared" si="7"/>
        <v>Chennai</v>
      </c>
      <c r="X47" t="str">
        <f t="shared" si="8"/>
        <v>Furniture</v>
      </c>
      <c r="Y47" t="s">
        <v>44</v>
      </c>
      <c r="Z47" t="s">
        <v>45</v>
      </c>
      <c r="AA47" t="str">
        <f t="shared" si="9"/>
        <v>Tables</v>
      </c>
      <c r="AB47" t="s">
        <v>465</v>
      </c>
      <c r="AC47" t="s">
        <v>55</v>
      </c>
      <c r="AD47" t="str">
        <f t="shared" si="30"/>
        <v>First Class</v>
      </c>
      <c r="AE47" t="str">
        <f t="shared" si="17"/>
        <v>OK</v>
      </c>
      <c r="AF47">
        <v>7</v>
      </c>
      <c r="AG47">
        <v>2287.4699999999998</v>
      </c>
      <c r="AH47">
        <v>0.15</v>
      </c>
      <c r="AI47">
        <f t="shared" si="18"/>
        <v>0.15</v>
      </c>
      <c r="AJ47" t="str">
        <f t="shared" si="19"/>
        <v>OK</v>
      </c>
      <c r="AK47">
        <v>13610.45</v>
      </c>
      <c r="AL47">
        <v>10039.049999999999</v>
      </c>
      <c r="AM47">
        <v>3571.4</v>
      </c>
      <c r="AN47" t="s">
        <v>33</v>
      </c>
      <c r="AO47" t="str">
        <f t="shared" si="11"/>
        <v>PAID</v>
      </c>
      <c r="AP47" t="str">
        <f t="shared" si="20"/>
        <v>OK</v>
      </c>
      <c r="AQ47" t="s">
        <v>34</v>
      </c>
      <c r="AR47" t="str">
        <f t="shared" si="12"/>
        <v>COMPLETED</v>
      </c>
      <c r="AS47" t="str">
        <f t="shared" si="21"/>
        <v>OK</v>
      </c>
      <c r="AT47">
        <f t="shared" si="22"/>
        <v>13610.446499999998</v>
      </c>
      <c r="AU47">
        <f t="shared" si="23"/>
        <v>3571.3964999999989</v>
      </c>
      <c r="AV47" s="6">
        <f t="shared" si="24"/>
        <v>0.32072996282671556</v>
      </c>
      <c r="AW47" t="str">
        <f t="shared" si="25"/>
        <v>CLEAN</v>
      </c>
      <c r="AX47" s="10" t="str">
        <f t="shared" si="26"/>
        <v>MATCH</v>
      </c>
      <c r="AY47" t="str">
        <f t="shared" si="27"/>
        <v>MATCH</v>
      </c>
    </row>
    <row r="48" spans="1:51">
      <c r="A48" t="s">
        <v>481</v>
      </c>
      <c r="B48">
        <f t="shared" si="0"/>
        <v>1</v>
      </c>
      <c r="C48" t="s">
        <v>482</v>
      </c>
      <c r="D48" s="2">
        <v>45362</v>
      </c>
      <c r="E48" t="str">
        <f t="shared" si="1"/>
        <v>2024/03/11</v>
      </c>
      <c r="F48" t="str">
        <f t="shared" si="13"/>
        <v>March</v>
      </c>
      <c r="G48">
        <f t="shared" si="14"/>
        <v>2024</v>
      </c>
      <c r="H48" t="s">
        <v>483</v>
      </c>
      <c r="I48" s="4">
        <v>45607</v>
      </c>
      <c r="J48" s="8">
        <f t="shared" si="2"/>
        <v>245</v>
      </c>
      <c r="K48" s="8" t="str">
        <f t="shared" si="15"/>
        <v>OK</v>
      </c>
      <c r="L48" t="s">
        <v>484</v>
      </c>
      <c r="M48" t="s">
        <v>71</v>
      </c>
      <c r="N48" t="str">
        <f t="shared" si="3"/>
        <v>Ananya Rao</v>
      </c>
      <c r="O48" t="s">
        <v>107</v>
      </c>
      <c r="P48" t="str">
        <f t="shared" si="28"/>
        <v>Corporate</v>
      </c>
      <c r="Q48" t="s">
        <v>41</v>
      </c>
      <c r="R48" t="str">
        <f t="shared" si="29"/>
        <v>East</v>
      </c>
      <c r="S48" t="str">
        <f t="shared" si="16"/>
        <v>OK</v>
      </c>
      <c r="T48" t="s">
        <v>310</v>
      </c>
      <c r="U48" t="str">
        <f t="shared" si="6"/>
        <v>Jharkhand</v>
      </c>
      <c r="V48" t="s">
        <v>311</v>
      </c>
      <c r="W48" t="str">
        <f t="shared" si="7"/>
        <v>Ranchi</v>
      </c>
      <c r="X48" t="str">
        <f t="shared" si="8"/>
        <v>Office Supplies</v>
      </c>
      <c r="Y48" t="s">
        <v>29</v>
      </c>
      <c r="Z48" t="s">
        <v>108</v>
      </c>
      <c r="AA48" t="str">
        <f t="shared" si="9"/>
        <v>Labels</v>
      </c>
      <c r="AB48" t="s">
        <v>485</v>
      </c>
      <c r="AC48" t="s">
        <v>32</v>
      </c>
      <c r="AD48" t="str">
        <f t="shared" si="30"/>
        <v>Second Class</v>
      </c>
      <c r="AE48" t="str">
        <f t="shared" si="17"/>
        <v>OK</v>
      </c>
      <c r="AF48">
        <v>3</v>
      </c>
      <c r="AG48">
        <v>3406.27</v>
      </c>
      <c r="AH48">
        <v>0</v>
      </c>
      <c r="AI48">
        <f t="shared" si="18"/>
        <v>0</v>
      </c>
      <c r="AJ48" t="str">
        <f t="shared" si="19"/>
        <v>OK</v>
      </c>
      <c r="AK48">
        <v>10218.81</v>
      </c>
      <c r="AL48">
        <v>7616.97</v>
      </c>
      <c r="AM48">
        <v>2601.84</v>
      </c>
      <c r="AN48" t="s">
        <v>33</v>
      </c>
      <c r="AO48" t="str">
        <f t="shared" si="11"/>
        <v>PAID</v>
      </c>
      <c r="AP48" t="str">
        <f t="shared" si="20"/>
        <v>OK</v>
      </c>
      <c r="AQ48" t="s">
        <v>34</v>
      </c>
      <c r="AR48" t="str">
        <f t="shared" si="12"/>
        <v>COMPLETED</v>
      </c>
      <c r="AS48" t="str">
        <f t="shared" si="21"/>
        <v>OK</v>
      </c>
      <c r="AT48">
        <f t="shared" si="22"/>
        <v>10218.81</v>
      </c>
      <c r="AU48">
        <f t="shared" si="23"/>
        <v>2601.8399999999992</v>
      </c>
      <c r="AV48" s="6">
        <f t="shared" si="24"/>
        <v>7.9333846113197132E-2</v>
      </c>
      <c r="AW48" t="str">
        <f t="shared" si="25"/>
        <v>CLEAN</v>
      </c>
      <c r="AX48" s="10" t="str">
        <f t="shared" si="26"/>
        <v>MATCH</v>
      </c>
      <c r="AY48" t="str">
        <f t="shared" si="27"/>
        <v>MATCH</v>
      </c>
    </row>
    <row r="49" spans="1:51">
      <c r="A49" t="s">
        <v>501</v>
      </c>
      <c r="B49">
        <f t="shared" si="0"/>
        <v>1</v>
      </c>
      <c r="C49" t="s">
        <v>502</v>
      </c>
      <c r="D49" s="3">
        <v>45573</v>
      </c>
      <c r="E49" t="str">
        <f t="shared" si="1"/>
        <v>2024/10/08</v>
      </c>
      <c r="F49" t="str">
        <f t="shared" si="13"/>
        <v>October</v>
      </c>
      <c r="G49">
        <f t="shared" si="14"/>
        <v>2024</v>
      </c>
      <c r="H49" t="s">
        <v>503</v>
      </c>
      <c r="I49" s="4">
        <v>45518</v>
      </c>
      <c r="J49" s="8">
        <f t="shared" si="2"/>
        <v>-55</v>
      </c>
      <c r="K49" s="8" t="str">
        <f t="shared" si="15"/>
        <v>INVAILD_SHIPPING</v>
      </c>
      <c r="L49" t="s">
        <v>504</v>
      </c>
      <c r="M49" t="s">
        <v>161</v>
      </c>
      <c r="N49" t="str">
        <f t="shared" si="3"/>
        <v>Aarav Sharma</v>
      </c>
      <c r="O49" t="s">
        <v>40</v>
      </c>
      <c r="P49" t="str">
        <f t="shared" si="28"/>
        <v>Small Business</v>
      </c>
      <c r="Q49" t="s">
        <v>26</v>
      </c>
      <c r="R49" t="str">
        <f t="shared" si="29"/>
        <v>North</v>
      </c>
      <c r="S49" t="str">
        <f t="shared" si="16"/>
        <v>OK</v>
      </c>
      <c r="T49" t="s">
        <v>505</v>
      </c>
      <c r="U49" t="str">
        <f t="shared" si="6"/>
        <v>Delhi</v>
      </c>
      <c r="V49" t="s">
        <v>506</v>
      </c>
      <c r="W49" t="str">
        <f t="shared" si="7"/>
        <v>New Delhi</v>
      </c>
      <c r="X49" t="str">
        <f t="shared" si="8"/>
        <v>Office Supplies</v>
      </c>
      <c r="Y49" t="s">
        <v>29</v>
      </c>
      <c r="Z49" t="s">
        <v>155</v>
      </c>
      <c r="AA49" t="str">
        <f t="shared" si="9"/>
        <v>Storage</v>
      </c>
      <c r="AB49" t="s">
        <v>507</v>
      </c>
      <c r="AC49" t="s">
        <v>32</v>
      </c>
      <c r="AD49" t="str">
        <f t="shared" si="30"/>
        <v>Second Class</v>
      </c>
      <c r="AE49" t="str">
        <f t="shared" si="17"/>
        <v>OK</v>
      </c>
      <c r="AF49">
        <v>4</v>
      </c>
      <c r="AG49">
        <v>1182.32</v>
      </c>
      <c r="AH49">
        <v>0.1</v>
      </c>
      <c r="AI49">
        <f t="shared" si="18"/>
        <v>0.1</v>
      </c>
      <c r="AJ49" t="str">
        <f t="shared" si="19"/>
        <v>OK</v>
      </c>
      <c r="AK49">
        <v>4256.3500000000004</v>
      </c>
      <c r="AL49">
        <v>2495.33</v>
      </c>
      <c r="AM49">
        <v>1761.02</v>
      </c>
      <c r="AN49" t="s">
        <v>136</v>
      </c>
      <c r="AO49" t="str">
        <f t="shared" si="11"/>
        <v>PENDING</v>
      </c>
      <c r="AP49" t="str">
        <f t="shared" si="20"/>
        <v>OK</v>
      </c>
      <c r="AQ49" t="s">
        <v>124</v>
      </c>
      <c r="AR49" t="str">
        <f t="shared" si="12"/>
        <v>RETURNED</v>
      </c>
      <c r="AS49" t="str">
        <f t="shared" si="21"/>
        <v>RETURNED_ORDER</v>
      </c>
      <c r="AT49">
        <f t="shared" si="22"/>
        <v>4256.3519999999999</v>
      </c>
      <c r="AU49">
        <f t="shared" si="23"/>
        <v>1761.0219999999999</v>
      </c>
      <c r="AV49" s="6">
        <f t="shared" si="24"/>
        <v>0.17922154934554285</v>
      </c>
      <c r="AW49" t="str">
        <f t="shared" si="25"/>
        <v>CLEAN</v>
      </c>
      <c r="AX49" s="10" t="str">
        <f t="shared" si="26"/>
        <v>MATCH</v>
      </c>
      <c r="AY49" t="str">
        <f t="shared" si="27"/>
        <v>MATCH</v>
      </c>
    </row>
    <row r="50" spans="1:51">
      <c r="A50" t="s">
        <v>513</v>
      </c>
      <c r="B50">
        <f t="shared" si="0"/>
        <v>1</v>
      </c>
      <c r="C50" t="s">
        <v>514</v>
      </c>
      <c r="D50" s="3">
        <v>45359</v>
      </c>
      <c r="E50" t="str">
        <f t="shared" si="1"/>
        <v>2024/03/08</v>
      </c>
      <c r="F50" t="str">
        <f t="shared" si="13"/>
        <v>March</v>
      </c>
      <c r="G50">
        <f t="shared" si="14"/>
        <v>2024</v>
      </c>
      <c r="H50" t="s">
        <v>515</v>
      </c>
      <c r="I50" s="4">
        <v>45390</v>
      </c>
      <c r="J50" s="8">
        <f t="shared" si="2"/>
        <v>31</v>
      </c>
      <c r="K50" s="8" t="str">
        <f t="shared" si="15"/>
        <v>OK</v>
      </c>
      <c r="L50" t="s">
        <v>516</v>
      </c>
      <c r="M50" t="s">
        <v>60</v>
      </c>
      <c r="N50" t="str">
        <f t="shared" si="3"/>
        <v>Arjun Bose</v>
      </c>
      <c r="O50" t="s">
        <v>25</v>
      </c>
      <c r="P50" t="str">
        <f t="shared" si="28"/>
        <v>Consumer</v>
      </c>
      <c r="Q50" t="s">
        <v>26</v>
      </c>
      <c r="R50" t="str">
        <f t="shared" si="29"/>
        <v>North</v>
      </c>
      <c r="S50" t="str">
        <f t="shared" si="16"/>
        <v>OK</v>
      </c>
      <c r="T50" t="s">
        <v>173</v>
      </c>
      <c r="U50" t="str">
        <f t="shared" si="6"/>
        <v>Uttar Pradesh</v>
      </c>
      <c r="V50" t="s">
        <v>174</v>
      </c>
      <c r="W50" t="str">
        <f t="shared" si="7"/>
        <v>Noida</v>
      </c>
      <c r="X50" t="str">
        <f t="shared" si="8"/>
        <v>Technology</v>
      </c>
      <c r="Y50" t="s">
        <v>85</v>
      </c>
      <c r="Z50" t="s">
        <v>93</v>
      </c>
      <c r="AA50" t="str">
        <f t="shared" si="9"/>
        <v>Copiers</v>
      </c>
      <c r="AB50" t="s">
        <v>517</v>
      </c>
      <c r="AC50" t="s">
        <v>32</v>
      </c>
      <c r="AD50" t="str">
        <f t="shared" si="30"/>
        <v>Second Class</v>
      </c>
      <c r="AE50" t="str">
        <f t="shared" si="17"/>
        <v>OK</v>
      </c>
      <c r="AF50">
        <v>6</v>
      </c>
      <c r="AG50">
        <v>1001.73</v>
      </c>
      <c r="AH50">
        <v>0</v>
      </c>
      <c r="AI50">
        <f t="shared" si="18"/>
        <v>0</v>
      </c>
      <c r="AJ50" t="str">
        <f t="shared" si="19"/>
        <v>OK</v>
      </c>
      <c r="AK50">
        <v>6010.38</v>
      </c>
      <c r="AL50">
        <v>3762.85</v>
      </c>
      <c r="AM50">
        <v>2247.5300000000002</v>
      </c>
      <c r="AN50" t="s">
        <v>199</v>
      </c>
      <c r="AO50" t="str">
        <f t="shared" si="11"/>
        <v>FAILED</v>
      </c>
      <c r="AP50" t="str">
        <f t="shared" si="20"/>
        <v>EXCLUDE_FROM_SALES</v>
      </c>
      <c r="AQ50" t="s">
        <v>124</v>
      </c>
      <c r="AR50" t="str">
        <f t="shared" si="12"/>
        <v>RETURNED</v>
      </c>
      <c r="AS50" t="str">
        <f t="shared" si="21"/>
        <v>RETURNED_ORDER</v>
      </c>
      <c r="AT50">
        <f t="shared" si="22"/>
        <v>6010.38</v>
      </c>
      <c r="AU50">
        <f t="shared" si="23"/>
        <v>2247.5300000000002</v>
      </c>
      <c r="AV50" s="6">
        <f t="shared" si="24"/>
        <v>4.4595849180916997E-2</v>
      </c>
      <c r="AW50" t="str">
        <f t="shared" si="25"/>
        <v>CLEAN</v>
      </c>
      <c r="AX50" s="10" t="str">
        <f t="shared" si="26"/>
        <v>MATCH</v>
      </c>
      <c r="AY50" t="str">
        <f t="shared" si="27"/>
        <v>MATCH</v>
      </c>
    </row>
    <row r="51" spans="1:51">
      <c r="A51" t="s">
        <v>518</v>
      </c>
      <c r="B51">
        <f t="shared" si="0"/>
        <v>1</v>
      </c>
      <c r="C51" t="s">
        <v>362</v>
      </c>
      <c r="D51" s="3">
        <v>45591</v>
      </c>
      <c r="E51" t="str">
        <f t="shared" si="1"/>
        <v>2024/10/26</v>
      </c>
      <c r="F51" t="str">
        <f t="shared" si="13"/>
        <v>October</v>
      </c>
      <c r="G51">
        <f t="shared" si="14"/>
        <v>2024</v>
      </c>
      <c r="H51" t="s">
        <v>519</v>
      </c>
      <c r="I51" s="4">
        <v>45594</v>
      </c>
      <c r="J51" s="8">
        <f t="shared" si="2"/>
        <v>3</v>
      </c>
      <c r="K51" s="8" t="str">
        <f t="shared" si="15"/>
        <v>OK</v>
      </c>
      <c r="L51" t="s">
        <v>520</v>
      </c>
      <c r="M51" t="s">
        <v>106</v>
      </c>
      <c r="N51" t="str">
        <f t="shared" si="3"/>
        <v>Aditi Sen</v>
      </c>
      <c r="O51" t="s">
        <v>114</v>
      </c>
      <c r="P51" t="str">
        <f t="shared" si="28"/>
        <v>Home Office</v>
      </c>
      <c r="Q51" t="s">
        <v>72</v>
      </c>
      <c r="R51" t="str">
        <f t="shared" si="29"/>
        <v>West</v>
      </c>
      <c r="S51" t="str">
        <f t="shared" si="16"/>
        <v>OK</v>
      </c>
      <c r="T51" t="s">
        <v>73</v>
      </c>
      <c r="U51" t="str">
        <f t="shared" si="6"/>
        <v>Maharashtra</v>
      </c>
      <c r="V51" t="s">
        <v>74</v>
      </c>
      <c r="W51" t="str">
        <f t="shared" si="7"/>
        <v>Mumbai</v>
      </c>
      <c r="X51" t="str">
        <f t="shared" si="8"/>
        <v>Furniture</v>
      </c>
      <c r="Y51" t="s">
        <v>44</v>
      </c>
      <c r="Z51" t="s">
        <v>45</v>
      </c>
      <c r="AA51" t="str">
        <f t="shared" si="9"/>
        <v>Tables</v>
      </c>
      <c r="AB51" t="s">
        <v>521</v>
      </c>
      <c r="AC51" t="s">
        <v>32</v>
      </c>
      <c r="AD51" t="str">
        <f t="shared" si="30"/>
        <v>Second Class</v>
      </c>
      <c r="AE51" t="str">
        <f t="shared" si="17"/>
        <v>OK</v>
      </c>
      <c r="AF51">
        <v>9</v>
      </c>
      <c r="AG51">
        <v>131.74</v>
      </c>
      <c r="AH51">
        <v>0.2</v>
      </c>
      <c r="AI51">
        <f t="shared" si="18"/>
        <v>0.2</v>
      </c>
      <c r="AJ51" t="str">
        <f t="shared" si="19"/>
        <v>OK</v>
      </c>
      <c r="AK51">
        <v>948.53</v>
      </c>
      <c r="AL51">
        <v>674.62</v>
      </c>
      <c r="AM51">
        <v>273.91000000000003</v>
      </c>
      <c r="AN51" t="s">
        <v>33</v>
      </c>
      <c r="AO51" t="str">
        <f t="shared" si="11"/>
        <v>PAID</v>
      </c>
      <c r="AP51" t="str">
        <f t="shared" si="20"/>
        <v>OK</v>
      </c>
      <c r="AQ51" t="s">
        <v>34</v>
      </c>
      <c r="AR51" t="str">
        <f t="shared" si="12"/>
        <v>COMPLETED</v>
      </c>
      <c r="AS51" t="str">
        <f t="shared" si="21"/>
        <v>OK</v>
      </c>
      <c r="AT51">
        <f t="shared" si="22"/>
        <v>948.52800000000013</v>
      </c>
      <c r="AU51">
        <f t="shared" si="23"/>
        <v>273.90800000000013</v>
      </c>
      <c r="AV51" s="6">
        <f t="shared" si="24"/>
        <v>-12.01216516539311</v>
      </c>
      <c r="AW51" t="str">
        <f t="shared" si="25"/>
        <v>CLEAN</v>
      </c>
      <c r="AX51" s="10" t="str">
        <f t="shared" si="26"/>
        <v>MATCH</v>
      </c>
      <c r="AY51" t="str">
        <f t="shared" si="27"/>
        <v>MATCH</v>
      </c>
    </row>
    <row r="52" spans="1:51">
      <c r="A52" t="s">
        <v>522</v>
      </c>
      <c r="B52">
        <f t="shared" si="0"/>
        <v>1</v>
      </c>
      <c r="C52" t="s">
        <v>523</v>
      </c>
      <c r="D52" s="2">
        <v>45301</v>
      </c>
      <c r="E52" t="str">
        <f t="shared" si="1"/>
        <v>2024/01/10</v>
      </c>
      <c r="F52" t="str">
        <f t="shared" si="13"/>
        <v>January</v>
      </c>
      <c r="G52">
        <f t="shared" si="14"/>
        <v>2024</v>
      </c>
      <c r="H52" t="s">
        <v>524</v>
      </c>
      <c r="I52" s="4">
        <v>45568</v>
      </c>
      <c r="J52" s="8">
        <f t="shared" si="2"/>
        <v>267</v>
      </c>
      <c r="K52" s="8" t="str">
        <f t="shared" si="15"/>
        <v>OK</v>
      </c>
      <c r="L52" t="s">
        <v>525</v>
      </c>
      <c r="M52" t="s">
        <v>179</v>
      </c>
      <c r="N52" t="str">
        <f t="shared" si="3"/>
        <v>Rohan Mehta</v>
      </c>
      <c r="O52" t="s">
        <v>107</v>
      </c>
      <c r="P52" t="str">
        <f t="shared" si="28"/>
        <v>Corporate</v>
      </c>
      <c r="Q52" t="s">
        <v>61</v>
      </c>
      <c r="R52" t="str">
        <f t="shared" si="29"/>
        <v>South</v>
      </c>
      <c r="S52" t="str">
        <f t="shared" si="16"/>
        <v>OK</v>
      </c>
      <c r="T52" t="s">
        <v>338</v>
      </c>
      <c r="U52" t="str">
        <f t="shared" si="6"/>
        <v>Tamil Nadu</v>
      </c>
      <c r="V52" t="s">
        <v>339</v>
      </c>
      <c r="W52" t="str">
        <f t="shared" si="7"/>
        <v>Chennai</v>
      </c>
      <c r="X52" t="str">
        <f t="shared" si="8"/>
        <v>Technology</v>
      </c>
      <c r="Y52" t="s">
        <v>85</v>
      </c>
      <c r="Z52" t="s">
        <v>222</v>
      </c>
      <c r="AA52" t="str">
        <f t="shared" si="9"/>
        <v>Phones</v>
      </c>
      <c r="AB52" t="s">
        <v>526</v>
      </c>
      <c r="AC52" t="s">
        <v>32</v>
      </c>
      <c r="AD52" t="str">
        <f t="shared" si="30"/>
        <v>Second Class</v>
      </c>
      <c r="AE52" t="str">
        <f t="shared" si="17"/>
        <v>OK</v>
      </c>
      <c r="AF52">
        <v>6</v>
      </c>
      <c r="AG52">
        <v>570.28</v>
      </c>
      <c r="AH52">
        <v>0.2</v>
      </c>
      <c r="AI52">
        <f t="shared" si="18"/>
        <v>0.2</v>
      </c>
      <c r="AJ52" t="str">
        <f t="shared" si="19"/>
        <v>OK</v>
      </c>
      <c r="AK52">
        <v>2737.34</v>
      </c>
      <c r="AL52">
        <v>2085.44</v>
      </c>
      <c r="AM52">
        <v>651.9</v>
      </c>
      <c r="AN52" t="s">
        <v>33</v>
      </c>
      <c r="AO52" t="str">
        <f t="shared" si="11"/>
        <v>PAID</v>
      </c>
      <c r="AP52" t="str">
        <f t="shared" si="20"/>
        <v>OK</v>
      </c>
      <c r="AQ52" t="s">
        <v>34</v>
      </c>
      <c r="AR52" t="str">
        <f t="shared" si="12"/>
        <v>COMPLETED</v>
      </c>
      <c r="AS52" t="str">
        <f t="shared" si="21"/>
        <v>OK</v>
      </c>
      <c r="AT52">
        <f t="shared" si="22"/>
        <v>2737.3440000000001</v>
      </c>
      <c r="AU52">
        <f t="shared" si="23"/>
        <v>651.904</v>
      </c>
      <c r="AV52" s="6">
        <f t="shared" si="24"/>
        <v>0.69916678356830586</v>
      </c>
      <c r="AW52" t="str">
        <f t="shared" si="25"/>
        <v>CLEAN</v>
      </c>
      <c r="AX52" s="10" t="str">
        <f t="shared" si="26"/>
        <v>MATCH</v>
      </c>
      <c r="AY52" t="str">
        <f t="shared" si="27"/>
        <v>MATCH</v>
      </c>
    </row>
    <row r="53" spans="1:51">
      <c r="A53" t="s">
        <v>527</v>
      </c>
      <c r="B53">
        <f t="shared" si="0"/>
        <v>1</v>
      </c>
      <c r="C53" t="s">
        <v>528</v>
      </c>
      <c r="D53" s="3">
        <v>45503</v>
      </c>
      <c r="E53" t="str">
        <f t="shared" si="1"/>
        <v>2024/07/30</v>
      </c>
      <c r="F53" t="str">
        <f t="shared" si="13"/>
        <v>July</v>
      </c>
      <c r="G53">
        <f t="shared" si="14"/>
        <v>2024</v>
      </c>
      <c r="H53" t="s">
        <v>529</v>
      </c>
      <c r="I53" s="4">
        <v>45509</v>
      </c>
      <c r="J53" s="8">
        <f t="shared" si="2"/>
        <v>6</v>
      </c>
      <c r="K53" s="8" t="str">
        <f t="shared" si="15"/>
        <v>OK</v>
      </c>
      <c r="L53" t="s">
        <v>530</v>
      </c>
      <c r="M53" t="s">
        <v>365</v>
      </c>
      <c r="N53" t="str">
        <f t="shared" si="3"/>
        <v>Kabir Singh</v>
      </c>
      <c r="O53" t="s">
        <v>107</v>
      </c>
      <c r="P53" t="str">
        <f t="shared" si="28"/>
        <v>Corporate</v>
      </c>
      <c r="Q53" t="s">
        <v>26</v>
      </c>
      <c r="R53" t="str">
        <f t="shared" si="29"/>
        <v>North</v>
      </c>
      <c r="S53" t="str">
        <f t="shared" si="16"/>
        <v>OK</v>
      </c>
      <c r="T53" t="s">
        <v>505</v>
      </c>
      <c r="U53" t="str">
        <f t="shared" si="6"/>
        <v>Delhi</v>
      </c>
      <c r="V53" t="s">
        <v>506</v>
      </c>
      <c r="W53" t="str">
        <f t="shared" si="7"/>
        <v>New Delhi</v>
      </c>
      <c r="X53" t="str">
        <f t="shared" si="8"/>
        <v>Office Supplies</v>
      </c>
      <c r="Y53" t="s">
        <v>29</v>
      </c>
      <c r="Z53" t="s">
        <v>197</v>
      </c>
      <c r="AA53" t="str">
        <f t="shared" si="9"/>
        <v>Binders</v>
      </c>
      <c r="AB53" t="s">
        <v>531</v>
      </c>
      <c r="AC53" t="s">
        <v>66</v>
      </c>
      <c r="AD53" t="str">
        <f t="shared" si="30"/>
        <v>Standard Class</v>
      </c>
      <c r="AE53" t="str">
        <f t="shared" si="17"/>
        <v>OK</v>
      </c>
      <c r="AF53">
        <v>1</v>
      </c>
      <c r="AG53">
        <v>608.64</v>
      </c>
      <c r="AH53">
        <v>0</v>
      </c>
      <c r="AI53">
        <f t="shared" si="18"/>
        <v>0</v>
      </c>
      <c r="AJ53" t="str">
        <f t="shared" si="19"/>
        <v>OK</v>
      </c>
      <c r="AK53">
        <v>608.64</v>
      </c>
      <c r="AL53">
        <v>343.99</v>
      </c>
      <c r="AM53">
        <v>264.64999999999998</v>
      </c>
      <c r="AN53" t="s">
        <v>33</v>
      </c>
      <c r="AO53" t="str">
        <f t="shared" si="11"/>
        <v>PAID</v>
      </c>
      <c r="AP53" t="str">
        <f t="shared" si="20"/>
        <v>OK</v>
      </c>
      <c r="AQ53" t="s">
        <v>77</v>
      </c>
      <c r="AR53" t="str">
        <f t="shared" si="12"/>
        <v>CANCELLED</v>
      </c>
      <c r="AS53" t="str">
        <f t="shared" si="21"/>
        <v>EXCLUDE_FROM_SALES</v>
      </c>
      <c r="AT53">
        <f t="shared" si="22"/>
        <v>608.64</v>
      </c>
      <c r="AU53">
        <f t="shared" si="23"/>
        <v>264.64999999999998</v>
      </c>
      <c r="AV53" s="6">
        <f t="shared" si="24"/>
        <v>0.60234292849631987</v>
      </c>
      <c r="AW53" t="str">
        <f t="shared" si="25"/>
        <v>CLEAN</v>
      </c>
      <c r="AX53" s="10" t="str">
        <f t="shared" si="26"/>
        <v>MATCH</v>
      </c>
      <c r="AY53" t="str">
        <f t="shared" si="27"/>
        <v>MATCH</v>
      </c>
    </row>
    <row r="54" spans="1:51">
      <c r="A54" t="s">
        <v>532</v>
      </c>
      <c r="B54">
        <f t="shared" si="0"/>
        <v>1</v>
      </c>
      <c r="C54" t="s">
        <v>533</v>
      </c>
      <c r="D54" s="2">
        <v>45298</v>
      </c>
      <c r="E54" t="str">
        <f t="shared" si="1"/>
        <v>2024/01/07</v>
      </c>
      <c r="F54" t="str">
        <f t="shared" si="13"/>
        <v>January</v>
      </c>
      <c r="G54">
        <f t="shared" si="14"/>
        <v>2024</v>
      </c>
      <c r="H54" t="s">
        <v>533</v>
      </c>
      <c r="I54" s="4">
        <v>45474</v>
      </c>
      <c r="J54" s="8">
        <f t="shared" si="2"/>
        <v>176</v>
      </c>
      <c r="K54" s="8" t="str">
        <f t="shared" si="15"/>
        <v>OK</v>
      </c>
      <c r="L54" t="s">
        <v>534</v>
      </c>
      <c r="M54" t="s">
        <v>71</v>
      </c>
      <c r="N54" t="str">
        <f t="shared" si="3"/>
        <v>Ananya Rao</v>
      </c>
      <c r="O54" t="s">
        <v>40</v>
      </c>
      <c r="P54" t="str">
        <f t="shared" si="28"/>
        <v>Small Business</v>
      </c>
      <c r="Q54" t="s">
        <v>26</v>
      </c>
      <c r="R54" t="str">
        <f t="shared" si="29"/>
        <v>North</v>
      </c>
      <c r="S54" t="str">
        <f t="shared" si="16"/>
        <v>OK</v>
      </c>
      <c r="T54" t="s">
        <v>505</v>
      </c>
      <c r="U54" t="str">
        <f t="shared" si="6"/>
        <v>Delhi</v>
      </c>
      <c r="V54" t="s">
        <v>506</v>
      </c>
      <c r="W54" t="str">
        <f t="shared" si="7"/>
        <v>New Delhi</v>
      </c>
      <c r="X54" t="str">
        <f t="shared" si="8"/>
        <v>Technology</v>
      </c>
      <c r="Y54" t="s">
        <v>85</v>
      </c>
      <c r="Z54" t="s">
        <v>93</v>
      </c>
      <c r="AA54" t="str">
        <f t="shared" si="9"/>
        <v>Copiers</v>
      </c>
      <c r="AB54" t="s">
        <v>535</v>
      </c>
      <c r="AC54" t="s">
        <v>32</v>
      </c>
      <c r="AD54" t="str">
        <f t="shared" si="30"/>
        <v>Second Class</v>
      </c>
      <c r="AE54" t="str">
        <f t="shared" si="17"/>
        <v>OK</v>
      </c>
      <c r="AF54">
        <v>3</v>
      </c>
      <c r="AG54">
        <v>885.28</v>
      </c>
      <c r="AH54">
        <v>0.1</v>
      </c>
      <c r="AI54">
        <f t="shared" si="18"/>
        <v>0.1</v>
      </c>
      <c r="AJ54" t="str">
        <f t="shared" si="19"/>
        <v>OK</v>
      </c>
      <c r="AK54">
        <v>2390.2600000000002</v>
      </c>
      <c r="AL54">
        <v>1495.94</v>
      </c>
      <c r="AM54">
        <v>894.32</v>
      </c>
      <c r="AN54" t="s">
        <v>123</v>
      </c>
      <c r="AO54" t="str">
        <f t="shared" si="11"/>
        <v>REFUNDED</v>
      </c>
      <c r="AP54" t="str">
        <f t="shared" si="20"/>
        <v>REFUNDED_PAYMENT</v>
      </c>
      <c r="AQ54" t="s">
        <v>77</v>
      </c>
      <c r="AR54" t="str">
        <f t="shared" si="12"/>
        <v>CANCELLED</v>
      </c>
      <c r="AS54" t="str">
        <f t="shared" si="21"/>
        <v>EXCLUDE_FROM_SALES</v>
      </c>
      <c r="AT54">
        <f t="shared" si="22"/>
        <v>2390.2560000000003</v>
      </c>
      <c r="AU54">
        <f t="shared" si="23"/>
        <v>894.31600000000026</v>
      </c>
      <c r="AV54" s="6">
        <f t="shared" si="24"/>
        <v>0.23668427147552398</v>
      </c>
      <c r="AW54" t="str">
        <f t="shared" si="25"/>
        <v>CLEAN</v>
      </c>
      <c r="AX54" s="10" t="str">
        <f t="shared" si="26"/>
        <v>MATCH</v>
      </c>
      <c r="AY54" t="str">
        <f t="shared" si="27"/>
        <v>MATCH</v>
      </c>
    </row>
    <row r="55" spans="1:51">
      <c r="A55" t="s">
        <v>536</v>
      </c>
      <c r="B55">
        <f t="shared" si="0"/>
        <v>1</v>
      </c>
      <c r="C55" t="s">
        <v>537</v>
      </c>
      <c r="D55" s="3">
        <v>45506</v>
      </c>
      <c r="E55" t="str">
        <f t="shared" si="1"/>
        <v>2024/08/02</v>
      </c>
      <c r="F55" t="str">
        <f t="shared" si="13"/>
        <v>August</v>
      </c>
      <c r="G55">
        <f t="shared" si="14"/>
        <v>2024</v>
      </c>
      <c r="H55" t="s">
        <v>514</v>
      </c>
      <c r="I55" s="4">
        <v>45507</v>
      </c>
      <c r="J55" s="8">
        <f t="shared" si="2"/>
        <v>1</v>
      </c>
      <c r="K55" s="8" t="str">
        <f t="shared" si="15"/>
        <v>OK</v>
      </c>
      <c r="L55" t="s">
        <v>538</v>
      </c>
      <c r="M55" t="s">
        <v>82</v>
      </c>
      <c r="N55" t="str">
        <f t="shared" si="3"/>
        <v>Vikram Iyer</v>
      </c>
      <c r="O55" t="s">
        <v>25</v>
      </c>
      <c r="P55" t="str">
        <f t="shared" si="28"/>
        <v>Consumer</v>
      </c>
      <c r="Q55" t="s">
        <v>41</v>
      </c>
      <c r="R55" t="str">
        <f t="shared" si="29"/>
        <v>East</v>
      </c>
      <c r="S55" t="str">
        <f t="shared" si="16"/>
        <v>OK</v>
      </c>
      <c r="T55" t="s">
        <v>215</v>
      </c>
      <c r="U55" t="str">
        <f t="shared" si="6"/>
        <v>Assam</v>
      </c>
      <c r="V55" t="s">
        <v>216</v>
      </c>
      <c r="W55" t="str">
        <f t="shared" si="7"/>
        <v>Guwahati</v>
      </c>
      <c r="X55" t="str">
        <f t="shared" si="8"/>
        <v>Office Supplies</v>
      </c>
      <c r="Y55" t="s">
        <v>29</v>
      </c>
      <c r="Z55" t="s">
        <v>197</v>
      </c>
      <c r="AA55" t="str">
        <f t="shared" si="9"/>
        <v>Binders</v>
      </c>
      <c r="AB55" t="s">
        <v>539</v>
      </c>
      <c r="AC55" t="s">
        <v>66</v>
      </c>
      <c r="AD55" t="str">
        <f t="shared" si="30"/>
        <v>Standard Class</v>
      </c>
      <c r="AE55" t="str">
        <f t="shared" si="17"/>
        <v>OK</v>
      </c>
      <c r="AF55">
        <v>7</v>
      </c>
      <c r="AG55">
        <v>3345.22</v>
      </c>
      <c r="AH55">
        <v>0</v>
      </c>
      <c r="AI55">
        <f t="shared" si="18"/>
        <v>0</v>
      </c>
      <c r="AJ55" t="str">
        <f t="shared" si="19"/>
        <v>OK</v>
      </c>
      <c r="AK55">
        <v>23416.54</v>
      </c>
      <c r="AL55">
        <v>15490.89</v>
      </c>
      <c r="AM55">
        <v>7925.65</v>
      </c>
      <c r="AN55" t="s">
        <v>33</v>
      </c>
      <c r="AO55" t="str">
        <f t="shared" si="11"/>
        <v>PAID</v>
      </c>
      <c r="AP55" t="str">
        <f t="shared" si="20"/>
        <v>OK</v>
      </c>
      <c r="AQ55" t="s">
        <v>34</v>
      </c>
      <c r="AR55" t="str">
        <f t="shared" si="12"/>
        <v>COMPLETED</v>
      </c>
      <c r="AS55" t="str">
        <f t="shared" si="21"/>
        <v>OK</v>
      </c>
      <c r="AT55">
        <f t="shared" si="22"/>
        <v>23416.539999999997</v>
      </c>
      <c r="AU55">
        <f t="shared" si="23"/>
        <v>7925.6499999999978</v>
      </c>
      <c r="AV55" s="6">
        <f t="shared" si="24"/>
        <v>6.1439478249134998E-3</v>
      </c>
      <c r="AW55" t="str">
        <f t="shared" si="25"/>
        <v>CLEAN</v>
      </c>
      <c r="AX55" s="10" t="str">
        <f t="shared" si="26"/>
        <v>MATCH</v>
      </c>
      <c r="AY55" t="str">
        <f t="shared" si="27"/>
        <v>MATCH</v>
      </c>
    </row>
    <row r="56" spans="1:51">
      <c r="A56" t="s">
        <v>540</v>
      </c>
      <c r="B56">
        <f t="shared" si="0"/>
        <v>1</v>
      </c>
      <c r="C56" t="s">
        <v>541</v>
      </c>
      <c r="D56" s="3">
        <v>45375</v>
      </c>
      <c r="E56" t="str">
        <f t="shared" si="1"/>
        <v>2024/03/24</v>
      </c>
      <c r="F56" t="str">
        <f t="shared" si="13"/>
        <v>March</v>
      </c>
      <c r="G56">
        <f t="shared" si="14"/>
        <v>2024</v>
      </c>
      <c r="H56" t="s">
        <v>542</v>
      </c>
      <c r="I56" s="4">
        <v>45378</v>
      </c>
      <c r="J56" s="8">
        <f t="shared" si="2"/>
        <v>3</v>
      </c>
      <c r="K56" s="8" t="str">
        <f t="shared" si="15"/>
        <v>OK</v>
      </c>
      <c r="L56" t="s">
        <v>543</v>
      </c>
      <c r="M56" t="s">
        <v>179</v>
      </c>
      <c r="N56" t="str">
        <f t="shared" si="3"/>
        <v>Rohan Mehta</v>
      </c>
      <c r="O56" t="s">
        <v>40</v>
      </c>
      <c r="P56" t="str">
        <f t="shared" si="28"/>
        <v>Small Business</v>
      </c>
      <c r="Q56" t="s">
        <v>72</v>
      </c>
      <c r="R56" t="str">
        <f t="shared" si="29"/>
        <v>West</v>
      </c>
      <c r="S56" t="str">
        <f t="shared" si="16"/>
        <v>OK</v>
      </c>
      <c r="T56" t="s">
        <v>73</v>
      </c>
      <c r="U56" t="str">
        <f t="shared" si="6"/>
        <v>Maharashtra</v>
      </c>
      <c r="V56" t="s">
        <v>74</v>
      </c>
      <c r="W56" t="str">
        <f t="shared" si="7"/>
        <v>Mumbai</v>
      </c>
      <c r="X56" t="str">
        <f t="shared" si="8"/>
        <v>Furniture</v>
      </c>
      <c r="Y56" t="s">
        <v>44</v>
      </c>
      <c r="Z56" t="s">
        <v>203</v>
      </c>
      <c r="AA56" t="str">
        <f t="shared" si="9"/>
        <v>Bookcases</v>
      </c>
      <c r="AB56" t="s">
        <v>544</v>
      </c>
      <c r="AC56" t="s">
        <v>66</v>
      </c>
      <c r="AD56" t="str">
        <f t="shared" si="30"/>
        <v>Standard Class</v>
      </c>
      <c r="AE56" t="str">
        <f t="shared" si="17"/>
        <v>OK</v>
      </c>
      <c r="AF56">
        <v>2</v>
      </c>
      <c r="AG56">
        <v>3284.75</v>
      </c>
      <c r="AH56">
        <v>0.05</v>
      </c>
      <c r="AI56">
        <f t="shared" si="18"/>
        <v>0.05</v>
      </c>
      <c r="AJ56" t="str">
        <f t="shared" si="19"/>
        <v>OK</v>
      </c>
      <c r="AK56">
        <v>6241.02</v>
      </c>
      <c r="AL56">
        <v>5345.88</v>
      </c>
      <c r="AM56">
        <v>895.14</v>
      </c>
      <c r="AN56" t="s">
        <v>33</v>
      </c>
      <c r="AO56" t="str">
        <f t="shared" si="11"/>
        <v>PAID</v>
      </c>
      <c r="AP56" t="str">
        <f t="shared" si="20"/>
        <v>OK</v>
      </c>
      <c r="AQ56" t="s">
        <v>34</v>
      </c>
      <c r="AR56" t="str">
        <f t="shared" si="12"/>
        <v>COMPLETED</v>
      </c>
      <c r="AS56" t="str">
        <f t="shared" si="21"/>
        <v>OK</v>
      </c>
      <c r="AT56">
        <f t="shared" si="22"/>
        <v>6241.0249999999996</v>
      </c>
      <c r="AU56">
        <f t="shared" si="23"/>
        <v>895.14499999999953</v>
      </c>
      <c r="AV56" s="6">
        <f t="shared" si="24"/>
        <v>2.8966395744288796E-2</v>
      </c>
      <c r="AW56" t="str">
        <f t="shared" si="25"/>
        <v>CLEAN</v>
      </c>
      <c r="AX56" s="10" t="str">
        <f t="shared" si="26"/>
        <v>MISMATCH</v>
      </c>
      <c r="AY56" t="str">
        <f t="shared" si="27"/>
        <v>MISMATCH</v>
      </c>
    </row>
    <row r="57" spans="1:51">
      <c r="A57" t="s">
        <v>545</v>
      </c>
      <c r="B57">
        <f t="shared" si="0"/>
        <v>1</v>
      </c>
      <c r="C57" t="s">
        <v>37</v>
      </c>
      <c r="D57" s="2">
        <v>45421</v>
      </c>
      <c r="E57" t="str">
        <f t="shared" si="1"/>
        <v>2024/05/09</v>
      </c>
      <c r="F57" t="str">
        <f t="shared" si="13"/>
        <v>May</v>
      </c>
      <c r="G57">
        <f t="shared" si="14"/>
        <v>2024</v>
      </c>
      <c r="H57" t="s">
        <v>37</v>
      </c>
      <c r="I57" s="4">
        <v>45540</v>
      </c>
      <c r="J57" s="8">
        <f t="shared" si="2"/>
        <v>119</v>
      </c>
      <c r="K57" s="8" t="str">
        <f t="shared" si="15"/>
        <v>OK</v>
      </c>
      <c r="L57" t="s">
        <v>546</v>
      </c>
      <c r="M57" t="s">
        <v>365</v>
      </c>
      <c r="N57" t="str">
        <f t="shared" si="3"/>
        <v>Kabir Singh</v>
      </c>
      <c r="O57" t="s">
        <v>25</v>
      </c>
      <c r="P57" t="str">
        <f t="shared" si="28"/>
        <v>Consumer</v>
      </c>
      <c r="Q57" t="s">
        <v>61</v>
      </c>
      <c r="R57" t="str">
        <f t="shared" si="29"/>
        <v>South</v>
      </c>
      <c r="S57" t="str">
        <f t="shared" si="16"/>
        <v>OK</v>
      </c>
      <c r="T57" t="s">
        <v>99</v>
      </c>
      <c r="U57" t="str">
        <f t="shared" si="6"/>
        <v>Andhra Pradesh</v>
      </c>
      <c r="V57" t="s">
        <v>100</v>
      </c>
      <c r="W57" t="str">
        <f t="shared" si="7"/>
        <v>Vijayawada</v>
      </c>
      <c r="X57" t="str">
        <f t="shared" si="8"/>
        <v>Furniture</v>
      </c>
      <c r="Y57" t="s">
        <v>44</v>
      </c>
      <c r="Z57" t="s">
        <v>203</v>
      </c>
      <c r="AA57" t="str">
        <f t="shared" si="9"/>
        <v>Bookcases</v>
      </c>
      <c r="AB57" t="s">
        <v>547</v>
      </c>
      <c r="AC57" t="s">
        <v>66</v>
      </c>
      <c r="AD57" t="str">
        <f t="shared" si="30"/>
        <v>Standard Class</v>
      </c>
      <c r="AE57" t="str">
        <f t="shared" si="17"/>
        <v>OK</v>
      </c>
      <c r="AF57">
        <v>7</v>
      </c>
      <c r="AG57">
        <v>3761.09</v>
      </c>
      <c r="AH57">
        <v>0.2</v>
      </c>
      <c r="AI57">
        <f t="shared" si="18"/>
        <v>0.2</v>
      </c>
      <c r="AJ57" t="str">
        <f t="shared" si="19"/>
        <v>OK</v>
      </c>
      <c r="AK57">
        <v>21062.1</v>
      </c>
      <c r="AL57">
        <v>12057.13</v>
      </c>
      <c r="AM57">
        <v>9004.9699999999993</v>
      </c>
      <c r="AN57" t="s">
        <v>136</v>
      </c>
      <c r="AO57" t="str">
        <f t="shared" si="11"/>
        <v>PENDING</v>
      </c>
      <c r="AP57" t="str">
        <f t="shared" si="20"/>
        <v>OK</v>
      </c>
      <c r="AQ57" t="s">
        <v>77</v>
      </c>
      <c r="AR57" t="str">
        <f t="shared" si="12"/>
        <v>CANCELLED</v>
      </c>
      <c r="AS57" t="str">
        <f t="shared" si="21"/>
        <v>EXCLUDE_FROM_SALES</v>
      </c>
      <c r="AT57">
        <f t="shared" si="22"/>
        <v>21062.104000000003</v>
      </c>
      <c r="AU57">
        <f t="shared" si="23"/>
        <v>9004.9740000000038</v>
      </c>
      <c r="AV57" s="6">
        <f t="shared" si="24"/>
        <v>8.5831880803551221E-3</v>
      </c>
      <c r="AW57" t="str">
        <f t="shared" si="25"/>
        <v>CLEAN</v>
      </c>
      <c r="AX57" s="10" t="str">
        <f t="shared" si="26"/>
        <v>MATCH</v>
      </c>
      <c r="AY57" t="str">
        <f t="shared" si="27"/>
        <v>MATCH</v>
      </c>
    </row>
    <row r="58" spans="1:51">
      <c r="A58" t="s">
        <v>561</v>
      </c>
      <c r="B58">
        <f t="shared" si="0"/>
        <v>1</v>
      </c>
      <c r="C58" t="s">
        <v>164</v>
      </c>
      <c r="D58" s="3">
        <v>45474</v>
      </c>
      <c r="E58" t="str">
        <f t="shared" si="1"/>
        <v>2024/07/01</v>
      </c>
      <c r="F58" t="str">
        <f t="shared" si="13"/>
        <v>July</v>
      </c>
      <c r="G58">
        <f t="shared" si="14"/>
        <v>2024</v>
      </c>
      <c r="H58" t="s">
        <v>562</v>
      </c>
      <c r="I58" s="4">
        <v>45304</v>
      </c>
      <c r="J58" s="8">
        <f t="shared" si="2"/>
        <v>-170</v>
      </c>
      <c r="K58" s="8" t="str">
        <f t="shared" si="15"/>
        <v>INVAILD_SHIPPING</v>
      </c>
      <c r="L58" t="s">
        <v>563</v>
      </c>
      <c r="M58" t="s">
        <v>179</v>
      </c>
      <c r="N58" t="str">
        <f t="shared" si="3"/>
        <v>Rohan Mehta</v>
      </c>
      <c r="O58" t="s">
        <v>107</v>
      </c>
      <c r="P58" t="str">
        <f t="shared" si="28"/>
        <v>Corporate</v>
      </c>
      <c r="Q58" t="s">
        <v>26</v>
      </c>
      <c r="R58" t="str">
        <f t="shared" si="29"/>
        <v>North</v>
      </c>
      <c r="S58" t="str">
        <f t="shared" si="16"/>
        <v>OK</v>
      </c>
      <c r="T58" t="s">
        <v>173</v>
      </c>
      <c r="U58" t="str">
        <f t="shared" si="6"/>
        <v>Uttar Pradesh</v>
      </c>
      <c r="V58" t="s">
        <v>174</v>
      </c>
      <c r="W58" t="str">
        <f t="shared" si="7"/>
        <v>Noida</v>
      </c>
      <c r="X58" t="str">
        <f t="shared" si="8"/>
        <v>Office Supplies</v>
      </c>
      <c r="Y58" t="s">
        <v>29</v>
      </c>
      <c r="Z58" t="s">
        <v>197</v>
      </c>
      <c r="AA58" t="str">
        <f t="shared" si="9"/>
        <v>Binders</v>
      </c>
      <c r="AB58" t="s">
        <v>564</v>
      </c>
      <c r="AC58" t="s">
        <v>66</v>
      </c>
      <c r="AD58" t="str">
        <f t="shared" si="30"/>
        <v>Standard Class</v>
      </c>
      <c r="AE58" t="str">
        <f t="shared" si="17"/>
        <v>OK</v>
      </c>
      <c r="AF58">
        <v>7</v>
      </c>
      <c r="AG58">
        <v>2788.97</v>
      </c>
      <c r="AH58">
        <v>-0.09</v>
      </c>
      <c r="AI58">
        <f t="shared" si="18"/>
        <v>-0.09</v>
      </c>
      <c r="AJ58" t="str">
        <f t="shared" si="19"/>
        <v>Invalid Negative Discount</v>
      </c>
      <c r="AK58">
        <v>19522.79</v>
      </c>
      <c r="AL58">
        <v>12455.78</v>
      </c>
      <c r="AM58">
        <v>7067.01</v>
      </c>
      <c r="AN58" t="s">
        <v>33</v>
      </c>
      <c r="AO58" t="str">
        <f t="shared" si="11"/>
        <v>PAID</v>
      </c>
      <c r="AP58" t="str">
        <f t="shared" si="20"/>
        <v>OK</v>
      </c>
      <c r="AQ58" t="s">
        <v>34</v>
      </c>
      <c r="AR58" t="str">
        <f t="shared" si="12"/>
        <v>COMPLETED</v>
      </c>
      <c r="AS58" t="str">
        <f t="shared" si="21"/>
        <v>OK</v>
      </c>
      <c r="AT58" t="str">
        <f t="shared" si="22"/>
        <v>INVAILD</v>
      </c>
      <c r="AU58" t="str">
        <f t="shared" si="23"/>
        <v>INVAILD</v>
      </c>
      <c r="AW58" t="str">
        <f t="shared" si="25"/>
        <v>INVALID</v>
      </c>
      <c r="AX58" s="10" t="s">
        <v>4116</v>
      </c>
      <c r="AY58" t="s">
        <v>4116</v>
      </c>
    </row>
    <row r="59" spans="1:51">
      <c r="A59" t="s">
        <v>565</v>
      </c>
      <c r="B59">
        <f t="shared" si="0"/>
        <v>1</v>
      </c>
      <c r="C59" t="s">
        <v>566</v>
      </c>
      <c r="D59" s="3">
        <v>45452</v>
      </c>
      <c r="E59" t="str">
        <f t="shared" si="1"/>
        <v>2024/06/09</v>
      </c>
      <c r="F59" t="str">
        <f t="shared" si="13"/>
        <v>June</v>
      </c>
      <c r="G59">
        <f t="shared" si="14"/>
        <v>2024</v>
      </c>
      <c r="H59" t="s">
        <v>567</v>
      </c>
      <c r="I59" s="4">
        <v>45544</v>
      </c>
      <c r="J59" s="8">
        <f t="shared" si="2"/>
        <v>92</v>
      </c>
      <c r="K59" s="8" t="str">
        <f t="shared" si="15"/>
        <v>OK</v>
      </c>
      <c r="L59" t="s">
        <v>568</v>
      </c>
      <c r="M59" t="s">
        <v>209</v>
      </c>
      <c r="N59" t="str">
        <f t="shared" si="3"/>
        <v>Diya Patel</v>
      </c>
      <c r="O59" t="s">
        <v>25</v>
      </c>
      <c r="P59" t="str">
        <f t="shared" si="28"/>
        <v>Consumer</v>
      </c>
      <c r="Q59" t="s">
        <v>26</v>
      </c>
      <c r="R59" t="str">
        <f t="shared" si="29"/>
        <v>North</v>
      </c>
      <c r="S59" t="str">
        <f t="shared" si="16"/>
        <v>OK</v>
      </c>
      <c r="T59" t="s">
        <v>322</v>
      </c>
      <c r="U59" t="str">
        <f t="shared" si="6"/>
        <v>Haryana</v>
      </c>
      <c r="V59" t="s">
        <v>323</v>
      </c>
      <c r="W59" t="str">
        <f t="shared" si="7"/>
        <v>Gurugram</v>
      </c>
      <c r="X59" t="str">
        <f t="shared" si="8"/>
        <v>Technology</v>
      </c>
      <c r="Y59" t="s">
        <v>85</v>
      </c>
      <c r="Z59" t="s">
        <v>222</v>
      </c>
      <c r="AA59" t="str">
        <f t="shared" si="9"/>
        <v>Phones</v>
      </c>
      <c r="AB59" t="s">
        <v>569</v>
      </c>
      <c r="AC59" t="s">
        <v>32</v>
      </c>
      <c r="AD59" t="str">
        <f t="shared" si="30"/>
        <v>Second Class</v>
      </c>
      <c r="AE59" t="str">
        <f t="shared" si="17"/>
        <v>OK</v>
      </c>
      <c r="AF59">
        <v>7</v>
      </c>
      <c r="AG59">
        <v>3781.53</v>
      </c>
      <c r="AH59">
        <v>0</v>
      </c>
      <c r="AI59">
        <f t="shared" si="18"/>
        <v>0</v>
      </c>
      <c r="AJ59" t="str">
        <f t="shared" si="19"/>
        <v>OK</v>
      </c>
      <c r="AK59">
        <v>26470.71</v>
      </c>
      <c r="AL59">
        <v>21367.599999999999</v>
      </c>
      <c r="AM59">
        <v>5103.1099999999997</v>
      </c>
      <c r="AN59" t="s">
        <v>136</v>
      </c>
      <c r="AO59" t="str">
        <f t="shared" si="11"/>
        <v>PENDING</v>
      </c>
      <c r="AP59" t="str">
        <f t="shared" si="20"/>
        <v>OK</v>
      </c>
      <c r="AQ59" t="s">
        <v>77</v>
      </c>
      <c r="AR59" t="str">
        <f t="shared" si="12"/>
        <v>CANCELLED</v>
      </c>
      <c r="AS59" t="str">
        <f t="shared" si="21"/>
        <v>EXCLUDE_FROM_SALES</v>
      </c>
      <c r="AT59">
        <f t="shared" si="22"/>
        <v>26470.710000000003</v>
      </c>
      <c r="AU59">
        <f t="shared" si="23"/>
        <v>5103.1100000000042</v>
      </c>
      <c r="AW59" t="str">
        <f t="shared" si="25"/>
        <v>CLEAN</v>
      </c>
      <c r="AX59" s="10" t="str">
        <f t="shared" si="26"/>
        <v>MATCH</v>
      </c>
      <c r="AY59" t="str">
        <f t="shared" si="27"/>
        <v>MATCH</v>
      </c>
    </row>
    <row r="60" spans="1:51">
      <c r="A60" t="s">
        <v>575</v>
      </c>
      <c r="B60">
        <f t="shared" si="0"/>
        <v>1</v>
      </c>
      <c r="C60" t="s">
        <v>576</v>
      </c>
      <c r="D60" s="2">
        <v>45418</v>
      </c>
      <c r="E60" t="str">
        <f t="shared" si="1"/>
        <v>2024/05/06</v>
      </c>
      <c r="F60" t="str">
        <f t="shared" si="13"/>
        <v>May</v>
      </c>
      <c r="G60">
        <f t="shared" si="14"/>
        <v>2024</v>
      </c>
      <c r="H60" t="s">
        <v>577</v>
      </c>
      <c r="I60" s="4">
        <v>45479</v>
      </c>
      <c r="J60" s="8">
        <f t="shared" si="2"/>
        <v>61</v>
      </c>
      <c r="K60" s="8" t="str">
        <f t="shared" si="15"/>
        <v>OK</v>
      </c>
      <c r="L60" t="s">
        <v>578</v>
      </c>
      <c r="M60" t="s">
        <v>147</v>
      </c>
      <c r="N60" t="str">
        <f t="shared" si="3"/>
        <v>Rahul Verma</v>
      </c>
      <c r="O60" t="s">
        <v>114</v>
      </c>
      <c r="P60" t="str">
        <f t="shared" si="28"/>
        <v>Home Office</v>
      </c>
      <c r="Q60" t="s">
        <v>41</v>
      </c>
      <c r="R60" t="str">
        <f t="shared" si="29"/>
        <v>East</v>
      </c>
      <c r="S60" t="str">
        <f t="shared" si="16"/>
        <v>OK</v>
      </c>
      <c r="T60" t="s">
        <v>42</v>
      </c>
      <c r="U60" t="str">
        <f t="shared" si="6"/>
        <v>Odisha</v>
      </c>
      <c r="V60" t="s">
        <v>43</v>
      </c>
      <c r="W60" t="str">
        <f t="shared" si="7"/>
        <v>Bhubaneswar</v>
      </c>
      <c r="X60" t="str">
        <f t="shared" si="8"/>
        <v>Technology</v>
      </c>
      <c r="Y60" t="s">
        <v>85</v>
      </c>
      <c r="Z60" t="s">
        <v>93</v>
      </c>
      <c r="AA60" t="str">
        <f t="shared" si="9"/>
        <v>Copiers</v>
      </c>
      <c r="AB60" t="s">
        <v>579</v>
      </c>
      <c r="AC60" t="s">
        <v>32</v>
      </c>
      <c r="AD60" t="str">
        <f t="shared" si="30"/>
        <v>Second Class</v>
      </c>
      <c r="AE60" t="str">
        <f t="shared" si="17"/>
        <v>OK</v>
      </c>
      <c r="AF60">
        <v>2</v>
      </c>
      <c r="AG60">
        <v>2259.2399999999998</v>
      </c>
      <c r="AH60">
        <v>0.15</v>
      </c>
      <c r="AI60">
        <f t="shared" si="18"/>
        <v>0.15</v>
      </c>
      <c r="AJ60" t="str">
        <f t="shared" si="19"/>
        <v>OK</v>
      </c>
      <c r="AK60">
        <v>3840.71</v>
      </c>
      <c r="AL60">
        <v>2516.29</v>
      </c>
      <c r="AM60">
        <v>1324.42</v>
      </c>
      <c r="AN60" t="s">
        <v>33</v>
      </c>
      <c r="AO60" t="str">
        <f t="shared" si="11"/>
        <v>PAID</v>
      </c>
      <c r="AP60" t="str">
        <f t="shared" si="20"/>
        <v>OK</v>
      </c>
      <c r="AQ60" t="s">
        <v>34</v>
      </c>
      <c r="AR60" t="str">
        <f t="shared" si="12"/>
        <v>COMPLETED</v>
      </c>
      <c r="AS60" t="str">
        <f t="shared" si="21"/>
        <v>OK</v>
      </c>
      <c r="AT60">
        <f t="shared" si="22"/>
        <v>3840.7079999999996</v>
      </c>
      <c r="AU60">
        <f t="shared" si="23"/>
        <v>1324.4179999999997</v>
      </c>
      <c r="AV60" s="6">
        <f t="shared" si="24"/>
        <v>0.26544780285301561</v>
      </c>
      <c r="AW60" t="str">
        <f t="shared" si="25"/>
        <v>CLEAN</v>
      </c>
      <c r="AX60" s="10" t="str">
        <f t="shared" si="26"/>
        <v>MATCH</v>
      </c>
      <c r="AY60" t="str">
        <f t="shared" si="27"/>
        <v>MATCH</v>
      </c>
    </row>
    <row r="61" spans="1:51">
      <c r="A61" t="s">
        <v>585</v>
      </c>
      <c r="B61">
        <f t="shared" si="0"/>
        <v>1</v>
      </c>
      <c r="C61" t="s">
        <v>586</v>
      </c>
      <c r="D61" s="3">
        <v>45317</v>
      </c>
      <c r="E61" t="str">
        <f t="shared" si="1"/>
        <v>2024/01/26</v>
      </c>
      <c r="F61" t="str">
        <f t="shared" si="13"/>
        <v>January</v>
      </c>
      <c r="G61">
        <f t="shared" si="14"/>
        <v>2024</v>
      </c>
      <c r="H61" t="s">
        <v>587</v>
      </c>
      <c r="I61" s="4">
        <v>45323</v>
      </c>
      <c r="J61" s="8">
        <f t="shared" si="2"/>
        <v>6</v>
      </c>
      <c r="K61" s="8" t="str">
        <f t="shared" si="15"/>
        <v>OK</v>
      </c>
      <c r="L61" t="s">
        <v>588</v>
      </c>
      <c r="M61" t="s">
        <v>179</v>
      </c>
      <c r="N61" t="str">
        <f t="shared" si="3"/>
        <v>Rohan Mehta</v>
      </c>
      <c r="O61" t="s">
        <v>114</v>
      </c>
      <c r="P61" t="str">
        <f t="shared" si="28"/>
        <v>Home Office</v>
      </c>
      <c r="Q61" t="s">
        <v>61</v>
      </c>
      <c r="R61" t="str">
        <f t="shared" si="29"/>
        <v>South</v>
      </c>
      <c r="S61" t="str">
        <f t="shared" si="16"/>
        <v>OK</v>
      </c>
      <c r="T61" t="s">
        <v>241</v>
      </c>
      <c r="U61" t="str">
        <f t="shared" si="6"/>
        <v>Kerala</v>
      </c>
      <c r="V61" t="s">
        <v>242</v>
      </c>
      <c r="W61" t="str">
        <f t="shared" si="7"/>
        <v>Kochi</v>
      </c>
      <c r="X61" t="str">
        <f t="shared" si="8"/>
        <v>Technology</v>
      </c>
      <c r="Y61" t="s">
        <v>85</v>
      </c>
      <c r="Z61" t="s">
        <v>93</v>
      </c>
      <c r="AA61" t="str">
        <f t="shared" si="9"/>
        <v>Copiers</v>
      </c>
      <c r="AB61" t="s">
        <v>589</v>
      </c>
      <c r="AD61" t="s">
        <v>4109</v>
      </c>
      <c r="AE61" t="str">
        <f t="shared" si="17"/>
        <v>MISSING_SHIP_MODE</v>
      </c>
      <c r="AF61">
        <v>8</v>
      </c>
      <c r="AG61">
        <v>2108.9299999999998</v>
      </c>
      <c r="AH61">
        <v>0.1</v>
      </c>
      <c r="AI61">
        <f t="shared" si="18"/>
        <v>0.1</v>
      </c>
      <c r="AJ61" t="str">
        <f t="shared" si="19"/>
        <v>OK</v>
      </c>
      <c r="AK61">
        <v>15184.3</v>
      </c>
      <c r="AL61">
        <v>11270.74</v>
      </c>
      <c r="AM61">
        <v>3913.56</v>
      </c>
      <c r="AN61" t="s">
        <v>33</v>
      </c>
      <c r="AO61" t="str">
        <f t="shared" si="11"/>
        <v>PAID</v>
      </c>
      <c r="AP61" t="str">
        <f t="shared" si="20"/>
        <v>OK</v>
      </c>
      <c r="AQ61" t="s">
        <v>34</v>
      </c>
      <c r="AR61" t="str">
        <f t="shared" si="12"/>
        <v>COMPLETED</v>
      </c>
      <c r="AS61" t="str">
        <f t="shared" si="21"/>
        <v>OK</v>
      </c>
      <c r="AT61">
        <f t="shared" si="22"/>
        <v>15184.295999999998</v>
      </c>
      <c r="AU61">
        <f t="shared" si="23"/>
        <v>3913.5559999999987</v>
      </c>
      <c r="AV61" s="6">
        <f t="shared" si="24"/>
        <v>0.20352794097269972</v>
      </c>
      <c r="AW61" t="str">
        <f t="shared" si="25"/>
        <v>WARNING</v>
      </c>
      <c r="AX61" s="10" t="str">
        <f t="shared" si="26"/>
        <v>MATCH</v>
      </c>
      <c r="AY61" t="str">
        <f t="shared" si="27"/>
        <v>MATCH</v>
      </c>
    </row>
    <row r="62" spans="1:51">
      <c r="A62" t="s">
        <v>599</v>
      </c>
      <c r="B62">
        <f t="shared" si="0"/>
        <v>1</v>
      </c>
      <c r="C62" t="s">
        <v>319</v>
      </c>
      <c r="D62" s="3">
        <v>45465</v>
      </c>
      <c r="E62" t="str">
        <f t="shared" si="1"/>
        <v>2024/06/22</v>
      </c>
      <c r="F62" t="str">
        <f t="shared" si="13"/>
        <v>June</v>
      </c>
      <c r="G62">
        <f t="shared" si="14"/>
        <v>2024</v>
      </c>
      <c r="H62" t="s">
        <v>600</v>
      </c>
      <c r="I62" s="4">
        <v>45469</v>
      </c>
      <c r="J62" s="8">
        <f t="shared" si="2"/>
        <v>4</v>
      </c>
      <c r="K62" s="8" t="str">
        <f t="shared" si="15"/>
        <v>OK</v>
      </c>
      <c r="L62" t="s">
        <v>601</v>
      </c>
      <c r="M62" t="s">
        <v>179</v>
      </c>
      <c r="N62" t="str">
        <f t="shared" si="3"/>
        <v>Rohan Mehta</v>
      </c>
      <c r="O62" t="s">
        <v>114</v>
      </c>
      <c r="P62" t="str">
        <f t="shared" si="28"/>
        <v>Home Office</v>
      </c>
      <c r="Q62" t="s">
        <v>41</v>
      </c>
      <c r="R62" t="str">
        <f t="shared" si="29"/>
        <v>East</v>
      </c>
      <c r="S62" t="str">
        <f t="shared" si="16"/>
        <v>OK</v>
      </c>
      <c r="T62" t="s">
        <v>185</v>
      </c>
      <c r="U62" t="str">
        <f t="shared" si="6"/>
        <v>Bihar</v>
      </c>
      <c r="V62" t="s">
        <v>186</v>
      </c>
      <c r="W62" t="str">
        <f t="shared" si="7"/>
        <v>Patna</v>
      </c>
      <c r="X62" t="str">
        <f t="shared" si="8"/>
        <v>Furniture</v>
      </c>
      <c r="Y62" t="s">
        <v>44</v>
      </c>
      <c r="Z62" t="s">
        <v>64</v>
      </c>
      <c r="AA62" t="str">
        <f t="shared" si="9"/>
        <v>Furnishings</v>
      </c>
      <c r="AB62" t="s">
        <v>602</v>
      </c>
      <c r="AC62" t="s">
        <v>55</v>
      </c>
      <c r="AD62" t="str">
        <f t="shared" ref="AD62:AD93" si="31">PROPER(TRIM(SUBSTITUTE(AC62,CHAR(160)," ")))</f>
        <v>First Class</v>
      </c>
      <c r="AE62" t="str">
        <f t="shared" si="17"/>
        <v>OK</v>
      </c>
      <c r="AF62">
        <v>5</v>
      </c>
      <c r="AG62">
        <v>4396.5200000000004</v>
      </c>
      <c r="AH62">
        <v>0.25</v>
      </c>
      <c r="AI62">
        <f t="shared" si="18"/>
        <v>0.25</v>
      </c>
      <c r="AJ62" t="str">
        <f t="shared" si="19"/>
        <v>OK</v>
      </c>
      <c r="AK62">
        <v>16486.95</v>
      </c>
      <c r="AL62">
        <v>12054.14</v>
      </c>
      <c r="AM62">
        <v>4432.8100000000004</v>
      </c>
      <c r="AN62" t="s">
        <v>33</v>
      </c>
      <c r="AO62" t="str">
        <f t="shared" si="11"/>
        <v>PAID</v>
      </c>
      <c r="AP62" t="str">
        <f t="shared" si="20"/>
        <v>OK</v>
      </c>
      <c r="AQ62" t="s">
        <v>34</v>
      </c>
      <c r="AR62" t="str">
        <f t="shared" si="12"/>
        <v>COMPLETED</v>
      </c>
      <c r="AS62" t="str">
        <f t="shared" si="21"/>
        <v>OK</v>
      </c>
      <c r="AT62">
        <f t="shared" si="22"/>
        <v>16486.95</v>
      </c>
      <c r="AU62">
        <f t="shared" si="23"/>
        <v>4432.8100000000013</v>
      </c>
      <c r="AV62" s="6">
        <f t="shared" si="24"/>
        <v>1.2856228714225489E-2</v>
      </c>
      <c r="AW62" t="str">
        <f t="shared" si="25"/>
        <v>CLEAN</v>
      </c>
      <c r="AX62" s="10" t="str">
        <f t="shared" si="26"/>
        <v>MATCH</v>
      </c>
      <c r="AY62" t="str">
        <f t="shared" si="27"/>
        <v>MATCH</v>
      </c>
    </row>
    <row r="63" spans="1:51">
      <c r="A63" t="s">
        <v>618</v>
      </c>
      <c r="B63">
        <f t="shared" si="0"/>
        <v>1</v>
      </c>
      <c r="C63" t="s">
        <v>619</v>
      </c>
      <c r="D63" s="3">
        <v>45467</v>
      </c>
      <c r="E63" t="str">
        <f t="shared" si="1"/>
        <v>2024/06/24</v>
      </c>
      <c r="F63" t="str">
        <f t="shared" si="13"/>
        <v>June</v>
      </c>
      <c r="G63">
        <f t="shared" si="14"/>
        <v>2024</v>
      </c>
      <c r="H63" t="s">
        <v>620</v>
      </c>
      <c r="I63" s="4">
        <v>45472</v>
      </c>
      <c r="J63" s="8">
        <f t="shared" si="2"/>
        <v>5</v>
      </c>
      <c r="K63" s="8" t="str">
        <f t="shared" si="15"/>
        <v>OK</v>
      </c>
      <c r="L63" t="s">
        <v>621</v>
      </c>
      <c r="M63" t="s">
        <v>39</v>
      </c>
      <c r="N63" t="str">
        <f t="shared" si="3"/>
        <v>Mira Das</v>
      </c>
      <c r="O63" t="s">
        <v>114</v>
      </c>
      <c r="P63" t="str">
        <f t="shared" si="28"/>
        <v>Home Office</v>
      </c>
      <c r="Q63" t="s">
        <v>41</v>
      </c>
      <c r="R63" t="str">
        <f t="shared" si="29"/>
        <v>East</v>
      </c>
      <c r="S63" t="str">
        <f t="shared" si="16"/>
        <v>OK</v>
      </c>
      <c r="T63" t="s">
        <v>120</v>
      </c>
      <c r="U63" t="str">
        <f t="shared" si="6"/>
        <v>West Bengal</v>
      </c>
      <c r="V63" t="s">
        <v>121</v>
      </c>
      <c r="W63" t="str">
        <f t="shared" si="7"/>
        <v>Kolkata</v>
      </c>
      <c r="X63" t="str">
        <f t="shared" si="8"/>
        <v>Furniture</v>
      </c>
      <c r="Y63" t="s">
        <v>44</v>
      </c>
      <c r="Z63" t="s">
        <v>45</v>
      </c>
      <c r="AA63" t="str">
        <f t="shared" si="9"/>
        <v>Tables</v>
      </c>
      <c r="AB63" t="s">
        <v>622</v>
      </c>
      <c r="AC63" t="s">
        <v>32</v>
      </c>
      <c r="AD63" t="str">
        <f t="shared" si="31"/>
        <v>Second Class</v>
      </c>
      <c r="AE63" t="str">
        <f t="shared" si="17"/>
        <v>OK</v>
      </c>
      <c r="AF63">
        <v>2</v>
      </c>
      <c r="AG63">
        <v>685</v>
      </c>
      <c r="AH63">
        <v>0.1</v>
      </c>
      <c r="AI63">
        <f t="shared" si="18"/>
        <v>0.1</v>
      </c>
      <c r="AJ63" t="str">
        <f t="shared" si="19"/>
        <v>OK</v>
      </c>
      <c r="AK63">
        <v>1233</v>
      </c>
      <c r="AL63">
        <v>1006.9</v>
      </c>
      <c r="AM63">
        <v>226.1</v>
      </c>
      <c r="AN63" t="s">
        <v>33</v>
      </c>
      <c r="AO63" t="str">
        <f t="shared" si="11"/>
        <v>PAID</v>
      </c>
      <c r="AP63" t="str">
        <f t="shared" si="20"/>
        <v>OK</v>
      </c>
      <c r="AQ63" t="s">
        <v>34</v>
      </c>
      <c r="AR63" t="str">
        <f t="shared" si="12"/>
        <v>COMPLETED</v>
      </c>
      <c r="AS63" t="str">
        <f t="shared" si="21"/>
        <v>OK</v>
      </c>
      <c r="AT63">
        <f t="shared" si="22"/>
        <v>1233</v>
      </c>
      <c r="AU63">
        <f t="shared" si="23"/>
        <v>226.10000000000002</v>
      </c>
      <c r="AV63" s="6">
        <f t="shared" si="24"/>
        <v>0.33240875912408768</v>
      </c>
      <c r="AW63" t="str">
        <f t="shared" si="25"/>
        <v>CLEAN</v>
      </c>
      <c r="AX63" s="10" t="str">
        <f t="shared" si="26"/>
        <v>MATCH</v>
      </c>
      <c r="AY63" t="str">
        <f t="shared" si="27"/>
        <v>MATCH</v>
      </c>
    </row>
    <row r="64" spans="1:51">
      <c r="A64" t="s">
        <v>623</v>
      </c>
      <c r="B64">
        <f t="shared" si="0"/>
        <v>1</v>
      </c>
      <c r="C64" t="s">
        <v>624</v>
      </c>
      <c r="D64" s="3">
        <v>45342</v>
      </c>
      <c r="E64" t="str">
        <f t="shared" si="1"/>
        <v>2024/02/20</v>
      </c>
      <c r="F64" t="str">
        <f t="shared" si="13"/>
        <v>February</v>
      </c>
      <c r="G64">
        <f t="shared" si="14"/>
        <v>2024</v>
      </c>
      <c r="H64" t="s">
        <v>625</v>
      </c>
      <c r="I64" s="4">
        <v>45350</v>
      </c>
      <c r="J64" s="8">
        <f t="shared" si="2"/>
        <v>8</v>
      </c>
      <c r="K64" s="8" t="str">
        <f t="shared" si="15"/>
        <v>OK</v>
      </c>
      <c r="L64" t="s">
        <v>626</v>
      </c>
      <c r="M64" t="s">
        <v>60</v>
      </c>
      <c r="N64" t="str">
        <f t="shared" si="3"/>
        <v>Arjun Bose</v>
      </c>
      <c r="O64" t="s">
        <v>114</v>
      </c>
      <c r="P64" t="str">
        <f t="shared" si="28"/>
        <v>Home Office</v>
      </c>
      <c r="Q64" t="s">
        <v>41</v>
      </c>
      <c r="R64" t="str">
        <f t="shared" si="29"/>
        <v>East</v>
      </c>
      <c r="S64" t="str">
        <f t="shared" si="16"/>
        <v>OK</v>
      </c>
      <c r="T64" t="s">
        <v>120</v>
      </c>
      <c r="U64" t="str">
        <f t="shared" si="6"/>
        <v>West Bengal</v>
      </c>
      <c r="V64" t="s">
        <v>121</v>
      </c>
      <c r="W64" t="str">
        <f t="shared" si="7"/>
        <v>Kolkata</v>
      </c>
      <c r="X64" t="str">
        <f t="shared" si="8"/>
        <v>Office Supplies</v>
      </c>
      <c r="Y64" t="s">
        <v>29</v>
      </c>
      <c r="Z64" t="s">
        <v>30</v>
      </c>
      <c r="AA64" t="str">
        <f t="shared" si="9"/>
        <v>Paper</v>
      </c>
      <c r="AB64" t="s">
        <v>627</v>
      </c>
      <c r="AC64" t="s">
        <v>66</v>
      </c>
      <c r="AD64" t="str">
        <f t="shared" si="31"/>
        <v>Standard Class</v>
      </c>
      <c r="AE64" t="str">
        <f t="shared" si="17"/>
        <v>OK</v>
      </c>
      <c r="AF64">
        <v>2</v>
      </c>
      <c r="AG64">
        <v>4004.04</v>
      </c>
      <c r="AI64">
        <f t="shared" si="18"/>
        <v>0</v>
      </c>
      <c r="AJ64" t="str">
        <f t="shared" si="19"/>
        <v>Missing Discount</v>
      </c>
      <c r="AK64">
        <v>7207.27</v>
      </c>
      <c r="AL64">
        <v>5709.39</v>
      </c>
      <c r="AM64">
        <v>1497.88</v>
      </c>
      <c r="AN64" t="s">
        <v>33</v>
      </c>
      <c r="AO64" t="str">
        <f t="shared" si="11"/>
        <v>PAID</v>
      </c>
      <c r="AP64" t="str">
        <f t="shared" si="20"/>
        <v>OK</v>
      </c>
      <c r="AQ64" t="s">
        <v>77</v>
      </c>
      <c r="AR64" t="str">
        <f t="shared" si="12"/>
        <v>CANCELLED</v>
      </c>
      <c r="AS64" t="str">
        <f t="shared" si="21"/>
        <v>EXCLUDE_FROM_SALES</v>
      </c>
      <c r="AT64">
        <f t="shared" si="22"/>
        <v>8008.08</v>
      </c>
      <c r="AU64">
        <f t="shared" si="23"/>
        <v>2298.6899999999996</v>
      </c>
      <c r="AV64" s="6">
        <f t="shared" si="24"/>
        <v>0.75612006873058213</v>
      </c>
      <c r="AW64" t="str">
        <f t="shared" si="25"/>
        <v>INVALID</v>
      </c>
      <c r="AX64" s="10" t="str">
        <f t="shared" si="26"/>
        <v>MISMATCH</v>
      </c>
      <c r="AY64" t="str">
        <f t="shared" si="27"/>
        <v>MISMATCH</v>
      </c>
    </row>
    <row r="65" spans="1:51">
      <c r="A65" t="s">
        <v>628</v>
      </c>
      <c r="B65">
        <f t="shared" si="0"/>
        <v>1</v>
      </c>
      <c r="C65" t="s">
        <v>629</v>
      </c>
      <c r="D65" s="2">
        <v>45594</v>
      </c>
      <c r="E65" t="str">
        <f t="shared" si="1"/>
        <v>2024/10/29</v>
      </c>
      <c r="F65" t="str">
        <f t="shared" si="13"/>
        <v>October</v>
      </c>
      <c r="G65">
        <f t="shared" si="14"/>
        <v>2024</v>
      </c>
      <c r="H65" t="s">
        <v>630</v>
      </c>
      <c r="I65" s="4">
        <v>45600</v>
      </c>
      <c r="J65" s="8">
        <f t="shared" si="2"/>
        <v>6</v>
      </c>
      <c r="K65" s="8" t="str">
        <f t="shared" si="15"/>
        <v>OK</v>
      </c>
      <c r="L65" t="s">
        <v>631</v>
      </c>
      <c r="M65" t="s">
        <v>179</v>
      </c>
      <c r="N65" t="str">
        <f t="shared" si="3"/>
        <v>Rohan Mehta</v>
      </c>
      <c r="O65" t="s">
        <v>114</v>
      </c>
      <c r="P65" t="str">
        <f t="shared" si="28"/>
        <v>Home Office</v>
      </c>
      <c r="Q65" t="s">
        <v>41</v>
      </c>
      <c r="R65" t="str">
        <f t="shared" si="29"/>
        <v>East</v>
      </c>
      <c r="S65" t="str">
        <f t="shared" si="16"/>
        <v>OK</v>
      </c>
      <c r="T65" t="s">
        <v>120</v>
      </c>
      <c r="U65" t="str">
        <f t="shared" si="6"/>
        <v>West Bengal</v>
      </c>
      <c r="V65" t="s">
        <v>121</v>
      </c>
      <c r="W65" t="str">
        <f t="shared" si="7"/>
        <v>Kolkata</v>
      </c>
      <c r="X65" t="str">
        <f t="shared" si="8"/>
        <v>Furniture</v>
      </c>
      <c r="Y65" t="s">
        <v>44</v>
      </c>
      <c r="Z65" t="s">
        <v>64</v>
      </c>
      <c r="AA65" t="str">
        <f t="shared" si="9"/>
        <v>Furnishings</v>
      </c>
      <c r="AB65" t="s">
        <v>632</v>
      </c>
      <c r="AC65" t="s">
        <v>55</v>
      </c>
      <c r="AD65" t="str">
        <f t="shared" si="31"/>
        <v>First Class</v>
      </c>
      <c r="AE65" t="str">
        <f t="shared" si="17"/>
        <v>OK</v>
      </c>
      <c r="AF65">
        <v>3</v>
      </c>
      <c r="AG65">
        <v>4302.8900000000003</v>
      </c>
      <c r="AH65">
        <v>0.05</v>
      </c>
      <c r="AI65">
        <f t="shared" si="18"/>
        <v>0.05</v>
      </c>
      <c r="AJ65" t="str">
        <f t="shared" si="19"/>
        <v>OK</v>
      </c>
      <c r="AK65">
        <v>12263.24</v>
      </c>
      <c r="AL65">
        <v>8925.57</v>
      </c>
      <c r="AM65">
        <v>3337.67</v>
      </c>
      <c r="AN65" t="s">
        <v>33</v>
      </c>
      <c r="AO65" t="str">
        <f t="shared" si="11"/>
        <v>PAID</v>
      </c>
      <c r="AP65" t="str">
        <f t="shared" si="20"/>
        <v>OK</v>
      </c>
      <c r="AQ65" t="s">
        <v>34</v>
      </c>
      <c r="AR65" t="str">
        <f t="shared" si="12"/>
        <v>COMPLETED</v>
      </c>
      <c r="AS65" t="str">
        <f t="shared" si="21"/>
        <v>OK</v>
      </c>
      <c r="AT65">
        <f t="shared" si="22"/>
        <v>12263.236500000001</v>
      </c>
      <c r="AU65">
        <f t="shared" si="23"/>
        <v>3337.6665000000012</v>
      </c>
      <c r="AV65" s="6">
        <f t="shared" si="24"/>
        <v>0.49375790803675679</v>
      </c>
      <c r="AW65" t="str">
        <f t="shared" si="25"/>
        <v>CLEAN</v>
      </c>
      <c r="AX65" s="10" t="str">
        <f t="shared" si="26"/>
        <v>MATCH</v>
      </c>
      <c r="AY65" t="str">
        <f t="shared" si="27"/>
        <v>MATCH</v>
      </c>
    </row>
    <row r="66" spans="1:51">
      <c r="A66" t="s">
        <v>633</v>
      </c>
      <c r="B66">
        <f t="shared" ref="B66:B129" si="32">COUNTIF($A:$A,A66)</f>
        <v>1</v>
      </c>
      <c r="C66" t="s">
        <v>634</v>
      </c>
      <c r="D66" s="2">
        <v>45519</v>
      </c>
      <c r="E66" t="str">
        <f t="shared" ref="E66:E129" si="33">IFERROR(
TEXT(
  IF(ISNUMBER(SEARCH("/",D66)),
     DATE(RIGHT(D66,4),LEFT(D66,FIND("/",D66)-1),
          MID(D66,FIND("/",D66)+1,FIND("/",D66,FIND("/",D66)+1)-FIND("/",D66)-1)),
     IF(ISNUMBER(SEARCH("-",D66)),
        DATEVALUE(SUBSTITUTE(D66,"-","/")),
        DATEVALUE(TEXT(D66,"dd mmm yyyy"))
     )
  ),
"yyyy/mm/dd"
),
"")</f>
        <v>2024/08/15</v>
      </c>
      <c r="F66" t="str">
        <f t="shared" si="13"/>
        <v>August</v>
      </c>
      <c r="G66">
        <f t="shared" si="14"/>
        <v>2024</v>
      </c>
      <c r="H66" t="s">
        <v>635</v>
      </c>
      <c r="I66" s="4">
        <v>45527</v>
      </c>
      <c r="J66" s="8">
        <f t="shared" ref="J66:J129" si="34">I66-E66</f>
        <v>8</v>
      </c>
      <c r="K66" s="8" t="str">
        <f t="shared" si="15"/>
        <v>OK</v>
      </c>
      <c r="L66" t="s">
        <v>636</v>
      </c>
      <c r="M66" t="s">
        <v>106</v>
      </c>
      <c r="N66" t="str">
        <f t="shared" ref="N66:N129" si="35">PROPER(TRIM(SUBSTITUTE(M66,CHAR(160)," ")))</f>
        <v>Aditi Sen</v>
      </c>
      <c r="O66" t="s">
        <v>40</v>
      </c>
      <c r="P66" t="str">
        <f t="shared" si="28"/>
        <v>Small Business</v>
      </c>
      <c r="Q66" t="s">
        <v>41</v>
      </c>
      <c r="R66" t="str">
        <f t="shared" ref="R66:R67" si="36">PROPER(TRIM(SUBSTITUTE(Q66,CHAR(160)," ")))</f>
        <v>East</v>
      </c>
      <c r="S66" t="str">
        <f t="shared" si="16"/>
        <v>OK</v>
      </c>
      <c r="T66" t="s">
        <v>42</v>
      </c>
      <c r="U66" t="str">
        <f t="shared" ref="U66:U129" si="37">PROPER(TRIM(SUBSTITUTE(T66,CHAR(160)," ")))</f>
        <v>Odisha</v>
      </c>
      <c r="V66" t="s">
        <v>43</v>
      </c>
      <c r="W66" t="str">
        <f t="shared" ref="W66:W129" si="38">PROPER(TRIM(SUBSTITUTE(V66,CHAR(160)," ")))</f>
        <v>Bhubaneswar</v>
      </c>
      <c r="X66" t="str">
        <f t="shared" ref="X66:X129" si="39">PROPER(TRIM(SUBSTITUTE(Y66,CHAR(160)," ")))</f>
        <v>Furniture</v>
      </c>
      <c r="Y66" t="s">
        <v>44</v>
      </c>
      <c r="Z66" t="s">
        <v>203</v>
      </c>
      <c r="AA66" t="str">
        <f t="shared" ref="AA66:AA129" si="40">PROPER(TRIM(SUBSTITUTE(Z66,CHAR(160)," ")))</f>
        <v>Bookcases</v>
      </c>
      <c r="AB66" t="s">
        <v>637</v>
      </c>
      <c r="AC66" t="s">
        <v>47</v>
      </c>
      <c r="AD66" t="str">
        <f t="shared" si="31"/>
        <v>Same Day</v>
      </c>
      <c r="AE66" t="str">
        <f t="shared" si="17"/>
        <v>OK</v>
      </c>
      <c r="AF66">
        <v>2</v>
      </c>
      <c r="AG66">
        <v>537.54</v>
      </c>
      <c r="AH66">
        <v>0.25</v>
      </c>
      <c r="AI66">
        <f t="shared" si="18"/>
        <v>0.25</v>
      </c>
      <c r="AJ66" t="str">
        <f t="shared" si="19"/>
        <v>OK</v>
      </c>
      <c r="AK66">
        <v>806.31</v>
      </c>
      <c r="AL66">
        <v>498.5</v>
      </c>
      <c r="AM66">
        <v>307.81</v>
      </c>
      <c r="AN66" t="s">
        <v>33</v>
      </c>
      <c r="AO66" t="str">
        <f t="shared" ref="AO66:AO129" si="41">UPPER(TRIM(SUBSTITUTE(AN66,CHAR(160)," ")))</f>
        <v>PAID</v>
      </c>
      <c r="AP66" t="str">
        <f t="shared" si="20"/>
        <v>OK</v>
      </c>
      <c r="AQ66" t="s">
        <v>34</v>
      </c>
      <c r="AR66" t="str">
        <f t="shared" ref="AR66:AR129" si="42">UPPER(TRIM(SUBSTITUTE(AQ66,CHAR(160)," ")))</f>
        <v>COMPLETED</v>
      </c>
      <c r="AS66" t="str">
        <f t="shared" si="21"/>
        <v>OK</v>
      </c>
      <c r="AT66">
        <f t="shared" si="22"/>
        <v>806.31</v>
      </c>
      <c r="AU66">
        <f t="shared" si="23"/>
        <v>307.80999999999995</v>
      </c>
      <c r="AV66" s="6">
        <f t="shared" si="24"/>
        <v>12.337091193213531</v>
      </c>
      <c r="AW66" t="str">
        <f t="shared" si="25"/>
        <v>CLEAN</v>
      </c>
      <c r="AX66" s="10" t="str">
        <f t="shared" si="26"/>
        <v>MATCH</v>
      </c>
      <c r="AY66" t="str">
        <f t="shared" si="27"/>
        <v>MATCH</v>
      </c>
    </row>
    <row r="67" spans="1:51">
      <c r="A67" t="s">
        <v>642</v>
      </c>
      <c r="B67">
        <f t="shared" si="32"/>
        <v>1</v>
      </c>
      <c r="C67" t="s">
        <v>643</v>
      </c>
      <c r="D67" s="3">
        <v>45583</v>
      </c>
      <c r="E67" t="str">
        <f t="shared" si="33"/>
        <v>2024/10/18</v>
      </c>
      <c r="F67" t="str">
        <f t="shared" ref="F67:F130" si="43">TEXT(E67,"MMMM")</f>
        <v>October</v>
      </c>
      <c r="G67">
        <f t="shared" ref="G67:G130" si="44">YEAR(E67)</f>
        <v>2024</v>
      </c>
      <c r="H67" t="s">
        <v>644</v>
      </c>
      <c r="I67" s="4">
        <v>45589</v>
      </c>
      <c r="J67" s="8">
        <f t="shared" si="34"/>
        <v>6</v>
      </c>
      <c r="K67" s="8" t="str">
        <f t="shared" ref="K67:K130" si="45">IF(J67&lt;0,"INVAILD_SHIPPING","OK")</f>
        <v>OK</v>
      </c>
      <c r="L67" t="s">
        <v>645</v>
      </c>
      <c r="M67" t="s">
        <v>82</v>
      </c>
      <c r="N67" t="str">
        <f t="shared" si="35"/>
        <v>Vikram Iyer</v>
      </c>
      <c r="O67" t="s">
        <v>107</v>
      </c>
      <c r="P67" t="str">
        <f t="shared" si="28"/>
        <v>Corporate</v>
      </c>
      <c r="Q67" t="s">
        <v>61</v>
      </c>
      <c r="R67" t="str">
        <f t="shared" si="36"/>
        <v>South</v>
      </c>
      <c r="S67" t="str">
        <f t="shared" ref="S67:S130" si="46">IF(R67="Unknown","MISSING_REGION","OK")</f>
        <v>OK</v>
      </c>
      <c r="T67" t="s">
        <v>241</v>
      </c>
      <c r="U67" t="str">
        <f t="shared" si="37"/>
        <v>Kerala</v>
      </c>
      <c r="V67" t="s">
        <v>242</v>
      </c>
      <c r="W67" t="str">
        <f t="shared" si="38"/>
        <v>Kochi</v>
      </c>
      <c r="X67" t="str">
        <f t="shared" si="39"/>
        <v>Office Supplies</v>
      </c>
      <c r="Y67" t="s">
        <v>29</v>
      </c>
      <c r="Z67" t="s">
        <v>108</v>
      </c>
      <c r="AA67" t="str">
        <f t="shared" si="40"/>
        <v>Labels</v>
      </c>
      <c r="AB67" t="s">
        <v>646</v>
      </c>
      <c r="AC67" t="s">
        <v>55</v>
      </c>
      <c r="AD67" t="str">
        <f t="shared" si="31"/>
        <v>First Class</v>
      </c>
      <c r="AE67" t="str">
        <f t="shared" ref="AE67:AE130" si="47">IF(AD67="Unknown","MISSING_SHIP_MODE","OK")</f>
        <v>OK</v>
      </c>
      <c r="AF67">
        <v>2</v>
      </c>
      <c r="AG67">
        <v>2250.4699999999998</v>
      </c>
      <c r="AH67">
        <v>0</v>
      </c>
      <c r="AI67">
        <f t="shared" ref="AI67:AI130" si="48">IF(RIGHT(AH67,1)="%",VALUE(SUBSTITUTE(AH67,"%",""))/100,AH67)</f>
        <v>0</v>
      </c>
      <c r="AJ67" t="str">
        <f t="shared" ref="AJ67:AJ130" si="49">IF(AH67="","Missing Discount",
IF(AH67&lt;0,"Invalid Negative Discount",
"OK"))</f>
        <v>OK</v>
      </c>
      <c r="AK67">
        <v>4500.9399999999996</v>
      </c>
      <c r="AL67">
        <v>2607.73</v>
      </c>
      <c r="AM67">
        <v>1893.21</v>
      </c>
      <c r="AN67" t="s">
        <v>123</v>
      </c>
      <c r="AO67" t="str">
        <f t="shared" si="41"/>
        <v>REFUNDED</v>
      </c>
      <c r="AP67" t="str">
        <f t="shared" ref="AP67:AP130" si="50">IF(AO67="Failed","EXCLUDE_FROM_SALES",
IF(AO67="Refunded","REFUNDED_PAYMENT",
"OK"))</f>
        <v>REFUNDED_PAYMENT</v>
      </c>
      <c r="AQ67" t="s">
        <v>77</v>
      </c>
      <c r="AR67" t="str">
        <f t="shared" si="42"/>
        <v>CANCELLED</v>
      </c>
      <c r="AS67" t="str">
        <f t="shared" ref="AS67:AS130" si="51">IF(AR67="Cancelled","EXCLUDE_FROM_SALES",
IF(AR67="Returned","RETURNED_ORDER",
"OK"))</f>
        <v>EXCLUDE_FROM_SALES</v>
      </c>
      <c r="AT67">
        <f t="shared" ref="AT67:AT130" si="52">IF(AI67&lt;0,"INVAILD",AF67*AG67*(1-AI67))</f>
        <v>4500.9399999999996</v>
      </c>
      <c r="AU67">
        <f t="shared" ref="AU67:AU130" si="53">IF(AT67="INVAILD","INVAILD",AT67-AL67)</f>
        <v>1893.2099999999996</v>
      </c>
      <c r="AV67" s="6">
        <f t="shared" ref="AV67:AV130" si="54">IF(OR(AT67="INVALID",AU67="INVALID"),"",AU88/AT67)</f>
        <v>0.47543179869094043</v>
      </c>
      <c r="AW67" t="str">
        <f t="shared" ref="AW67:AW130" si="55">IF(OR(AJ67&lt;&gt;"OK",K67="INVALID_SHIPPING"),
"INVALID",
IF(OR(S67&lt;&gt;"OK",AE67&lt;&gt;"OK"),
"WARNING",
"CLEAN"))</f>
        <v>CLEAN</v>
      </c>
      <c r="AX67" s="10" t="str">
        <f t="shared" ref="AX67:AX130" si="56">IF(AT67="INVALID","INVALID",
IF(ROUND(AK67,2)=ROUND(AT67,2),"MATCH","MISMATCH"))</f>
        <v>MATCH</v>
      </c>
      <c r="AY67" t="str">
        <f t="shared" ref="AY67:AY130" si="57">IF(AU67="INVALID","INVALID",IF(ROUND(AM67,2)=ROUND(AU67,2),"MATCH","MISMATCH"))</f>
        <v>MATCH</v>
      </c>
    </row>
    <row r="68" spans="1:51">
      <c r="A68" t="s">
        <v>652</v>
      </c>
      <c r="B68">
        <f t="shared" si="32"/>
        <v>1</v>
      </c>
      <c r="C68" t="s">
        <v>653</v>
      </c>
      <c r="D68" s="2">
        <v>45566</v>
      </c>
      <c r="E68" t="str">
        <f t="shared" si="33"/>
        <v>2024/10/01</v>
      </c>
      <c r="F68" t="str">
        <f t="shared" si="43"/>
        <v>October</v>
      </c>
      <c r="G68">
        <f t="shared" si="44"/>
        <v>2024</v>
      </c>
      <c r="H68" t="s">
        <v>654</v>
      </c>
      <c r="I68" s="4">
        <v>45305</v>
      </c>
      <c r="J68" s="8">
        <f t="shared" si="34"/>
        <v>-261</v>
      </c>
      <c r="K68" s="8" t="str">
        <f t="shared" si="45"/>
        <v>INVAILD_SHIPPING</v>
      </c>
      <c r="L68" t="s">
        <v>655</v>
      </c>
      <c r="M68" t="s">
        <v>167</v>
      </c>
      <c r="N68" t="str">
        <f t="shared" si="35"/>
        <v>Sneha Kapoor</v>
      </c>
      <c r="O68" t="s">
        <v>25</v>
      </c>
      <c r="P68" t="str">
        <f t="shared" si="28"/>
        <v>Consumer</v>
      </c>
      <c r="R68" t="s">
        <v>4109</v>
      </c>
      <c r="S68" t="str">
        <f t="shared" si="46"/>
        <v>MISSING_REGION</v>
      </c>
      <c r="T68" t="s">
        <v>234</v>
      </c>
      <c r="U68" t="str">
        <f t="shared" si="37"/>
        <v>Gujarat</v>
      </c>
      <c r="V68" t="s">
        <v>235</v>
      </c>
      <c r="W68" t="str">
        <f t="shared" si="38"/>
        <v>Ahmedabad</v>
      </c>
      <c r="X68" t="str">
        <f t="shared" si="39"/>
        <v>Technology</v>
      </c>
      <c r="Y68" t="s">
        <v>85</v>
      </c>
      <c r="Z68" t="s">
        <v>86</v>
      </c>
      <c r="AA68" t="str">
        <f t="shared" si="40"/>
        <v>Accessories</v>
      </c>
      <c r="AB68" t="s">
        <v>656</v>
      </c>
      <c r="AC68" t="s">
        <v>66</v>
      </c>
      <c r="AD68" t="str">
        <f t="shared" si="31"/>
        <v>Standard Class</v>
      </c>
      <c r="AE68" t="str">
        <f t="shared" si="47"/>
        <v>OK</v>
      </c>
      <c r="AF68">
        <v>3</v>
      </c>
      <c r="AG68">
        <v>3829.48</v>
      </c>
      <c r="AH68">
        <v>0.05</v>
      </c>
      <c r="AI68">
        <f t="shared" si="48"/>
        <v>0.05</v>
      </c>
      <c r="AJ68" t="str">
        <f t="shared" si="49"/>
        <v>OK</v>
      </c>
      <c r="AK68">
        <v>10914.02</v>
      </c>
      <c r="AL68">
        <v>6548.74</v>
      </c>
      <c r="AM68">
        <v>4365.28</v>
      </c>
      <c r="AN68" t="s">
        <v>33</v>
      </c>
      <c r="AO68" t="str">
        <f t="shared" si="41"/>
        <v>PAID</v>
      </c>
      <c r="AP68" t="str">
        <f t="shared" si="50"/>
        <v>OK</v>
      </c>
      <c r="AQ68" t="s">
        <v>34</v>
      </c>
      <c r="AR68" t="str">
        <f t="shared" si="42"/>
        <v>COMPLETED</v>
      </c>
      <c r="AS68" t="str">
        <f t="shared" si="51"/>
        <v>OK</v>
      </c>
      <c r="AT68">
        <f t="shared" si="52"/>
        <v>10914.018</v>
      </c>
      <c r="AU68">
        <f t="shared" si="53"/>
        <v>4365.2780000000002</v>
      </c>
      <c r="AV68" s="6">
        <f t="shared" si="54"/>
        <v>0.10413369301754861</v>
      </c>
      <c r="AW68" t="str">
        <f t="shared" si="55"/>
        <v>WARNING</v>
      </c>
      <c r="AX68" s="10" t="str">
        <f t="shared" si="56"/>
        <v>MATCH</v>
      </c>
      <c r="AY68" t="str">
        <f t="shared" si="57"/>
        <v>MATCH</v>
      </c>
    </row>
    <row r="69" spans="1:51">
      <c r="A69" t="s">
        <v>657</v>
      </c>
      <c r="B69">
        <f t="shared" si="32"/>
        <v>1</v>
      </c>
      <c r="C69" t="s">
        <v>658</v>
      </c>
      <c r="D69" s="3">
        <v>45334</v>
      </c>
      <c r="E69" t="str">
        <f t="shared" si="33"/>
        <v>2024/02/12</v>
      </c>
      <c r="F69" t="str">
        <f t="shared" si="43"/>
        <v>February</v>
      </c>
      <c r="G69">
        <f t="shared" si="44"/>
        <v>2024</v>
      </c>
      <c r="H69" t="s">
        <v>658</v>
      </c>
      <c r="I69" s="4">
        <v>45628</v>
      </c>
      <c r="J69" s="8">
        <f t="shared" si="34"/>
        <v>294</v>
      </c>
      <c r="K69" s="8" t="str">
        <f t="shared" si="45"/>
        <v>OK</v>
      </c>
      <c r="L69" t="s">
        <v>520</v>
      </c>
      <c r="M69" t="s">
        <v>52</v>
      </c>
      <c r="N69" t="str">
        <f t="shared" si="35"/>
        <v>Isha Nair</v>
      </c>
      <c r="O69" t="s">
        <v>114</v>
      </c>
      <c r="P69" t="str">
        <f t="shared" si="28"/>
        <v>Home Office</v>
      </c>
      <c r="Q69" t="s">
        <v>61</v>
      </c>
      <c r="R69" t="str">
        <f t="shared" ref="R69:R95" si="58">PROPER(TRIM(SUBSTITUTE(Q69,CHAR(160)," ")))</f>
        <v>South</v>
      </c>
      <c r="S69" t="str">
        <f t="shared" si="46"/>
        <v>OK</v>
      </c>
      <c r="T69" t="s">
        <v>338</v>
      </c>
      <c r="U69" t="str">
        <f t="shared" si="37"/>
        <v>Tamil Nadu</v>
      </c>
      <c r="V69" t="s">
        <v>339</v>
      </c>
      <c r="W69" t="str">
        <f t="shared" si="38"/>
        <v>Chennai</v>
      </c>
      <c r="X69" t="str">
        <f t="shared" si="39"/>
        <v>Furniture</v>
      </c>
      <c r="Y69" t="s">
        <v>44</v>
      </c>
      <c r="Z69" t="s">
        <v>45</v>
      </c>
      <c r="AA69" t="str">
        <f t="shared" si="40"/>
        <v>Tables</v>
      </c>
      <c r="AB69" t="s">
        <v>659</v>
      </c>
      <c r="AC69" t="s">
        <v>66</v>
      </c>
      <c r="AD69" t="str">
        <f t="shared" si="31"/>
        <v>Standard Class</v>
      </c>
      <c r="AE69" t="str">
        <f t="shared" si="47"/>
        <v>OK</v>
      </c>
      <c r="AF69">
        <v>3</v>
      </c>
      <c r="AG69">
        <v>1089.1500000000001</v>
      </c>
      <c r="AH69">
        <v>0.25</v>
      </c>
      <c r="AI69">
        <f t="shared" si="48"/>
        <v>0.25</v>
      </c>
      <c r="AJ69" t="str">
        <f t="shared" si="49"/>
        <v>OK</v>
      </c>
      <c r="AK69">
        <v>2450.59</v>
      </c>
      <c r="AL69">
        <v>1639.89</v>
      </c>
      <c r="AM69">
        <v>810.7</v>
      </c>
      <c r="AN69" t="s">
        <v>33</v>
      </c>
      <c r="AO69" t="str">
        <f t="shared" si="41"/>
        <v>PAID</v>
      </c>
      <c r="AP69" t="str">
        <f t="shared" si="50"/>
        <v>OK</v>
      </c>
      <c r="AQ69" t="s">
        <v>34</v>
      </c>
      <c r="AR69" t="str">
        <f t="shared" si="42"/>
        <v>COMPLETED</v>
      </c>
      <c r="AS69" t="str">
        <f t="shared" si="51"/>
        <v>OK</v>
      </c>
      <c r="AT69">
        <f t="shared" si="52"/>
        <v>2450.5875000000001</v>
      </c>
      <c r="AU69">
        <f t="shared" si="53"/>
        <v>810.69749999999999</v>
      </c>
      <c r="AV69" s="6">
        <f t="shared" si="54"/>
        <v>0.44388743515585521</v>
      </c>
      <c r="AW69" t="str">
        <f t="shared" si="55"/>
        <v>CLEAN</v>
      </c>
      <c r="AX69" s="10" t="str">
        <f t="shared" si="56"/>
        <v>MATCH</v>
      </c>
      <c r="AY69" t="str">
        <f t="shared" si="57"/>
        <v>MATCH</v>
      </c>
    </row>
    <row r="70" spans="1:51">
      <c r="A70" t="s">
        <v>660</v>
      </c>
      <c r="B70">
        <f t="shared" si="32"/>
        <v>1</v>
      </c>
      <c r="C70" t="s">
        <v>661</v>
      </c>
      <c r="D70" s="3">
        <v>45560</v>
      </c>
      <c r="E70" t="str">
        <f t="shared" si="33"/>
        <v>2024/09/25</v>
      </c>
      <c r="F70" t="str">
        <f t="shared" si="43"/>
        <v>September</v>
      </c>
      <c r="G70">
        <f t="shared" si="44"/>
        <v>2024</v>
      </c>
      <c r="H70" t="s">
        <v>662</v>
      </c>
      <c r="I70" s="4">
        <v>45565</v>
      </c>
      <c r="J70" s="8">
        <f t="shared" si="34"/>
        <v>5</v>
      </c>
      <c r="K70" s="8" t="str">
        <f t="shared" si="45"/>
        <v>OK</v>
      </c>
      <c r="L70" t="s">
        <v>663</v>
      </c>
      <c r="M70" t="s">
        <v>92</v>
      </c>
      <c r="N70" t="str">
        <f t="shared" si="35"/>
        <v>Neha Gupta</v>
      </c>
      <c r="O70" t="s">
        <v>40</v>
      </c>
      <c r="P70" t="str">
        <f t="shared" si="28"/>
        <v>Small Business</v>
      </c>
      <c r="Q70" t="s">
        <v>26</v>
      </c>
      <c r="R70" t="str">
        <f t="shared" si="58"/>
        <v>North</v>
      </c>
      <c r="S70" t="str">
        <f t="shared" si="46"/>
        <v>OK</v>
      </c>
      <c r="T70" t="s">
        <v>27</v>
      </c>
      <c r="U70" t="str">
        <f t="shared" si="37"/>
        <v>Rajasthan</v>
      </c>
      <c r="V70" t="s">
        <v>28</v>
      </c>
      <c r="W70" t="str">
        <f t="shared" si="38"/>
        <v>Jaipur</v>
      </c>
      <c r="X70" t="str">
        <f t="shared" si="39"/>
        <v>Technology</v>
      </c>
      <c r="Y70" t="s">
        <v>85</v>
      </c>
      <c r="Z70" t="s">
        <v>86</v>
      </c>
      <c r="AA70" t="str">
        <f t="shared" si="40"/>
        <v>Accessories</v>
      </c>
      <c r="AB70" t="s">
        <v>664</v>
      </c>
      <c r="AC70" t="s">
        <v>32</v>
      </c>
      <c r="AD70" t="str">
        <f t="shared" si="31"/>
        <v>Second Class</v>
      </c>
      <c r="AE70" t="str">
        <f t="shared" si="47"/>
        <v>OK</v>
      </c>
      <c r="AF70">
        <v>1</v>
      </c>
      <c r="AG70">
        <v>4388.3999999999996</v>
      </c>
      <c r="AH70">
        <v>0.1</v>
      </c>
      <c r="AI70">
        <f t="shared" si="48"/>
        <v>0.1</v>
      </c>
      <c r="AJ70" t="str">
        <f t="shared" si="49"/>
        <v>OK</v>
      </c>
      <c r="AK70">
        <v>3949.56</v>
      </c>
      <c r="AL70">
        <v>3186.73</v>
      </c>
      <c r="AM70">
        <v>762.83</v>
      </c>
      <c r="AN70" t="s">
        <v>136</v>
      </c>
      <c r="AO70" t="str">
        <f t="shared" si="41"/>
        <v>PENDING</v>
      </c>
      <c r="AP70" t="str">
        <f t="shared" si="50"/>
        <v>OK</v>
      </c>
      <c r="AQ70" t="s">
        <v>77</v>
      </c>
      <c r="AR70" t="str">
        <f t="shared" si="42"/>
        <v>CANCELLED</v>
      </c>
      <c r="AS70" t="str">
        <f t="shared" si="51"/>
        <v>EXCLUDE_FROM_SALES</v>
      </c>
      <c r="AT70">
        <f t="shared" si="52"/>
        <v>3949.56</v>
      </c>
      <c r="AU70">
        <f t="shared" si="53"/>
        <v>762.82999999999993</v>
      </c>
      <c r="AV70" s="6">
        <f t="shared" si="54"/>
        <v>0.27541928721173992</v>
      </c>
      <c r="AW70" t="str">
        <f t="shared" si="55"/>
        <v>CLEAN</v>
      </c>
      <c r="AX70" s="10" t="str">
        <f t="shared" si="56"/>
        <v>MATCH</v>
      </c>
      <c r="AY70" t="str">
        <f t="shared" si="57"/>
        <v>MATCH</v>
      </c>
    </row>
    <row r="71" spans="1:51">
      <c r="A71" t="s">
        <v>665</v>
      </c>
      <c r="B71">
        <f t="shared" si="32"/>
        <v>1</v>
      </c>
      <c r="C71" t="s">
        <v>666</v>
      </c>
      <c r="D71" s="3">
        <v>45653</v>
      </c>
      <c r="E71" t="str">
        <f t="shared" si="33"/>
        <v>2024/12/27</v>
      </c>
      <c r="F71" t="str">
        <f t="shared" si="43"/>
        <v>December</v>
      </c>
      <c r="G71">
        <f t="shared" si="44"/>
        <v>2024</v>
      </c>
      <c r="H71" t="s">
        <v>667</v>
      </c>
      <c r="I71" s="4">
        <v>45658</v>
      </c>
      <c r="J71" s="8">
        <f t="shared" si="34"/>
        <v>5</v>
      </c>
      <c r="K71" s="8" t="str">
        <f t="shared" si="45"/>
        <v>OK</v>
      </c>
      <c r="L71" t="s">
        <v>668</v>
      </c>
      <c r="M71" t="s">
        <v>365</v>
      </c>
      <c r="N71" t="str">
        <f t="shared" si="35"/>
        <v>Kabir Singh</v>
      </c>
      <c r="O71" t="s">
        <v>107</v>
      </c>
      <c r="P71" t="str">
        <f t="shared" si="28"/>
        <v>Corporate</v>
      </c>
      <c r="Q71" t="s">
        <v>61</v>
      </c>
      <c r="R71" t="str">
        <f t="shared" si="58"/>
        <v>South</v>
      </c>
      <c r="S71" t="str">
        <f t="shared" si="46"/>
        <v>OK</v>
      </c>
      <c r="T71" t="s">
        <v>338</v>
      </c>
      <c r="U71" t="str">
        <f t="shared" si="37"/>
        <v>Tamil Nadu</v>
      </c>
      <c r="V71" t="s">
        <v>339</v>
      </c>
      <c r="W71" t="str">
        <f t="shared" si="38"/>
        <v>Chennai</v>
      </c>
      <c r="X71" t="str">
        <f t="shared" si="39"/>
        <v>Office Supplies</v>
      </c>
      <c r="Y71" t="s">
        <v>29</v>
      </c>
      <c r="Z71" t="s">
        <v>197</v>
      </c>
      <c r="AA71" t="str">
        <f t="shared" si="40"/>
        <v>Binders</v>
      </c>
      <c r="AB71" t="s">
        <v>669</v>
      </c>
      <c r="AC71" t="s">
        <v>47</v>
      </c>
      <c r="AD71" t="str">
        <f t="shared" si="31"/>
        <v>Same Day</v>
      </c>
      <c r="AE71" t="str">
        <f t="shared" si="47"/>
        <v>OK</v>
      </c>
      <c r="AF71">
        <v>2</v>
      </c>
      <c r="AG71">
        <v>446.34</v>
      </c>
      <c r="AH71">
        <v>0.15</v>
      </c>
      <c r="AI71">
        <f t="shared" si="48"/>
        <v>0.15</v>
      </c>
      <c r="AJ71" t="str">
        <f t="shared" si="49"/>
        <v>OK</v>
      </c>
      <c r="AK71">
        <v>758.78</v>
      </c>
      <c r="AL71">
        <v>490.74</v>
      </c>
      <c r="AM71">
        <v>268.04000000000002</v>
      </c>
      <c r="AN71" t="s">
        <v>33</v>
      </c>
      <c r="AO71" t="str">
        <f t="shared" si="41"/>
        <v>PAID</v>
      </c>
      <c r="AP71" t="str">
        <f t="shared" si="50"/>
        <v>OK</v>
      </c>
      <c r="AQ71" t="s">
        <v>77</v>
      </c>
      <c r="AR71" t="str">
        <f t="shared" si="42"/>
        <v>CANCELLED</v>
      </c>
      <c r="AS71" t="str">
        <f t="shared" si="51"/>
        <v>EXCLUDE_FROM_SALES</v>
      </c>
      <c r="AT71">
        <f t="shared" si="52"/>
        <v>758.77799999999991</v>
      </c>
      <c r="AU71">
        <f t="shared" si="53"/>
        <v>268.0379999999999</v>
      </c>
      <c r="AV71" s="6">
        <f t="shared" si="54"/>
        <v>1.5187446130488762</v>
      </c>
      <c r="AW71" t="str">
        <f t="shared" si="55"/>
        <v>CLEAN</v>
      </c>
      <c r="AX71" s="10" t="str">
        <f t="shared" si="56"/>
        <v>MATCH</v>
      </c>
      <c r="AY71" t="str">
        <f t="shared" si="57"/>
        <v>MATCH</v>
      </c>
    </row>
    <row r="72" spans="1:51">
      <c r="A72" t="s">
        <v>675</v>
      </c>
      <c r="B72">
        <f t="shared" si="32"/>
        <v>1</v>
      </c>
      <c r="C72" t="s">
        <v>676</v>
      </c>
      <c r="D72" s="3">
        <v>45337</v>
      </c>
      <c r="E72" t="str">
        <f t="shared" si="33"/>
        <v>2024/02/15</v>
      </c>
      <c r="F72" t="str">
        <f t="shared" si="43"/>
        <v>February</v>
      </c>
      <c r="G72">
        <f t="shared" si="44"/>
        <v>2024</v>
      </c>
      <c r="H72" t="s">
        <v>677</v>
      </c>
      <c r="I72" s="4">
        <v>45339</v>
      </c>
      <c r="J72" s="8">
        <f t="shared" si="34"/>
        <v>2</v>
      </c>
      <c r="K72" s="8" t="str">
        <f t="shared" si="45"/>
        <v>OK</v>
      </c>
      <c r="L72" t="s">
        <v>678</v>
      </c>
      <c r="M72" t="s">
        <v>39</v>
      </c>
      <c r="N72" t="str">
        <f t="shared" si="35"/>
        <v>Mira Das</v>
      </c>
      <c r="O72" t="s">
        <v>114</v>
      </c>
      <c r="P72" t="str">
        <f t="shared" si="28"/>
        <v>Home Office</v>
      </c>
      <c r="Q72" t="s">
        <v>61</v>
      </c>
      <c r="R72" t="str">
        <f t="shared" si="58"/>
        <v>South</v>
      </c>
      <c r="S72" t="str">
        <f t="shared" si="46"/>
        <v>OK</v>
      </c>
      <c r="T72" t="s">
        <v>338</v>
      </c>
      <c r="U72" t="str">
        <f t="shared" si="37"/>
        <v>Tamil Nadu</v>
      </c>
      <c r="V72" t="s">
        <v>339</v>
      </c>
      <c r="W72" t="str">
        <f t="shared" si="38"/>
        <v>Chennai</v>
      </c>
      <c r="X72" t="str">
        <f t="shared" si="39"/>
        <v>Technology</v>
      </c>
      <c r="Y72" t="s">
        <v>85</v>
      </c>
      <c r="Z72" t="s">
        <v>381</v>
      </c>
      <c r="AA72" t="str">
        <f t="shared" si="40"/>
        <v>Machines</v>
      </c>
      <c r="AB72" t="s">
        <v>679</v>
      </c>
      <c r="AC72" t="s">
        <v>66</v>
      </c>
      <c r="AD72" t="str">
        <f t="shared" si="31"/>
        <v>Standard Class</v>
      </c>
      <c r="AE72" t="str">
        <f t="shared" si="47"/>
        <v>OK</v>
      </c>
      <c r="AF72">
        <v>9</v>
      </c>
      <c r="AG72">
        <v>3324.55</v>
      </c>
      <c r="AH72" t="s">
        <v>680</v>
      </c>
      <c r="AI72">
        <f t="shared" si="48"/>
        <v>0.7</v>
      </c>
      <c r="AJ72" t="str">
        <f t="shared" si="49"/>
        <v>OK</v>
      </c>
      <c r="AK72">
        <v>25432.81</v>
      </c>
      <c r="AL72">
        <v>20370.16</v>
      </c>
      <c r="AM72">
        <v>5062.6499999999996</v>
      </c>
      <c r="AN72" t="s">
        <v>33</v>
      </c>
      <c r="AO72" t="str">
        <f t="shared" si="41"/>
        <v>PAID</v>
      </c>
      <c r="AP72" t="str">
        <f t="shared" si="50"/>
        <v>OK</v>
      </c>
      <c r="AQ72" t="s">
        <v>34</v>
      </c>
      <c r="AR72" t="str">
        <f t="shared" si="42"/>
        <v>COMPLETED</v>
      </c>
      <c r="AS72" t="str">
        <f t="shared" si="51"/>
        <v>OK</v>
      </c>
      <c r="AT72">
        <f t="shared" si="52"/>
        <v>8976.2850000000017</v>
      </c>
      <c r="AU72">
        <f t="shared" si="53"/>
        <v>-11393.874999999998</v>
      </c>
      <c r="AV72" s="6">
        <f t="shared" si="54"/>
        <v>0.48663645372222442</v>
      </c>
      <c r="AW72" t="str">
        <f t="shared" si="55"/>
        <v>CLEAN</v>
      </c>
      <c r="AX72" s="10" t="str">
        <f t="shared" si="56"/>
        <v>MISMATCH</v>
      </c>
      <c r="AY72" t="str">
        <f t="shared" si="57"/>
        <v>MISMATCH</v>
      </c>
    </row>
    <row r="73" spans="1:51">
      <c r="A73" t="s">
        <v>681</v>
      </c>
      <c r="B73">
        <f t="shared" si="32"/>
        <v>1</v>
      </c>
      <c r="C73" t="s">
        <v>682</v>
      </c>
      <c r="D73" s="3">
        <v>45571</v>
      </c>
      <c r="E73" t="str">
        <f t="shared" si="33"/>
        <v>2024/10/06</v>
      </c>
      <c r="F73" t="str">
        <f t="shared" si="43"/>
        <v>October</v>
      </c>
      <c r="G73">
        <f t="shared" si="44"/>
        <v>2024</v>
      </c>
      <c r="H73" t="s">
        <v>683</v>
      </c>
      <c r="I73" s="4">
        <v>45461</v>
      </c>
      <c r="J73" s="8">
        <f t="shared" si="34"/>
        <v>-110</v>
      </c>
      <c r="K73" s="8" t="str">
        <f t="shared" si="45"/>
        <v>INVAILD_SHIPPING</v>
      </c>
      <c r="L73" t="s">
        <v>684</v>
      </c>
      <c r="M73" t="s">
        <v>685</v>
      </c>
      <c r="N73" t="str">
        <f t="shared" si="35"/>
        <v>Vikram Iyer</v>
      </c>
      <c r="O73" t="s">
        <v>114</v>
      </c>
      <c r="P73" t="str">
        <f t="shared" ref="P73:P136" si="59">PROPER(TRIM(SUBSTITUTE(O73,CHAR(160)," ")))</f>
        <v>Home Office</v>
      </c>
      <c r="Q73" t="s">
        <v>61</v>
      </c>
      <c r="R73" t="str">
        <f t="shared" si="58"/>
        <v>South</v>
      </c>
      <c r="S73" t="str">
        <f t="shared" si="46"/>
        <v>OK</v>
      </c>
      <c r="T73" t="s">
        <v>99</v>
      </c>
      <c r="U73" t="str">
        <f t="shared" si="37"/>
        <v>Andhra Pradesh</v>
      </c>
      <c r="V73" t="s">
        <v>100</v>
      </c>
      <c r="W73" t="str">
        <f t="shared" si="38"/>
        <v>Vijayawada</v>
      </c>
      <c r="X73" t="str">
        <f t="shared" si="39"/>
        <v>Technology</v>
      </c>
      <c r="Y73" t="s">
        <v>85</v>
      </c>
      <c r="Z73" t="s">
        <v>93</v>
      </c>
      <c r="AA73" t="str">
        <f t="shared" si="40"/>
        <v>Copiers</v>
      </c>
      <c r="AB73" t="s">
        <v>686</v>
      </c>
      <c r="AC73" t="s">
        <v>47</v>
      </c>
      <c r="AD73" t="str">
        <f t="shared" si="31"/>
        <v>Same Day</v>
      </c>
      <c r="AE73" t="str">
        <f t="shared" si="47"/>
        <v>OK</v>
      </c>
      <c r="AF73">
        <v>5</v>
      </c>
      <c r="AG73">
        <v>1580.27</v>
      </c>
      <c r="AH73">
        <v>0.2</v>
      </c>
      <c r="AI73">
        <f t="shared" si="48"/>
        <v>0.2</v>
      </c>
      <c r="AJ73" t="str">
        <f t="shared" si="49"/>
        <v>OK</v>
      </c>
      <c r="AK73">
        <v>6321.08</v>
      </c>
      <c r="AL73">
        <v>4407.22</v>
      </c>
      <c r="AM73">
        <v>1913.86</v>
      </c>
      <c r="AN73" t="s">
        <v>33</v>
      </c>
      <c r="AO73" t="str">
        <f t="shared" si="41"/>
        <v>PAID</v>
      </c>
      <c r="AP73" t="str">
        <f t="shared" si="50"/>
        <v>OK</v>
      </c>
      <c r="AQ73" t="s">
        <v>34</v>
      </c>
      <c r="AR73" t="str">
        <f t="shared" si="42"/>
        <v>COMPLETED</v>
      </c>
      <c r="AS73" t="str">
        <f t="shared" si="51"/>
        <v>OK</v>
      </c>
      <c r="AT73">
        <f t="shared" si="52"/>
        <v>6321.0800000000008</v>
      </c>
      <c r="AU73">
        <f t="shared" si="53"/>
        <v>1913.8600000000006</v>
      </c>
      <c r="AV73" s="6">
        <f t="shared" si="54"/>
        <v>0.16387547697545357</v>
      </c>
      <c r="AW73" t="str">
        <f t="shared" si="55"/>
        <v>CLEAN</v>
      </c>
      <c r="AX73" s="10" t="str">
        <f t="shared" si="56"/>
        <v>MATCH</v>
      </c>
      <c r="AY73" t="str">
        <f t="shared" si="57"/>
        <v>MATCH</v>
      </c>
    </row>
    <row r="74" spans="1:51">
      <c r="A74" t="s">
        <v>687</v>
      </c>
      <c r="B74">
        <f t="shared" si="32"/>
        <v>1</v>
      </c>
      <c r="C74" t="s">
        <v>688</v>
      </c>
      <c r="D74" s="2">
        <v>45632</v>
      </c>
      <c r="E74" t="str">
        <f t="shared" si="33"/>
        <v>2024/12/06</v>
      </c>
      <c r="F74" t="str">
        <f t="shared" si="43"/>
        <v>December</v>
      </c>
      <c r="G74">
        <f t="shared" si="44"/>
        <v>2024</v>
      </c>
      <c r="H74" t="s">
        <v>689</v>
      </c>
      <c r="I74" s="4">
        <v>45462</v>
      </c>
      <c r="J74" s="8">
        <f t="shared" si="34"/>
        <v>-170</v>
      </c>
      <c r="K74" s="8" t="str">
        <f t="shared" si="45"/>
        <v>INVAILD_SHIPPING</v>
      </c>
      <c r="L74" t="s">
        <v>690</v>
      </c>
      <c r="M74" t="s">
        <v>106</v>
      </c>
      <c r="N74" t="str">
        <f t="shared" si="35"/>
        <v>Aditi Sen</v>
      </c>
      <c r="O74" t="s">
        <v>40</v>
      </c>
      <c r="P74" t="str">
        <f t="shared" si="59"/>
        <v>Small Business</v>
      </c>
      <c r="Q74" t="s">
        <v>61</v>
      </c>
      <c r="R74" t="str">
        <f t="shared" si="58"/>
        <v>South</v>
      </c>
      <c r="S74" t="str">
        <f t="shared" si="46"/>
        <v>OK</v>
      </c>
      <c r="T74" t="s">
        <v>241</v>
      </c>
      <c r="U74" t="str">
        <f t="shared" si="37"/>
        <v>Kerala</v>
      </c>
      <c r="V74" t="s">
        <v>242</v>
      </c>
      <c r="W74" t="str">
        <f t="shared" si="38"/>
        <v>Kochi</v>
      </c>
      <c r="X74" t="str">
        <f t="shared" si="39"/>
        <v>Furniture</v>
      </c>
      <c r="Y74" t="s">
        <v>44</v>
      </c>
      <c r="Z74" t="s">
        <v>75</v>
      </c>
      <c r="AA74" t="str">
        <f t="shared" si="40"/>
        <v>Chairs</v>
      </c>
      <c r="AB74" t="s">
        <v>691</v>
      </c>
      <c r="AC74" t="s">
        <v>66</v>
      </c>
      <c r="AD74" t="str">
        <f t="shared" si="31"/>
        <v>Standard Class</v>
      </c>
      <c r="AE74" t="str">
        <f t="shared" si="47"/>
        <v>OK</v>
      </c>
      <c r="AF74">
        <v>8</v>
      </c>
      <c r="AG74">
        <v>314.05</v>
      </c>
      <c r="AH74">
        <v>0.25</v>
      </c>
      <c r="AI74">
        <f t="shared" si="48"/>
        <v>0.25</v>
      </c>
      <c r="AJ74" t="str">
        <f t="shared" si="49"/>
        <v>OK</v>
      </c>
      <c r="AK74">
        <v>1884.3</v>
      </c>
      <c r="AL74">
        <v>1517.69</v>
      </c>
      <c r="AM74">
        <v>366.61</v>
      </c>
      <c r="AN74" t="s">
        <v>123</v>
      </c>
      <c r="AO74" t="str">
        <f t="shared" si="41"/>
        <v>REFUNDED</v>
      </c>
      <c r="AP74" t="str">
        <f t="shared" si="50"/>
        <v>REFUNDED_PAYMENT</v>
      </c>
      <c r="AQ74" t="s">
        <v>124</v>
      </c>
      <c r="AR74" t="str">
        <f t="shared" si="42"/>
        <v>RETURNED</v>
      </c>
      <c r="AS74" t="str">
        <f t="shared" si="51"/>
        <v>RETURNED_ORDER</v>
      </c>
      <c r="AT74">
        <f t="shared" si="52"/>
        <v>1884.3000000000002</v>
      </c>
      <c r="AU74">
        <f t="shared" si="53"/>
        <v>366.61000000000013</v>
      </c>
      <c r="AV74" s="6">
        <f t="shared" si="54"/>
        <v>2.2782213554104964</v>
      </c>
      <c r="AW74" t="str">
        <f t="shared" si="55"/>
        <v>CLEAN</v>
      </c>
      <c r="AX74" s="10" t="str">
        <f t="shared" si="56"/>
        <v>MATCH</v>
      </c>
      <c r="AY74" t="str">
        <f t="shared" si="57"/>
        <v>MATCH</v>
      </c>
    </row>
    <row r="75" spans="1:51">
      <c r="A75" t="s">
        <v>692</v>
      </c>
      <c r="B75">
        <f t="shared" si="32"/>
        <v>1</v>
      </c>
      <c r="C75" t="s">
        <v>502</v>
      </c>
      <c r="D75" s="3">
        <v>45573</v>
      </c>
      <c r="E75" t="str">
        <f t="shared" si="33"/>
        <v>2024/10/08</v>
      </c>
      <c r="F75" t="str">
        <f t="shared" si="43"/>
        <v>October</v>
      </c>
      <c r="G75">
        <f t="shared" si="44"/>
        <v>2024</v>
      </c>
      <c r="H75" t="s">
        <v>693</v>
      </c>
      <c r="I75" s="4">
        <v>45522</v>
      </c>
      <c r="J75" s="8">
        <f t="shared" si="34"/>
        <v>-51</v>
      </c>
      <c r="K75" s="8" t="str">
        <f t="shared" si="45"/>
        <v>INVAILD_SHIPPING</v>
      </c>
      <c r="L75" t="s">
        <v>694</v>
      </c>
      <c r="M75" t="s">
        <v>167</v>
      </c>
      <c r="N75" t="str">
        <f t="shared" si="35"/>
        <v>Sneha Kapoor</v>
      </c>
      <c r="O75" t="s">
        <v>40</v>
      </c>
      <c r="P75" t="str">
        <f t="shared" si="59"/>
        <v>Small Business</v>
      </c>
      <c r="Q75" t="s">
        <v>41</v>
      </c>
      <c r="R75" t="str">
        <f t="shared" si="58"/>
        <v>East</v>
      </c>
      <c r="S75" t="str">
        <f t="shared" si="46"/>
        <v>OK</v>
      </c>
      <c r="T75" t="s">
        <v>185</v>
      </c>
      <c r="U75" t="str">
        <f t="shared" si="37"/>
        <v>Bihar</v>
      </c>
      <c r="V75" t="s">
        <v>186</v>
      </c>
      <c r="W75" t="str">
        <f t="shared" si="38"/>
        <v>Patna</v>
      </c>
      <c r="X75" t="str">
        <f t="shared" si="39"/>
        <v>Technology</v>
      </c>
      <c r="Y75" t="s">
        <v>85</v>
      </c>
      <c r="Z75" t="s">
        <v>222</v>
      </c>
      <c r="AA75" t="str">
        <f t="shared" si="40"/>
        <v>Phones</v>
      </c>
      <c r="AB75" t="s">
        <v>695</v>
      </c>
      <c r="AC75" t="s">
        <v>66</v>
      </c>
      <c r="AD75" t="str">
        <f t="shared" si="31"/>
        <v>Standard Class</v>
      </c>
      <c r="AE75" t="str">
        <f t="shared" si="47"/>
        <v>OK</v>
      </c>
      <c r="AF75">
        <v>1</v>
      </c>
      <c r="AG75">
        <v>1823.67</v>
      </c>
      <c r="AH75">
        <v>0.2</v>
      </c>
      <c r="AI75">
        <f t="shared" si="48"/>
        <v>0.2</v>
      </c>
      <c r="AJ75" t="str">
        <f t="shared" si="49"/>
        <v>OK</v>
      </c>
      <c r="AK75">
        <v>1458.94</v>
      </c>
      <c r="AL75">
        <v>893.2</v>
      </c>
      <c r="AM75">
        <v>565.74</v>
      </c>
      <c r="AN75" t="s">
        <v>33</v>
      </c>
      <c r="AO75" t="str">
        <f t="shared" si="41"/>
        <v>PAID</v>
      </c>
      <c r="AP75" t="str">
        <f t="shared" si="50"/>
        <v>OK</v>
      </c>
      <c r="AQ75" t="s">
        <v>124</v>
      </c>
      <c r="AR75" t="str">
        <f t="shared" si="42"/>
        <v>RETURNED</v>
      </c>
      <c r="AS75" t="str">
        <f t="shared" si="51"/>
        <v>RETURNED_ORDER</v>
      </c>
      <c r="AT75">
        <f t="shared" si="52"/>
        <v>1458.9360000000001</v>
      </c>
      <c r="AU75">
        <f t="shared" si="53"/>
        <v>565.7360000000001</v>
      </c>
      <c r="AV75" s="6">
        <f t="shared" si="54"/>
        <v>0.23427209966715451</v>
      </c>
      <c r="AW75" t="str">
        <f t="shared" si="55"/>
        <v>CLEAN</v>
      </c>
      <c r="AX75" s="10" t="str">
        <f t="shared" si="56"/>
        <v>MATCH</v>
      </c>
      <c r="AY75" t="str">
        <f t="shared" si="57"/>
        <v>MATCH</v>
      </c>
    </row>
    <row r="76" spans="1:51">
      <c r="A76" t="s">
        <v>702</v>
      </c>
      <c r="B76">
        <f t="shared" si="32"/>
        <v>1</v>
      </c>
      <c r="C76" t="s">
        <v>703</v>
      </c>
      <c r="D76" s="3">
        <v>45626</v>
      </c>
      <c r="E76" t="str">
        <f t="shared" si="33"/>
        <v>2024/11/30</v>
      </c>
      <c r="F76" t="str">
        <f t="shared" si="43"/>
        <v>November</v>
      </c>
      <c r="G76">
        <f t="shared" si="44"/>
        <v>2024</v>
      </c>
      <c r="H76" t="s">
        <v>704</v>
      </c>
      <c r="I76" s="4">
        <v>45394</v>
      </c>
      <c r="J76" s="8">
        <f t="shared" si="34"/>
        <v>-232</v>
      </c>
      <c r="K76" s="8" t="str">
        <f t="shared" si="45"/>
        <v>INVAILD_SHIPPING</v>
      </c>
      <c r="L76" t="s">
        <v>705</v>
      </c>
      <c r="M76" t="s">
        <v>71</v>
      </c>
      <c r="N76" t="str">
        <f t="shared" si="35"/>
        <v>Ananya Rao</v>
      </c>
      <c r="O76" t="s">
        <v>40</v>
      </c>
      <c r="P76" t="str">
        <f t="shared" si="59"/>
        <v>Small Business</v>
      </c>
      <c r="Q76" t="s">
        <v>41</v>
      </c>
      <c r="R76" t="str">
        <f t="shared" si="58"/>
        <v>East</v>
      </c>
      <c r="S76" t="str">
        <f t="shared" si="46"/>
        <v>OK</v>
      </c>
      <c r="T76" t="s">
        <v>215</v>
      </c>
      <c r="U76" t="str">
        <f t="shared" si="37"/>
        <v>Assam</v>
      </c>
      <c r="V76" t="s">
        <v>216</v>
      </c>
      <c r="W76" t="str">
        <f t="shared" si="38"/>
        <v>Guwahati</v>
      </c>
      <c r="X76" t="str">
        <f t="shared" si="39"/>
        <v>Furniture</v>
      </c>
      <c r="Y76" t="s">
        <v>44</v>
      </c>
      <c r="Z76" t="s">
        <v>75</v>
      </c>
      <c r="AA76" t="str">
        <f t="shared" si="40"/>
        <v>Chairs</v>
      </c>
      <c r="AB76" t="s">
        <v>706</v>
      </c>
      <c r="AC76" t="s">
        <v>32</v>
      </c>
      <c r="AD76" t="str">
        <f t="shared" si="31"/>
        <v>Second Class</v>
      </c>
      <c r="AE76" t="str">
        <f t="shared" si="47"/>
        <v>OK</v>
      </c>
      <c r="AF76">
        <v>3</v>
      </c>
      <c r="AG76">
        <v>170.35</v>
      </c>
      <c r="AH76">
        <v>0</v>
      </c>
      <c r="AI76">
        <f t="shared" si="48"/>
        <v>0</v>
      </c>
      <c r="AJ76" t="str">
        <f t="shared" si="49"/>
        <v>OK</v>
      </c>
      <c r="AK76">
        <v>511.05</v>
      </c>
      <c r="AL76">
        <v>367.18</v>
      </c>
      <c r="AM76">
        <v>143.87</v>
      </c>
      <c r="AN76" t="s">
        <v>33</v>
      </c>
      <c r="AO76" t="str">
        <f t="shared" si="41"/>
        <v>PAID</v>
      </c>
      <c r="AP76" t="str">
        <f t="shared" si="50"/>
        <v>OK</v>
      </c>
      <c r="AQ76" t="s">
        <v>34</v>
      </c>
      <c r="AR76" t="str">
        <f t="shared" si="42"/>
        <v>COMPLETED</v>
      </c>
      <c r="AS76" t="str">
        <f t="shared" si="51"/>
        <v>OK</v>
      </c>
      <c r="AT76">
        <f t="shared" si="52"/>
        <v>511.04999999999995</v>
      </c>
      <c r="AU76">
        <f t="shared" si="53"/>
        <v>143.86999999999995</v>
      </c>
      <c r="AV76" s="6">
        <f t="shared" si="54"/>
        <v>4.6224244203111242</v>
      </c>
      <c r="AW76" t="str">
        <f t="shared" si="55"/>
        <v>CLEAN</v>
      </c>
      <c r="AX76" s="10" t="str">
        <f t="shared" si="56"/>
        <v>MATCH</v>
      </c>
      <c r="AY76" t="str">
        <f t="shared" si="57"/>
        <v>MATCH</v>
      </c>
    </row>
    <row r="77" spans="1:51">
      <c r="A77" t="s">
        <v>707</v>
      </c>
      <c r="B77">
        <f t="shared" si="32"/>
        <v>3</v>
      </c>
      <c r="C77" t="s">
        <v>708</v>
      </c>
      <c r="D77" s="3">
        <v>45436</v>
      </c>
      <c r="E77" t="str">
        <f t="shared" si="33"/>
        <v>2024/05/24</v>
      </c>
      <c r="F77" t="str">
        <f t="shared" si="43"/>
        <v>May</v>
      </c>
      <c r="G77">
        <f t="shared" si="44"/>
        <v>2024</v>
      </c>
      <c r="H77" t="s">
        <v>709</v>
      </c>
      <c r="I77" s="4">
        <v>45437</v>
      </c>
      <c r="J77" s="8">
        <f t="shared" si="34"/>
        <v>1</v>
      </c>
      <c r="K77" s="8" t="str">
        <f t="shared" si="45"/>
        <v>OK</v>
      </c>
      <c r="L77" t="s">
        <v>710</v>
      </c>
      <c r="M77" t="s">
        <v>167</v>
      </c>
      <c r="N77" t="str">
        <f t="shared" si="35"/>
        <v>Sneha Kapoor</v>
      </c>
      <c r="O77" t="s">
        <v>40</v>
      </c>
      <c r="P77" t="str">
        <f t="shared" si="59"/>
        <v>Small Business</v>
      </c>
      <c r="Q77" t="s">
        <v>711</v>
      </c>
      <c r="R77" t="str">
        <f t="shared" si="58"/>
        <v>North</v>
      </c>
      <c r="S77" t="str">
        <f t="shared" si="46"/>
        <v>OK</v>
      </c>
      <c r="T77" t="s">
        <v>153</v>
      </c>
      <c r="U77" t="str">
        <f t="shared" si="37"/>
        <v>Punjab</v>
      </c>
      <c r="V77" t="s">
        <v>154</v>
      </c>
      <c r="W77" t="str">
        <f t="shared" si="38"/>
        <v>Ludhiana</v>
      </c>
      <c r="X77" t="str">
        <f t="shared" si="39"/>
        <v>Technology</v>
      </c>
      <c r="Y77" t="s">
        <v>85</v>
      </c>
      <c r="Z77" t="s">
        <v>93</v>
      </c>
      <c r="AA77" t="str">
        <f t="shared" si="40"/>
        <v>Copiers</v>
      </c>
      <c r="AB77" t="s">
        <v>712</v>
      </c>
      <c r="AC77" t="s">
        <v>47</v>
      </c>
      <c r="AD77" t="str">
        <f t="shared" si="31"/>
        <v>Same Day</v>
      </c>
      <c r="AE77" t="str">
        <f t="shared" si="47"/>
        <v>OK</v>
      </c>
      <c r="AF77">
        <v>1</v>
      </c>
      <c r="AG77">
        <v>634.13</v>
      </c>
      <c r="AH77">
        <v>0</v>
      </c>
      <c r="AI77">
        <f t="shared" si="48"/>
        <v>0</v>
      </c>
      <c r="AJ77" t="str">
        <f t="shared" si="49"/>
        <v>OK</v>
      </c>
      <c r="AK77">
        <v>634.13</v>
      </c>
      <c r="AL77">
        <v>453.35</v>
      </c>
      <c r="AM77">
        <v>180.78</v>
      </c>
      <c r="AN77" t="s">
        <v>123</v>
      </c>
      <c r="AO77" t="str">
        <f t="shared" si="41"/>
        <v>REFUNDED</v>
      </c>
      <c r="AP77" t="str">
        <f t="shared" si="50"/>
        <v>REFUNDED_PAYMENT</v>
      </c>
      <c r="AQ77" t="s">
        <v>77</v>
      </c>
      <c r="AR77" t="str">
        <f t="shared" si="42"/>
        <v>CANCELLED</v>
      </c>
      <c r="AS77" t="str">
        <f t="shared" si="51"/>
        <v>EXCLUDE_FROM_SALES</v>
      </c>
      <c r="AT77">
        <f t="shared" si="52"/>
        <v>634.13</v>
      </c>
      <c r="AU77">
        <f t="shared" si="53"/>
        <v>180.77999999999997</v>
      </c>
      <c r="AV77" s="6">
        <f t="shared" si="54"/>
        <v>2.3573494393893997</v>
      </c>
      <c r="AW77" t="str">
        <f t="shared" si="55"/>
        <v>CLEAN</v>
      </c>
      <c r="AX77" s="10" t="str">
        <f t="shared" si="56"/>
        <v>MATCH</v>
      </c>
      <c r="AY77" t="str">
        <f t="shared" si="57"/>
        <v>MATCH</v>
      </c>
    </row>
    <row r="78" spans="1:51">
      <c r="A78" t="s">
        <v>707</v>
      </c>
      <c r="B78">
        <f t="shared" si="32"/>
        <v>3</v>
      </c>
      <c r="C78" t="s">
        <v>708</v>
      </c>
      <c r="D78" s="3">
        <v>45436</v>
      </c>
      <c r="E78" t="str">
        <f t="shared" si="33"/>
        <v>2024/05/24</v>
      </c>
      <c r="F78" t="str">
        <f t="shared" si="43"/>
        <v>May</v>
      </c>
      <c r="G78">
        <f t="shared" si="44"/>
        <v>2024</v>
      </c>
      <c r="H78" t="s">
        <v>709</v>
      </c>
      <c r="I78" s="4">
        <v>45437</v>
      </c>
      <c r="J78" s="8">
        <f t="shared" si="34"/>
        <v>1</v>
      </c>
      <c r="K78" s="8" t="str">
        <f t="shared" si="45"/>
        <v>OK</v>
      </c>
      <c r="L78" t="s">
        <v>710</v>
      </c>
      <c r="M78" t="s">
        <v>167</v>
      </c>
      <c r="N78" t="str">
        <f t="shared" si="35"/>
        <v>Sneha Kapoor</v>
      </c>
      <c r="O78" t="s">
        <v>40</v>
      </c>
      <c r="P78" t="str">
        <f t="shared" si="59"/>
        <v>Small Business</v>
      </c>
      <c r="Q78" t="s">
        <v>711</v>
      </c>
      <c r="R78" t="str">
        <f t="shared" si="58"/>
        <v>North</v>
      </c>
      <c r="S78" t="str">
        <f t="shared" si="46"/>
        <v>OK</v>
      </c>
      <c r="T78" t="s">
        <v>153</v>
      </c>
      <c r="U78" t="str">
        <f t="shared" si="37"/>
        <v>Punjab</v>
      </c>
      <c r="V78" t="s">
        <v>154</v>
      </c>
      <c r="W78" t="str">
        <f t="shared" si="38"/>
        <v>Ludhiana</v>
      </c>
      <c r="X78" t="str">
        <f t="shared" si="39"/>
        <v>Technology</v>
      </c>
      <c r="Y78" t="s">
        <v>85</v>
      </c>
      <c r="Z78" t="s">
        <v>93</v>
      </c>
      <c r="AA78" t="str">
        <f t="shared" si="40"/>
        <v>Copiers</v>
      </c>
      <c r="AB78" t="s">
        <v>712</v>
      </c>
      <c r="AC78" t="s">
        <v>47</v>
      </c>
      <c r="AD78" t="str">
        <f t="shared" si="31"/>
        <v>Same Day</v>
      </c>
      <c r="AE78" t="str">
        <f t="shared" si="47"/>
        <v>OK</v>
      </c>
      <c r="AF78">
        <v>1</v>
      </c>
      <c r="AG78">
        <v>634.13</v>
      </c>
      <c r="AH78">
        <v>0</v>
      </c>
      <c r="AI78">
        <f t="shared" si="48"/>
        <v>0</v>
      </c>
      <c r="AJ78" t="str">
        <f t="shared" si="49"/>
        <v>OK</v>
      </c>
      <c r="AK78">
        <v>634.13</v>
      </c>
      <c r="AL78">
        <v>453.35</v>
      </c>
      <c r="AM78">
        <v>180.78</v>
      </c>
      <c r="AN78" t="s">
        <v>123</v>
      </c>
      <c r="AO78" t="str">
        <f t="shared" si="41"/>
        <v>REFUNDED</v>
      </c>
      <c r="AP78" t="str">
        <f t="shared" si="50"/>
        <v>REFUNDED_PAYMENT</v>
      </c>
      <c r="AQ78" t="s">
        <v>77</v>
      </c>
      <c r="AR78" t="str">
        <f t="shared" si="42"/>
        <v>CANCELLED</v>
      </c>
      <c r="AS78" t="str">
        <f t="shared" si="51"/>
        <v>EXCLUDE_FROM_SALES</v>
      </c>
      <c r="AT78">
        <f t="shared" si="52"/>
        <v>634.13</v>
      </c>
      <c r="AU78">
        <f t="shared" si="53"/>
        <v>180.77999999999997</v>
      </c>
      <c r="AV78" s="6">
        <f t="shared" si="54"/>
        <v>1.0809644710075221</v>
      </c>
      <c r="AW78" t="str">
        <f t="shared" si="55"/>
        <v>CLEAN</v>
      </c>
      <c r="AX78" s="10" t="str">
        <f t="shared" si="56"/>
        <v>MATCH</v>
      </c>
      <c r="AY78" t="str">
        <f t="shared" si="57"/>
        <v>MATCH</v>
      </c>
    </row>
    <row r="79" spans="1:51">
      <c r="A79" t="s">
        <v>707</v>
      </c>
      <c r="B79">
        <f t="shared" si="32"/>
        <v>3</v>
      </c>
      <c r="C79" t="s">
        <v>708</v>
      </c>
      <c r="D79" s="3">
        <v>45436</v>
      </c>
      <c r="E79" t="str">
        <f t="shared" si="33"/>
        <v>2024/05/24</v>
      </c>
      <c r="F79" t="str">
        <f t="shared" si="43"/>
        <v>May</v>
      </c>
      <c r="G79">
        <f t="shared" si="44"/>
        <v>2024</v>
      </c>
      <c r="H79" t="s">
        <v>709</v>
      </c>
      <c r="I79" s="4">
        <v>45437</v>
      </c>
      <c r="J79" s="8">
        <f t="shared" si="34"/>
        <v>1</v>
      </c>
      <c r="K79" s="8" t="str">
        <f t="shared" si="45"/>
        <v>OK</v>
      </c>
      <c r="L79" t="s">
        <v>710</v>
      </c>
      <c r="M79" t="s">
        <v>167</v>
      </c>
      <c r="N79" t="str">
        <f t="shared" si="35"/>
        <v>Sneha Kapoor</v>
      </c>
      <c r="O79" t="s">
        <v>40</v>
      </c>
      <c r="P79" t="str">
        <f t="shared" si="59"/>
        <v>Small Business</v>
      </c>
      <c r="Q79" t="s">
        <v>711</v>
      </c>
      <c r="R79" t="str">
        <f t="shared" si="58"/>
        <v>North</v>
      </c>
      <c r="S79" t="str">
        <f t="shared" si="46"/>
        <v>OK</v>
      </c>
      <c r="T79" t="s">
        <v>153</v>
      </c>
      <c r="U79" t="str">
        <f t="shared" si="37"/>
        <v>Punjab</v>
      </c>
      <c r="V79" t="s">
        <v>154</v>
      </c>
      <c r="W79" t="str">
        <f t="shared" si="38"/>
        <v>Ludhiana</v>
      </c>
      <c r="X79" t="str">
        <f t="shared" si="39"/>
        <v>Technology</v>
      </c>
      <c r="Y79" t="s">
        <v>85</v>
      </c>
      <c r="Z79" t="s">
        <v>93</v>
      </c>
      <c r="AA79" t="str">
        <f t="shared" si="40"/>
        <v>Copiers</v>
      </c>
      <c r="AB79" t="s">
        <v>712</v>
      </c>
      <c r="AC79" t="s">
        <v>47</v>
      </c>
      <c r="AD79" t="str">
        <f t="shared" si="31"/>
        <v>Same Day</v>
      </c>
      <c r="AE79" t="str">
        <f t="shared" si="47"/>
        <v>OK</v>
      </c>
      <c r="AF79">
        <v>1</v>
      </c>
      <c r="AG79">
        <v>634.13</v>
      </c>
      <c r="AH79">
        <v>0</v>
      </c>
      <c r="AI79">
        <f t="shared" si="48"/>
        <v>0</v>
      </c>
      <c r="AJ79" t="str">
        <f t="shared" si="49"/>
        <v>OK</v>
      </c>
      <c r="AK79">
        <v>808.67</v>
      </c>
      <c r="AL79">
        <v>453.35</v>
      </c>
      <c r="AM79">
        <v>180.78</v>
      </c>
      <c r="AN79" t="s">
        <v>123</v>
      </c>
      <c r="AO79" t="str">
        <f t="shared" si="41"/>
        <v>REFUNDED</v>
      </c>
      <c r="AP79" t="str">
        <f t="shared" si="50"/>
        <v>REFUNDED_PAYMENT</v>
      </c>
      <c r="AQ79" t="s">
        <v>124</v>
      </c>
      <c r="AR79" t="str">
        <f t="shared" si="42"/>
        <v>RETURNED</v>
      </c>
      <c r="AS79" t="str">
        <f t="shared" si="51"/>
        <v>RETURNED_ORDER</v>
      </c>
      <c r="AT79">
        <f t="shared" si="52"/>
        <v>634.13</v>
      </c>
      <c r="AU79">
        <f t="shared" si="53"/>
        <v>180.77999999999997</v>
      </c>
      <c r="AV79" s="6">
        <f t="shared" si="54"/>
        <v>1.3707630927412355</v>
      </c>
      <c r="AW79" t="str">
        <f t="shared" si="55"/>
        <v>CLEAN</v>
      </c>
      <c r="AX79" s="10" t="str">
        <f t="shared" si="56"/>
        <v>MISMATCH</v>
      </c>
      <c r="AY79" t="str">
        <f t="shared" si="57"/>
        <v>MATCH</v>
      </c>
    </row>
    <row r="80" spans="1:51">
      <c r="A80" t="s">
        <v>713</v>
      </c>
      <c r="B80">
        <f t="shared" si="32"/>
        <v>1</v>
      </c>
      <c r="C80" t="s">
        <v>21</v>
      </c>
      <c r="D80" s="2">
        <v>45494</v>
      </c>
      <c r="E80" t="str">
        <f t="shared" si="33"/>
        <v>2024/07/21</v>
      </c>
      <c r="F80" t="str">
        <f t="shared" si="43"/>
        <v>July</v>
      </c>
      <c r="G80">
        <f t="shared" si="44"/>
        <v>2024</v>
      </c>
      <c r="H80" t="s">
        <v>714</v>
      </c>
      <c r="I80" s="4">
        <v>45497</v>
      </c>
      <c r="J80" s="8">
        <f t="shared" si="34"/>
        <v>3</v>
      </c>
      <c r="K80" s="8" t="str">
        <f t="shared" si="45"/>
        <v>OK</v>
      </c>
      <c r="L80" t="s">
        <v>715</v>
      </c>
      <c r="M80" t="s">
        <v>52</v>
      </c>
      <c r="N80" t="str">
        <f t="shared" si="35"/>
        <v>Isha Nair</v>
      </c>
      <c r="O80" t="s">
        <v>107</v>
      </c>
      <c r="P80" t="str">
        <f t="shared" si="59"/>
        <v>Corporate</v>
      </c>
      <c r="Q80" t="s">
        <v>61</v>
      </c>
      <c r="R80" t="str">
        <f t="shared" si="58"/>
        <v>South</v>
      </c>
      <c r="S80" t="str">
        <f t="shared" si="46"/>
        <v>OK</v>
      </c>
      <c r="T80" t="s">
        <v>228</v>
      </c>
      <c r="U80" t="str">
        <f t="shared" si="37"/>
        <v>Karnataka</v>
      </c>
      <c r="V80" t="s">
        <v>229</v>
      </c>
      <c r="W80" t="str">
        <f t="shared" si="38"/>
        <v>Bengaluru</v>
      </c>
      <c r="X80" t="str">
        <f t="shared" si="39"/>
        <v>Technology</v>
      </c>
      <c r="Y80" t="s">
        <v>85</v>
      </c>
      <c r="Z80" t="s">
        <v>93</v>
      </c>
      <c r="AA80" t="str">
        <f t="shared" si="40"/>
        <v>Copiers</v>
      </c>
      <c r="AB80" t="s">
        <v>716</v>
      </c>
      <c r="AC80" t="s">
        <v>66</v>
      </c>
      <c r="AD80" t="str">
        <f t="shared" si="31"/>
        <v>Standard Class</v>
      </c>
      <c r="AE80" t="str">
        <f t="shared" si="47"/>
        <v>OK</v>
      </c>
      <c r="AF80">
        <v>9</v>
      </c>
      <c r="AG80">
        <v>465.06</v>
      </c>
      <c r="AH80">
        <v>-0.15</v>
      </c>
      <c r="AI80">
        <f t="shared" si="48"/>
        <v>-0.15</v>
      </c>
      <c r="AJ80" t="str">
        <f t="shared" si="49"/>
        <v>Invalid Negative Discount</v>
      </c>
      <c r="AK80">
        <v>4185.54</v>
      </c>
      <c r="AL80">
        <v>3443.74</v>
      </c>
      <c r="AM80">
        <v>741.8</v>
      </c>
      <c r="AN80" t="s">
        <v>33</v>
      </c>
      <c r="AO80" t="str">
        <f t="shared" si="41"/>
        <v>PAID</v>
      </c>
      <c r="AP80" t="str">
        <f t="shared" si="50"/>
        <v>OK</v>
      </c>
      <c r="AQ80" t="s">
        <v>34</v>
      </c>
      <c r="AR80" t="str">
        <f t="shared" si="42"/>
        <v>COMPLETED</v>
      </c>
      <c r="AS80" t="str">
        <f t="shared" si="51"/>
        <v>OK</v>
      </c>
      <c r="AT80" t="str">
        <f t="shared" si="52"/>
        <v>INVAILD</v>
      </c>
      <c r="AU80" t="str">
        <f t="shared" si="53"/>
        <v>INVAILD</v>
      </c>
      <c r="AW80" t="str">
        <f t="shared" si="55"/>
        <v>INVALID</v>
      </c>
      <c r="AX80" s="10" t="s">
        <v>4116</v>
      </c>
      <c r="AY80" t="s">
        <v>4116</v>
      </c>
    </row>
    <row r="81" spans="1:51">
      <c r="A81" t="s">
        <v>731</v>
      </c>
      <c r="B81">
        <f t="shared" si="32"/>
        <v>1</v>
      </c>
      <c r="C81" t="s">
        <v>732</v>
      </c>
      <c r="D81" s="2">
        <v>45639</v>
      </c>
      <c r="E81" t="str">
        <f t="shared" si="33"/>
        <v>2024/12/13</v>
      </c>
      <c r="F81" t="str">
        <f t="shared" si="43"/>
        <v>December</v>
      </c>
      <c r="G81">
        <f t="shared" si="44"/>
        <v>2024</v>
      </c>
      <c r="H81" t="s">
        <v>733</v>
      </c>
      <c r="I81" s="4">
        <v>45642</v>
      </c>
      <c r="J81" s="8">
        <f t="shared" si="34"/>
        <v>3</v>
      </c>
      <c r="K81" s="8" t="str">
        <f t="shared" si="45"/>
        <v>OK</v>
      </c>
      <c r="L81" t="s">
        <v>734</v>
      </c>
      <c r="M81" t="s">
        <v>92</v>
      </c>
      <c r="N81" t="str">
        <f t="shared" si="35"/>
        <v>Neha Gupta</v>
      </c>
      <c r="O81" t="s">
        <v>40</v>
      </c>
      <c r="P81" t="str">
        <f t="shared" si="59"/>
        <v>Small Business</v>
      </c>
      <c r="Q81" t="s">
        <v>41</v>
      </c>
      <c r="R81" t="str">
        <f t="shared" si="58"/>
        <v>East</v>
      </c>
      <c r="S81" t="str">
        <f t="shared" si="46"/>
        <v>OK</v>
      </c>
      <c r="T81" t="s">
        <v>42</v>
      </c>
      <c r="U81" t="str">
        <f t="shared" si="37"/>
        <v>Odisha</v>
      </c>
      <c r="V81" t="s">
        <v>43</v>
      </c>
      <c r="W81" t="str">
        <f t="shared" si="38"/>
        <v>Bhubaneswar</v>
      </c>
      <c r="X81" t="str">
        <f t="shared" si="39"/>
        <v>Furniture</v>
      </c>
      <c r="Y81" t="s">
        <v>44</v>
      </c>
      <c r="Z81" t="s">
        <v>64</v>
      </c>
      <c r="AA81" t="str">
        <f t="shared" si="40"/>
        <v>Furnishings</v>
      </c>
      <c r="AB81" t="s">
        <v>735</v>
      </c>
      <c r="AC81" t="s">
        <v>66</v>
      </c>
      <c r="AD81" t="str">
        <f t="shared" si="31"/>
        <v>Standard Class</v>
      </c>
      <c r="AE81" t="str">
        <f t="shared" si="47"/>
        <v>OK</v>
      </c>
      <c r="AF81">
        <v>5</v>
      </c>
      <c r="AG81">
        <v>923.45</v>
      </c>
      <c r="AH81">
        <v>0.05</v>
      </c>
      <c r="AI81">
        <f t="shared" si="48"/>
        <v>0.05</v>
      </c>
      <c r="AJ81" t="str">
        <f t="shared" si="49"/>
        <v>OK</v>
      </c>
      <c r="AK81">
        <v>4386.3900000000003</v>
      </c>
      <c r="AL81">
        <v>3366.88</v>
      </c>
      <c r="AM81">
        <v>1019.51</v>
      </c>
      <c r="AN81" t="s">
        <v>33</v>
      </c>
      <c r="AO81" t="str">
        <f t="shared" si="41"/>
        <v>PAID</v>
      </c>
      <c r="AP81" t="str">
        <f t="shared" si="50"/>
        <v>OK</v>
      </c>
      <c r="AQ81" t="s">
        <v>124</v>
      </c>
      <c r="AR81" t="str">
        <f t="shared" si="42"/>
        <v>RETURNED</v>
      </c>
      <c r="AS81" t="str">
        <f t="shared" si="51"/>
        <v>RETURNED_ORDER</v>
      </c>
      <c r="AT81">
        <f t="shared" si="52"/>
        <v>4386.3874999999998</v>
      </c>
      <c r="AU81">
        <f t="shared" si="53"/>
        <v>1019.5074999999997</v>
      </c>
      <c r="AV81" s="6">
        <f t="shared" si="54"/>
        <v>2.1334891183234501</v>
      </c>
      <c r="AW81" t="str">
        <f t="shared" si="55"/>
        <v>CLEAN</v>
      </c>
      <c r="AX81" s="10" t="str">
        <f t="shared" si="56"/>
        <v>MATCH</v>
      </c>
      <c r="AY81" t="str">
        <f t="shared" si="57"/>
        <v>MATCH</v>
      </c>
    </row>
    <row r="82" spans="1:51">
      <c r="A82" t="s">
        <v>736</v>
      </c>
      <c r="B82">
        <f t="shared" si="32"/>
        <v>1</v>
      </c>
      <c r="C82" t="s">
        <v>405</v>
      </c>
      <c r="D82" s="3">
        <v>45492</v>
      </c>
      <c r="E82" t="str">
        <f t="shared" si="33"/>
        <v>2024/07/19</v>
      </c>
      <c r="F82" t="str">
        <f t="shared" si="43"/>
        <v>July</v>
      </c>
      <c r="G82">
        <f t="shared" si="44"/>
        <v>2024</v>
      </c>
      <c r="H82" t="s">
        <v>737</v>
      </c>
      <c r="I82" s="4">
        <v>45498</v>
      </c>
      <c r="J82" s="8">
        <f t="shared" si="34"/>
        <v>6</v>
      </c>
      <c r="K82" s="8" t="str">
        <f t="shared" si="45"/>
        <v>OK</v>
      </c>
      <c r="L82" t="s">
        <v>738</v>
      </c>
      <c r="M82" t="s">
        <v>52</v>
      </c>
      <c r="N82" t="str">
        <f t="shared" si="35"/>
        <v>Isha Nair</v>
      </c>
      <c r="O82" t="s">
        <v>40</v>
      </c>
      <c r="P82" t="str">
        <f t="shared" si="59"/>
        <v>Small Business</v>
      </c>
      <c r="Q82" t="s">
        <v>72</v>
      </c>
      <c r="R82" t="str">
        <f t="shared" si="58"/>
        <v>West</v>
      </c>
      <c r="S82" t="str">
        <f t="shared" si="46"/>
        <v>OK</v>
      </c>
      <c r="T82" t="s">
        <v>248</v>
      </c>
      <c r="U82" t="str">
        <f t="shared" si="37"/>
        <v>Goa</v>
      </c>
      <c r="V82" t="s">
        <v>249</v>
      </c>
      <c r="W82" t="str">
        <f t="shared" si="38"/>
        <v>Panaji</v>
      </c>
      <c r="X82" t="str">
        <f t="shared" si="39"/>
        <v>Office Supplies</v>
      </c>
      <c r="Y82" t="s">
        <v>29</v>
      </c>
      <c r="Z82" t="s">
        <v>197</v>
      </c>
      <c r="AA82" t="str">
        <f t="shared" si="40"/>
        <v>Binders</v>
      </c>
      <c r="AB82" t="s">
        <v>739</v>
      </c>
      <c r="AC82" t="s">
        <v>66</v>
      </c>
      <c r="AD82" t="str">
        <f t="shared" si="31"/>
        <v>Standard Class</v>
      </c>
      <c r="AE82" t="str">
        <f t="shared" si="47"/>
        <v>OK</v>
      </c>
      <c r="AF82">
        <v>7</v>
      </c>
      <c r="AG82">
        <v>2741.29</v>
      </c>
      <c r="AH82">
        <v>0.05</v>
      </c>
      <c r="AI82">
        <f t="shared" si="48"/>
        <v>0.05</v>
      </c>
      <c r="AJ82" t="str">
        <f t="shared" si="49"/>
        <v>OK</v>
      </c>
      <c r="AK82">
        <v>18229.580000000002</v>
      </c>
      <c r="AL82">
        <v>15139.15</v>
      </c>
      <c r="AM82">
        <v>3090.43</v>
      </c>
      <c r="AN82" t="s">
        <v>33</v>
      </c>
      <c r="AO82" t="str">
        <f t="shared" si="41"/>
        <v>PAID</v>
      </c>
      <c r="AP82" t="str">
        <f t="shared" si="50"/>
        <v>OK</v>
      </c>
      <c r="AQ82" t="s">
        <v>34</v>
      </c>
      <c r="AR82" t="str">
        <f t="shared" si="42"/>
        <v>COMPLETED</v>
      </c>
      <c r="AS82" t="str">
        <f t="shared" si="51"/>
        <v>OK</v>
      </c>
      <c r="AT82">
        <f t="shared" si="52"/>
        <v>18229.5785</v>
      </c>
      <c r="AU82">
        <f t="shared" si="53"/>
        <v>3090.4285</v>
      </c>
      <c r="AV82" s="6">
        <f t="shared" si="54"/>
        <v>0.20834546448783769</v>
      </c>
      <c r="AW82" t="str">
        <f t="shared" si="55"/>
        <v>CLEAN</v>
      </c>
      <c r="AX82" s="10" t="str">
        <f t="shared" si="56"/>
        <v>MATCH</v>
      </c>
      <c r="AY82" t="str">
        <f t="shared" si="57"/>
        <v>MATCH</v>
      </c>
    </row>
    <row r="83" spans="1:51">
      <c r="A83" t="s">
        <v>740</v>
      </c>
      <c r="B83">
        <f t="shared" si="32"/>
        <v>1</v>
      </c>
      <c r="C83" t="s">
        <v>741</v>
      </c>
      <c r="D83" s="3">
        <v>45318</v>
      </c>
      <c r="E83" t="str">
        <f t="shared" si="33"/>
        <v>2024/01/27</v>
      </c>
      <c r="F83" t="str">
        <f t="shared" si="43"/>
        <v>January</v>
      </c>
      <c r="G83">
        <f t="shared" si="44"/>
        <v>2024</v>
      </c>
      <c r="H83" t="s">
        <v>742</v>
      </c>
      <c r="I83" s="4">
        <v>45324</v>
      </c>
      <c r="J83" s="8">
        <f t="shared" si="34"/>
        <v>6</v>
      </c>
      <c r="K83" s="8" t="str">
        <f t="shared" si="45"/>
        <v>OK</v>
      </c>
      <c r="L83" t="s">
        <v>743</v>
      </c>
      <c r="M83" t="s">
        <v>60</v>
      </c>
      <c r="N83" t="str">
        <f t="shared" si="35"/>
        <v>Arjun Bose</v>
      </c>
      <c r="O83" t="s">
        <v>25</v>
      </c>
      <c r="P83" t="str">
        <f t="shared" si="59"/>
        <v>Consumer</v>
      </c>
      <c r="Q83" t="s">
        <v>72</v>
      </c>
      <c r="R83" t="str">
        <f t="shared" si="58"/>
        <v>West</v>
      </c>
      <c r="S83" t="str">
        <f t="shared" si="46"/>
        <v>OK</v>
      </c>
      <c r="T83" t="s">
        <v>234</v>
      </c>
      <c r="U83" t="str">
        <f t="shared" si="37"/>
        <v>Gujarat</v>
      </c>
      <c r="V83" t="s">
        <v>235</v>
      </c>
      <c r="W83" t="str">
        <f t="shared" si="38"/>
        <v>Ahmedabad</v>
      </c>
      <c r="X83" t="str">
        <f t="shared" si="39"/>
        <v>Office Supplies</v>
      </c>
      <c r="Y83" t="s">
        <v>29</v>
      </c>
      <c r="Z83" t="s">
        <v>108</v>
      </c>
      <c r="AA83" t="str">
        <f t="shared" si="40"/>
        <v>Labels</v>
      </c>
      <c r="AB83" t="s">
        <v>744</v>
      </c>
      <c r="AC83" t="s">
        <v>47</v>
      </c>
      <c r="AD83" t="str">
        <f t="shared" si="31"/>
        <v>Same Day</v>
      </c>
      <c r="AE83" t="str">
        <f t="shared" si="47"/>
        <v>OK</v>
      </c>
      <c r="AF83">
        <v>5</v>
      </c>
      <c r="AG83">
        <v>218.42</v>
      </c>
      <c r="AH83">
        <v>0.2</v>
      </c>
      <c r="AI83">
        <f t="shared" si="48"/>
        <v>0.2</v>
      </c>
      <c r="AJ83" t="str">
        <f t="shared" si="49"/>
        <v>OK</v>
      </c>
      <c r="AK83">
        <v>873.68</v>
      </c>
      <c r="AL83">
        <v>661.72</v>
      </c>
      <c r="AM83">
        <v>211.96</v>
      </c>
      <c r="AN83" t="s">
        <v>136</v>
      </c>
      <c r="AO83" t="str">
        <f t="shared" si="41"/>
        <v>PENDING</v>
      </c>
      <c r="AP83" t="str">
        <f t="shared" si="50"/>
        <v>OK</v>
      </c>
      <c r="AQ83" t="s">
        <v>77</v>
      </c>
      <c r="AR83" t="str">
        <f t="shared" si="42"/>
        <v>CANCELLED</v>
      </c>
      <c r="AS83" t="str">
        <f t="shared" si="51"/>
        <v>EXCLUDE_FROM_SALES</v>
      </c>
      <c r="AT83">
        <f t="shared" si="52"/>
        <v>873.68</v>
      </c>
      <c r="AU83">
        <f t="shared" si="53"/>
        <v>211.95999999999992</v>
      </c>
      <c r="AV83" s="6">
        <f t="shared" si="54"/>
        <v>0.39844966120318664</v>
      </c>
      <c r="AW83" t="str">
        <f t="shared" si="55"/>
        <v>CLEAN</v>
      </c>
      <c r="AX83" s="10" t="str">
        <f t="shared" si="56"/>
        <v>MATCH</v>
      </c>
      <c r="AY83" t="str">
        <f t="shared" si="57"/>
        <v>MATCH</v>
      </c>
    </row>
    <row r="84" spans="1:51">
      <c r="A84" t="s">
        <v>750</v>
      </c>
      <c r="B84">
        <f t="shared" si="32"/>
        <v>1</v>
      </c>
      <c r="C84" t="s">
        <v>751</v>
      </c>
      <c r="D84" s="2">
        <v>45393</v>
      </c>
      <c r="E84" t="str">
        <f t="shared" si="33"/>
        <v>2024/04/11</v>
      </c>
      <c r="F84" t="str">
        <f t="shared" si="43"/>
        <v>April</v>
      </c>
      <c r="G84">
        <f t="shared" si="44"/>
        <v>2024</v>
      </c>
      <c r="H84" t="s">
        <v>751</v>
      </c>
      <c r="I84" s="4">
        <v>45600</v>
      </c>
      <c r="J84" s="8">
        <f t="shared" si="34"/>
        <v>207</v>
      </c>
      <c r="K84" s="8" t="str">
        <f t="shared" si="45"/>
        <v>OK</v>
      </c>
      <c r="L84" t="s">
        <v>752</v>
      </c>
      <c r="M84" t="s">
        <v>365</v>
      </c>
      <c r="N84" t="str">
        <f t="shared" si="35"/>
        <v>Kabir Singh</v>
      </c>
      <c r="O84" t="s">
        <v>107</v>
      </c>
      <c r="P84" t="str">
        <f t="shared" si="59"/>
        <v>Corporate</v>
      </c>
      <c r="Q84" t="s">
        <v>41</v>
      </c>
      <c r="R84" t="str">
        <f t="shared" si="58"/>
        <v>East</v>
      </c>
      <c r="S84" t="str">
        <f t="shared" si="46"/>
        <v>OK</v>
      </c>
      <c r="T84" t="s">
        <v>215</v>
      </c>
      <c r="U84" t="str">
        <f t="shared" si="37"/>
        <v>Assam</v>
      </c>
      <c r="V84" t="s">
        <v>216</v>
      </c>
      <c r="W84" t="str">
        <f t="shared" si="38"/>
        <v>Guwahati</v>
      </c>
      <c r="X84" t="str">
        <f t="shared" si="39"/>
        <v>Technology</v>
      </c>
      <c r="Y84" t="s">
        <v>85</v>
      </c>
      <c r="Z84" t="s">
        <v>381</v>
      </c>
      <c r="AA84" t="str">
        <f t="shared" si="40"/>
        <v>Machines</v>
      </c>
      <c r="AB84" t="s">
        <v>753</v>
      </c>
      <c r="AC84" t="s">
        <v>55</v>
      </c>
      <c r="AD84" t="str">
        <f t="shared" si="31"/>
        <v>First Class</v>
      </c>
      <c r="AE84" t="str">
        <f t="shared" si="47"/>
        <v>OK</v>
      </c>
      <c r="AF84">
        <v>2</v>
      </c>
      <c r="AG84">
        <v>533.08000000000004</v>
      </c>
      <c r="AH84">
        <v>0</v>
      </c>
      <c r="AI84">
        <f t="shared" si="48"/>
        <v>0</v>
      </c>
      <c r="AJ84" t="str">
        <f t="shared" si="49"/>
        <v>OK</v>
      </c>
      <c r="AK84">
        <v>1066.1600000000001</v>
      </c>
      <c r="AL84">
        <v>656.3</v>
      </c>
      <c r="AM84">
        <v>409.86</v>
      </c>
      <c r="AN84" t="s">
        <v>199</v>
      </c>
      <c r="AO84" t="str">
        <f t="shared" si="41"/>
        <v>FAILED</v>
      </c>
      <c r="AP84" t="str">
        <f t="shared" si="50"/>
        <v>EXCLUDE_FROM_SALES</v>
      </c>
      <c r="AQ84" t="s">
        <v>77</v>
      </c>
      <c r="AR84" t="str">
        <f t="shared" si="42"/>
        <v>CANCELLED</v>
      </c>
      <c r="AS84" t="str">
        <f t="shared" si="51"/>
        <v>EXCLUDE_FROM_SALES</v>
      </c>
      <c r="AT84">
        <f t="shared" si="52"/>
        <v>1066.1600000000001</v>
      </c>
      <c r="AU84">
        <f t="shared" si="53"/>
        <v>409.86000000000013</v>
      </c>
      <c r="AV84" s="6">
        <f t="shared" si="54"/>
        <v>4.5887943648232934</v>
      </c>
      <c r="AW84" t="str">
        <f t="shared" si="55"/>
        <v>CLEAN</v>
      </c>
      <c r="AX84" s="10" t="str">
        <f t="shared" si="56"/>
        <v>MATCH</v>
      </c>
      <c r="AY84" t="str">
        <f t="shared" si="57"/>
        <v>MATCH</v>
      </c>
    </row>
    <row r="85" spans="1:51">
      <c r="A85" t="s">
        <v>754</v>
      </c>
      <c r="B85">
        <f t="shared" si="32"/>
        <v>2</v>
      </c>
      <c r="C85" t="s">
        <v>755</v>
      </c>
      <c r="D85" s="3">
        <v>45639</v>
      </c>
      <c r="E85" t="str">
        <f t="shared" si="33"/>
        <v>2024/12/13</v>
      </c>
      <c r="F85" t="str">
        <f t="shared" si="43"/>
        <v>December</v>
      </c>
      <c r="G85">
        <f t="shared" si="44"/>
        <v>2024</v>
      </c>
      <c r="H85" t="s">
        <v>756</v>
      </c>
      <c r="I85" s="4">
        <v>45644</v>
      </c>
      <c r="J85" s="8">
        <f t="shared" si="34"/>
        <v>5</v>
      </c>
      <c r="K85" s="8" t="str">
        <f t="shared" si="45"/>
        <v>OK</v>
      </c>
      <c r="L85" t="s">
        <v>757</v>
      </c>
      <c r="M85" t="s">
        <v>24</v>
      </c>
      <c r="N85" t="str">
        <f t="shared" si="35"/>
        <v>Karan Malhotra</v>
      </c>
      <c r="O85" t="s">
        <v>25</v>
      </c>
      <c r="P85" t="str">
        <f t="shared" si="59"/>
        <v>Consumer</v>
      </c>
      <c r="Q85" t="s">
        <v>72</v>
      </c>
      <c r="R85" t="str">
        <f t="shared" si="58"/>
        <v>West</v>
      </c>
      <c r="S85" t="str">
        <f t="shared" si="46"/>
        <v>OK</v>
      </c>
      <c r="T85" t="s">
        <v>248</v>
      </c>
      <c r="U85" t="str">
        <f t="shared" si="37"/>
        <v>Goa</v>
      </c>
      <c r="V85" t="s">
        <v>249</v>
      </c>
      <c r="W85" t="str">
        <f t="shared" si="38"/>
        <v>Panaji</v>
      </c>
      <c r="X85" t="str">
        <f t="shared" si="39"/>
        <v>Technology</v>
      </c>
      <c r="Y85" t="s">
        <v>85</v>
      </c>
      <c r="Z85" t="s">
        <v>222</v>
      </c>
      <c r="AA85" t="str">
        <f t="shared" si="40"/>
        <v>Phones</v>
      </c>
      <c r="AB85" t="s">
        <v>758</v>
      </c>
      <c r="AC85" t="s">
        <v>32</v>
      </c>
      <c r="AD85" t="str">
        <f t="shared" si="31"/>
        <v>Second Class</v>
      </c>
      <c r="AE85" t="str">
        <f t="shared" si="47"/>
        <v>OK</v>
      </c>
      <c r="AF85">
        <v>8</v>
      </c>
      <c r="AG85">
        <v>3372.15</v>
      </c>
      <c r="AH85">
        <v>0.15</v>
      </c>
      <c r="AI85">
        <f t="shared" si="48"/>
        <v>0.15</v>
      </c>
      <c r="AJ85" t="str">
        <f t="shared" si="49"/>
        <v>OK</v>
      </c>
      <c r="AK85">
        <v>22930.62</v>
      </c>
      <c r="AL85">
        <v>16875.55</v>
      </c>
      <c r="AM85">
        <v>6055.07</v>
      </c>
      <c r="AN85" t="s">
        <v>33</v>
      </c>
      <c r="AO85" t="str">
        <f t="shared" si="41"/>
        <v>PAID</v>
      </c>
      <c r="AP85" t="str">
        <f t="shared" si="50"/>
        <v>OK</v>
      </c>
      <c r="AQ85" t="s">
        <v>34</v>
      </c>
      <c r="AR85" t="str">
        <f t="shared" si="42"/>
        <v>COMPLETED</v>
      </c>
      <c r="AS85" t="str">
        <f t="shared" si="51"/>
        <v>OK</v>
      </c>
      <c r="AT85">
        <f t="shared" si="52"/>
        <v>22930.62</v>
      </c>
      <c r="AU85">
        <f t="shared" si="53"/>
        <v>6055.07</v>
      </c>
      <c r="AV85" s="6">
        <f t="shared" si="54"/>
        <v>0.44363737221235178</v>
      </c>
      <c r="AW85" t="str">
        <f t="shared" si="55"/>
        <v>CLEAN</v>
      </c>
      <c r="AX85" s="10" t="str">
        <f t="shared" si="56"/>
        <v>MATCH</v>
      </c>
      <c r="AY85" t="str">
        <f t="shared" si="57"/>
        <v>MATCH</v>
      </c>
    </row>
    <row r="86" spans="1:51">
      <c r="A86" t="s">
        <v>754</v>
      </c>
      <c r="B86">
        <f t="shared" si="32"/>
        <v>2</v>
      </c>
      <c r="C86" t="s">
        <v>755</v>
      </c>
      <c r="D86" s="3">
        <v>45639</v>
      </c>
      <c r="E86" t="str">
        <f t="shared" si="33"/>
        <v>2024/12/13</v>
      </c>
      <c r="F86" t="str">
        <f t="shared" si="43"/>
        <v>December</v>
      </c>
      <c r="G86">
        <f t="shared" si="44"/>
        <v>2024</v>
      </c>
      <c r="H86" t="s">
        <v>756</v>
      </c>
      <c r="I86" s="4">
        <v>45644</v>
      </c>
      <c r="J86" s="8">
        <f t="shared" si="34"/>
        <v>5</v>
      </c>
      <c r="K86" s="8" t="str">
        <f t="shared" si="45"/>
        <v>OK</v>
      </c>
      <c r="L86" t="s">
        <v>757</v>
      </c>
      <c r="M86" t="s">
        <v>24</v>
      </c>
      <c r="N86" t="str">
        <f t="shared" si="35"/>
        <v>Karan Malhotra</v>
      </c>
      <c r="O86" t="s">
        <v>25</v>
      </c>
      <c r="P86" t="str">
        <f t="shared" si="59"/>
        <v>Consumer</v>
      </c>
      <c r="Q86" t="s">
        <v>72</v>
      </c>
      <c r="R86" t="str">
        <f t="shared" si="58"/>
        <v>West</v>
      </c>
      <c r="S86" t="str">
        <f t="shared" si="46"/>
        <v>OK</v>
      </c>
      <c r="T86" t="s">
        <v>248</v>
      </c>
      <c r="U86" t="str">
        <f t="shared" si="37"/>
        <v>Goa</v>
      </c>
      <c r="V86" t="s">
        <v>249</v>
      </c>
      <c r="W86" t="str">
        <f t="shared" si="38"/>
        <v>Panaji</v>
      </c>
      <c r="X86" t="str">
        <f t="shared" si="39"/>
        <v>Technology</v>
      </c>
      <c r="Y86" t="s">
        <v>85</v>
      </c>
      <c r="Z86" t="s">
        <v>222</v>
      </c>
      <c r="AA86" t="str">
        <f t="shared" si="40"/>
        <v>Phones</v>
      </c>
      <c r="AB86" t="s">
        <v>758</v>
      </c>
      <c r="AC86" t="s">
        <v>32</v>
      </c>
      <c r="AD86" t="str">
        <f t="shared" si="31"/>
        <v>Second Class</v>
      </c>
      <c r="AE86" t="str">
        <f t="shared" si="47"/>
        <v>OK</v>
      </c>
      <c r="AF86">
        <v>8</v>
      </c>
      <c r="AG86">
        <v>3372.15</v>
      </c>
      <c r="AH86">
        <v>0.15</v>
      </c>
      <c r="AI86">
        <f t="shared" si="48"/>
        <v>0.15</v>
      </c>
      <c r="AJ86" t="str">
        <f t="shared" si="49"/>
        <v>OK</v>
      </c>
      <c r="AK86">
        <v>22930.62</v>
      </c>
      <c r="AL86">
        <v>16875.55</v>
      </c>
      <c r="AM86">
        <v>6055.07</v>
      </c>
      <c r="AN86" t="s">
        <v>33</v>
      </c>
      <c r="AO86" t="str">
        <f t="shared" si="41"/>
        <v>PAID</v>
      </c>
      <c r="AP86" t="str">
        <f t="shared" si="50"/>
        <v>OK</v>
      </c>
      <c r="AQ86" t="s">
        <v>34</v>
      </c>
      <c r="AR86" t="str">
        <f t="shared" si="42"/>
        <v>COMPLETED</v>
      </c>
      <c r="AS86" t="str">
        <f t="shared" si="51"/>
        <v>OK</v>
      </c>
      <c r="AT86">
        <f t="shared" si="52"/>
        <v>22930.62</v>
      </c>
      <c r="AU86">
        <f t="shared" si="53"/>
        <v>6055.07</v>
      </c>
      <c r="AV86" s="6">
        <f t="shared" si="54"/>
        <v>0.10442456418535559</v>
      </c>
      <c r="AW86" t="str">
        <f t="shared" si="55"/>
        <v>CLEAN</v>
      </c>
      <c r="AX86" s="10" t="str">
        <f t="shared" si="56"/>
        <v>MATCH</v>
      </c>
      <c r="AY86" t="str">
        <f t="shared" si="57"/>
        <v>MATCH</v>
      </c>
    </row>
    <row r="87" spans="1:51">
      <c r="A87" t="s">
        <v>779</v>
      </c>
      <c r="B87">
        <f t="shared" si="32"/>
        <v>1</v>
      </c>
      <c r="C87" t="s">
        <v>780</v>
      </c>
      <c r="D87" s="3">
        <v>45311</v>
      </c>
      <c r="E87" t="str">
        <f t="shared" si="33"/>
        <v>2024/01/20</v>
      </c>
      <c r="F87" t="str">
        <f t="shared" si="43"/>
        <v>January</v>
      </c>
      <c r="G87">
        <f t="shared" si="44"/>
        <v>2024</v>
      </c>
      <c r="H87" t="s">
        <v>781</v>
      </c>
      <c r="I87" s="4">
        <v>45317</v>
      </c>
      <c r="J87" s="8">
        <f t="shared" si="34"/>
        <v>6</v>
      </c>
      <c r="K87" s="8" t="str">
        <f t="shared" si="45"/>
        <v>OK</v>
      </c>
      <c r="L87" t="s">
        <v>782</v>
      </c>
      <c r="M87" t="s">
        <v>209</v>
      </c>
      <c r="N87" t="str">
        <f t="shared" si="35"/>
        <v>Diya Patel</v>
      </c>
      <c r="O87" t="s">
        <v>114</v>
      </c>
      <c r="P87" t="str">
        <f t="shared" si="59"/>
        <v>Home Office</v>
      </c>
      <c r="Q87" t="s">
        <v>41</v>
      </c>
      <c r="R87" t="str">
        <f t="shared" si="58"/>
        <v>East</v>
      </c>
      <c r="S87" t="str">
        <f t="shared" si="46"/>
        <v>OK</v>
      </c>
      <c r="T87" t="s">
        <v>310</v>
      </c>
      <c r="U87" t="str">
        <f t="shared" si="37"/>
        <v>Jharkhand</v>
      </c>
      <c r="V87" t="s">
        <v>311</v>
      </c>
      <c r="W87" t="str">
        <f t="shared" si="38"/>
        <v>Ranchi</v>
      </c>
      <c r="X87" t="str">
        <f t="shared" si="39"/>
        <v>Technology</v>
      </c>
      <c r="Y87" t="s">
        <v>85</v>
      </c>
      <c r="Z87" t="s">
        <v>381</v>
      </c>
      <c r="AA87" t="str">
        <f t="shared" si="40"/>
        <v>Machines</v>
      </c>
      <c r="AB87" t="s">
        <v>783</v>
      </c>
      <c r="AC87" t="s">
        <v>66</v>
      </c>
      <c r="AD87" t="str">
        <f t="shared" si="31"/>
        <v>Standard Class</v>
      </c>
      <c r="AE87" t="str">
        <f t="shared" si="47"/>
        <v>OK</v>
      </c>
      <c r="AF87">
        <v>8</v>
      </c>
      <c r="AG87">
        <v>4003.05</v>
      </c>
      <c r="AH87">
        <v>0.25</v>
      </c>
      <c r="AI87">
        <f t="shared" si="48"/>
        <v>0.25</v>
      </c>
      <c r="AJ87" t="str">
        <f t="shared" si="49"/>
        <v>OK</v>
      </c>
      <c r="AK87">
        <v>24018.3</v>
      </c>
      <c r="AL87">
        <v>14070.78</v>
      </c>
      <c r="AM87">
        <v>9947.52</v>
      </c>
      <c r="AN87" t="s">
        <v>33</v>
      </c>
      <c r="AO87" t="str">
        <f t="shared" si="41"/>
        <v>PAID</v>
      </c>
      <c r="AP87" t="str">
        <f t="shared" si="50"/>
        <v>OK</v>
      </c>
      <c r="AQ87" t="s">
        <v>34</v>
      </c>
      <c r="AR87" t="str">
        <f t="shared" si="42"/>
        <v>COMPLETED</v>
      </c>
      <c r="AS87" t="str">
        <f t="shared" si="51"/>
        <v>OK</v>
      </c>
      <c r="AT87">
        <f t="shared" si="52"/>
        <v>24018.300000000003</v>
      </c>
      <c r="AU87">
        <f t="shared" si="53"/>
        <v>9947.5200000000023</v>
      </c>
      <c r="AV87" s="6">
        <f t="shared" si="54"/>
        <v>0.16829417569103561</v>
      </c>
      <c r="AW87" t="str">
        <f t="shared" si="55"/>
        <v>CLEAN</v>
      </c>
      <c r="AX87" s="10" t="str">
        <f t="shared" si="56"/>
        <v>MATCH</v>
      </c>
      <c r="AY87" t="str">
        <f t="shared" si="57"/>
        <v>MATCH</v>
      </c>
    </row>
    <row r="88" spans="1:51">
      <c r="A88" t="s">
        <v>789</v>
      </c>
      <c r="B88">
        <f t="shared" si="32"/>
        <v>1</v>
      </c>
      <c r="C88" t="s">
        <v>790</v>
      </c>
      <c r="D88" s="3">
        <v>45443</v>
      </c>
      <c r="E88" t="str">
        <f t="shared" si="33"/>
        <v>2024/05/31</v>
      </c>
      <c r="F88" t="str">
        <f t="shared" si="43"/>
        <v>May</v>
      </c>
      <c r="G88">
        <f t="shared" si="44"/>
        <v>2024</v>
      </c>
      <c r="H88" t="s">
        <v>791</v>
      </c>
      <c r="I88" s="4">
        <v>45444</v>
      </c>
      <c r="J88" s="8">
        <f t="shared" si="34"/>
        <v>1</v>
      </c>
      <c r="K88" s="8" t="str">
        <f t="shared" si="45"/>
        <v>OK</v>
      </c>
      <c r="L88" t="s">
        <v>792</v>
      </c>
      <c r="M88" t="s">
        <v>39</v>
      </c>
      <c r="N88" t="str">
        <f t="shared" si="35"/>
        <v>Mira Das</v>
      </c>
      <c r="O88" t="s">
        <v>107</v>
      </c>
      <c r="P88" t="str">
        <f t="shared" si="59"/>
        <v>Corporate</v>
      </c>
      <c r="Q88" t="s">
        <v>61</v>
      </c>
      <c r="R88" t="str">
        <f t="shared" si="58"/>
        <v>South</v>
      </c>
      <c r="S88" t="str">
        <f t="shared" si="46"/>
        <v>OK</v>
      </c>
      <c r="T88" t="s">
        <v>228</v>
      </c>
      <c r="U88" t="str">
        <f t="shared" si="37"/>
        <v>Karnataka</v>
      </c>
      <c r="V88" t="s">
        <v>229</v>
      </c>
      <c r="W88" t="str">
        <f t="shared" si="38"/>
        <v>Bengaluru</v>
      </c>
      <c r="X88" t="str">
        <f t="shared" si="39"/>
        <v>Furniture</v>
      </c>
      <c r="Y88" t="s">
        <v>44</v>
      </c>
      <c r="Z88" t="s">
        <v>203</v>
      </c>
      <c r="AA88" t="str">
        <f t="shared" si="40"/>
        <v>Bookcases</v>
      </c>
      <c r="AB88" t="s">
        <v>793</v>
      </c>
      <c r="AC88" t="s">
        <v>47</v>
      </c>
      <c r="AD88" t="str">
        <f t="shared" si="31"/>
        <v>Same Day</v>
      </c>
      <c r="AE88" t="str">
        <f t="shared" si="47"/>
        <v>OK</v>
      </c>
      <c r="AF88">
        <v>3</v>
      </c>
      <c r="AG88">
        <v>2914.55</v>
      </c>
      <c r="AH88">
        <v>0</v>
      </c>
      <c r="AI88">
        <f t="shared" si="48"/>
        <v>0</v>
      </c>
      <c r="AJ88" t="str">
        <f t="shared" si="49"/>
        <v>OK</v>
      </c>
      <c r="AK88">
        <v>8743.65</v>
      </c>
      <c r="AL88">
        <v>6603.76</v>
      </c>
      <c r="AM88">
        <v>2139.89</v>
      </c>
      <c r="AN88" t="s">
        <v>33</v>
      </c>
      <c r="AO88" t="str">
        <f t="shared" si="41"/>
        <v>PAID</v>
      </c>
      <c r="AP88" t="str">
        <f t="shared" si="50"/>
        <v>OK</v>
      </c>
      <c r="AQ88" t="s">
        <v>34</v>
      </c>
      <c r="AR88" t="str">
        <f t="shared" si="42"/>
        <v>COMPLETED</v>
      </c>
      <c r="AS88" t="str">
        <f t="shared" si="51"/>
        <v>OK</v>
      </c>
      <c r="AT88">
        <f t="shared" si="52"/>
        <v>8743.6500000000015</v>
      </c>
      <c r="AU88">
        <f t="shared" si="53"/>
        <v>2139.8900000000012</v>
      </c>
      <c r="AV88" s="6">
        <f t="shared" si="54"/>
        <v>0.26069398935227278</v>
      </c>
      <c r="AW88" t="str">
        <f t="shared" si="55"/>
        <v>CLEAN</v>
      </c>
      <c r="AX88" s="10" t="str">
        <f t="shared" si="56"/>
        <v>MATCH</v>
      </c>
      <c r="AY88" t="str">
        <f t="shared" si="57"/>
        <v>MATCH</v>
      </c>
    </row>
    <row r="89" spans="1:51">
      <c r="A89" t="s">
        <v>794</v>
      </c>
      <c r="B89">
        <f t="shared" si="32"/>
        <v>1</v>
      </c>
      <c r="C89" t="s">
        <v>795</v>
      </c>
      <c r="D89" s="3">
        <v>45374</v>
      </c>
      <c r="E89" t="str">
        <f t="shared" si="33"/>
        <v>2024/03/23</v>
      </c>
      <c r="F89" t="str">
        <f t="shared" si="43"/>
        <v>March</v>
      </c>
      <c r="G89">
        <f t="shared" si="44"/>
        <v>2024</v>
      </c>
      <c r="H89" t="s">
        <v>796</v>
      </c>
      <c r="I89" s="4">
        <v>45380</v>
      </c>
      <c r="J89" s="8">
        <f t="shared" si="34"/>
        <v>6</v>
      </c>
      <c r="K89" s="8" t="str">
        <f t="shared" si="45"/>
        <v>OK</v>
      </c>
      <c r="L89" t="s">
        <v>797</v>
      </c>
      <c r="M89" t="s">
        <v>141</v>
      </c>
      <c r="N89" t="str">
        <f t="shared" si="35"/>
        <v>Priya Menon</v>
      </c>
      <c r="O89" t="s">
        <v>107</v>
      </c>
      <c r="P89" t="str">
        <f t="shared" si="59"/>
        <v>Corporate</v>
      </c>
      <c r="Q89" t="s">
        <v>26</v>
      </c>
      <c r="R89" t="str">
        <f t="shared" si="58"/>
        <v>North</v>
      </c>
      <c r="S89" t="str">
        <f t="shared" si="46"/>
        <v>OK</v>
      </c>
      <c r="T89" t="s">
        <v>505</v>
      </c>
      <c r="U89" t="str">
        <f t="shared" si="37"/>
        <v>Delhi</v>
      </c>
      <c r="V89" t="s">
        <v>506</v>
      </c>
      <c r="W89" t="str">
        <f t="shared" si="38"/>
        <v>New Delhi</v>
      </c>
      <c r="X89" t="str">
        <f t="shared" si="39"/>
        <v>Furniture</v>
      </c>
      <c r="Y89" t="s">
        <v>44</v>
      </c>
      <c r="Z89" t="s">
        <v>203</v>
      </c>
      <c r="AA89" t="str">
        <f t="shared" si="40"/>
        <v>Bookcases</v>
      </c>
      <c r="AB89" t="s">
        <v>798</v>
      </c>
      <c r="AC89" t="s">
        <v>47</v>
      </c>
      <c r="AD89" t="str">
        <f t="shared" si="31"/>
        <v>Same Day</v>
      </c>
      <c r="AE89" t="str">
        <f t="shared" si="47"/>
        <v>OK</v>
      </c>
      <c r="AF89">
        <v>7</v>
      </c>
      <c r="AG89">
        <v>634.29</v>
      </c>
      <c r="AH89">
        <v>0.1</v>
      </c>
      <c r="AI89">
        <f t="shared" si="48"/>
        <v>0.1</v>
      </c>
      <c r="AJ89" t="str">
        <f t="shared" si="49"/>
        <v>OK</v>
      </c>
      <c r="AK89">
        <v>3996.03</v>
      </c>
      <c r="AL89">
        <v>2859.51</v>
      </c>
      <c r="AM89">
        <v>1136.52</v>
      </c>
      <c r="AN89" t="s">
        <v>33</v>
      </c>
      <c r="AO89" t="str">
        <f t="shared" si="41"/>
        <v>PAID</v>
      </c>
      <c r="AP89" t="str">
        <f t="shared" si="50"/>
        <v>OK</v>
      </c>
      <c r="AQ89" t="s">
        <v>124</v>
      </c>
      <c r="AR89" t="str">
        <f t="shared" si="42"/>
        <v>RETURNED</v>
      </c>
      <c r="AS89" t="str">
        <f t="shared" si="51"/>
        <v>RETURNED_ORDER</v>
      </c>
      <c r="AT89">
        <f t="shared" si="52"/>
        <v>3996.027</v>
      </c>
      <c r="AU89">
        <f t="shared" si="53"/>
        <v>1136.5169999999998</v>
      </c>
      <c r="AV89" s="6">
        <f t="shared" si="54"/>
        <v>0.43111070070347363</v>
      </c>
      <c r="AW89" t="str">
        <f t="shared" si="55"/>
        <v>CLEAN</v>
      </c>
      <c r="AX89" s="10" t="str">
        <f t="shared" si="56"/>
        <v>MATCH</v>
      </c>
      <c r="AY89" t="str">
        <f t="shared" si="57"/>
        <v>MATCH</v>
      </c>
    </row>
    <row r="90" spans="1:51">
      <c r="A90" t="s">
        <v>799</v>
      </c>
      <c r="B90">
        <f t="shared" si="32"/>
        <v>2</v>
      </c>
      <c r="C90" t="s">
        <v>800</v>
      </c>
      <c r="D90" s="2">
        <v>45381</v>
      </c>
      <c r="E90" t="str">
        <f t="shared" si="33"/>
        <v>2024/03/30</v>
      </c>
      <c r="F90" t="str">
        <f t="shared" si="43"/>
        <v>March</v>
      </c>
      <c r="G90">
        <f t="shared" si="44"/>
        <v>2024</v>
      </c>
      <c r="H90" t="s">
        <v>801</v>
      </c>
      <c r="I90" s="4">
        <v>45377</v>
      </c>
      <c r="J90" s="8">
        <f t="shared" si="34"/>
        <v>-4</v>
      </c>
      <c r="K90" s="8" t="str">
        <f t="shared" si="45"/>
        <v>INVAILD_SHIPPING</v>
      </c>
      <c r="L90" t="s">
        <v>802</v>
      </c>
      <c r="M90" t="s">
        <v>106</v>
      </c>
      <c r="N90" t="str">
        <f t="shared" si="35"/>
        <v>Aditi Sen</v>
      </c>
      <c r="O90" t="s">
        <v>114</v>
      </c>
      <c r="P90" t="str">
        <f t="shared" si="59"/>
        <v>Home Office</v>
      </c>
      <c r="Q90" t="s">
        <v>26</v>
      </c>
      <c r="R90" t="str">
        <f t="shared" si="58"/>
        <v>North</v>
      </c>
      <c r="S90" t="str">
        <f t="shared" si="46"/>
        <v>OK</v>
      </c>
      <c r="T90" t="s">
        <v>27</v>
      </c>
      <c r="U90" t="str">
        <f t="shared" si="37"/>
        <v>Rajasthan</v>
      </c>
      <c r="V90" t="s">
        <v>28</v>
      </c>
      <c r="W90" t="str">
        <f t="shared" si="38"/>
        <v>Jaipur</v>
      </c>
      <c r="X90" t="str">
        <f t="shared" si="39"/>
        <v>Technology</v>
      </c>
      <c r="Y90" t="s">
        <v>85</v>
      </c>
      <c r="Z90" t="s">
        <v>222</v>
      </c>
      <c r="AA90" t="str">
        <f t="shared" si="40"/>
        <v>Phones</v>
      </c>
      <c r="AB90" t="s">
        <v>803</v>
      </c>
      <c r="AC90" t="s">
        <v>32</v>
      </c>
      <c r="AD90" t="str">
        <f t="shared" si="31"/>
        <v>Second Class</v>
      </c>
      <c r="AE90" t="str">
        <f t="shared" si="47"/>
        <v>OK</v>
      </c>
      <c r="AF90">
        <v>5</v>
      </c>
      <c r="AG90">
        <v>907.54</v>
      </c>
      <c r="AH90">
        <v>0.15</v>
      </c>
      <c r="AI90">
        <f t="shared" si="48"/>
        <v>0.15</v>
      </c>
      <c r="AJ90" t="str">
        <f t="shared" si="49"/>
        <v>OK</v>
      </c>
      <c r="AK90">
        <v>3857.04</v>
      </c>
      <c r="AL90">
        <v>2769.26</v>
      </c>
      <c r="AM90">
        <v>1087.78</v>
      </c>
      <c r="AN90" t="s">
        <v>33</v>
      </c>
      <c r="AO90" t="str">
        <f t="shared" si="41"/>
        <v>PAID</v>
      </c>
      <c r="AP90" t="str">
        <f t="shared" si="50"/>
        <v>OK</v>
      </c>
      <c r="AQ90" t="s">
        <v>34</v>
      </c>
      <c r="AR90" t="str">
        <f t="shared" si="42"/>
        <v>COMPLETED</v>
      </c>
      <c r="AS90" t="str">
        <f t="shared" si="51"/>
        <v>OK</v>
      </c>
      <c r="AT90">
        <f t="shared" si="52"/>
        <v>3857.0449999999996</v>
      </c>
      <c r="AU90">
        <f t="shared" si="53"/>
        <v>1087.7849999999994</v>
      </c>
      <c r="AV90" s="6">
        <f t="shared" si="54"/>
        <v>0.196212385388296</v>
      </c>
      <c r="AW90" t="str">
        <f t="shared" si="55"/>
        <v>CLEAN</v>
      </c>
      <c r="AX90" s="10" t="str">
        <f t="shared" si="56"/>
        <v>MISMATCH</v>
      </c>
      <c r="AY90" t="str">
        <f t="shared" si="57"/>
        <v>MISMATCH</v>
      </c>
    </row>
    <row r="91" spans="1:51">
      <c r="A91" t="s">
        <v>799</v>
      </c>
      <c r="B91">
        <f t="shared" si="32"/>
        <v>2</v>
      </c>
      <c r="C91" t="s">
        <v>800</v>
      </c>
      <c r="D91" s="2">
        <v>45381</v>
      </c>
      <c r="E91" t="str">
        <f t="shared" si="33"/>
        <v>2024/03/30</v>
      </c>
      <c r="F91" t="str">
        <f t="shared" si="43"/>
        <v>March</v>
      </c>
      <c r="G91">
        <f t="shared" si="44"/>
        <v>2024</v>
      </c>
      <c r="H91" t="s">
        <v>801</v>
      </c>
      <c r="I91" s="4">
        <v>45377</v>
      </c>
      <c r="J91" s="8">
        <f t="shared" si="34"/>
        <v>-4</v>
      </c>
      <c r="K91" s="8" t="str">
        <f t="shared" si="45"/>
        <v>INVAILD_SHIPPING</v>
      </c>
      <c r="L91" t="s">
        <v>802</v>
      </c>
      <c r="M91" t="s">
        <v>106</v>
      </c>
      <c r="N91" t="str">
        <f t="shared" si="35"/>
        <v>Aditi Sen</v>
      </c>
      <c r="O91" t="s">
        <v>114</v>
      </c>
      <c r="P91" t="str">
        <f t="shared" si="59"/>
        <v>Home Office</v>
      </c>
      <c r="Q91" t="s">
        <v>26</v>
      </c>
      <c r="R91" t="str">
        <f t="shared" si="58"/>
        <v>North</v>
      </c>
      <c r="S91" t="str">
        <f t="shared" si="46"/>
        <v>OK</v>
      </c>
      <c r="T91" t="s">
        <v>27</v>
      </c>
      <c r="U91" t="str">
        <f t="shared" si="37"/>
        <v>Rajasthan</v>
      </c>
      <c r="V91" t="s">
        <v>28</v>
      </c>
      <c r="W91" t="str">
        <f t="shared" si="38"/>
        <v>Jaipur</v>
      </c>
      <c r="X91" t="str">
        <f t="shared" si="39"/>
        <v>Technology</v>
      </c>
      <c r="Y91" t="s">
        <v>85</v>
      </c>
      <c r="Z91" t="s">
        <v>222</v>
      </c>
      <c r="AA91" t="str">
        <f t="shared" si="40"/>
        <v>Phones</v>
      </c>
      <c r="AB91" t="s">
        <v>803</v>
      </c>
      <c r="AC91" t="s">
        <v>32</v>
      </c>
      <c r="AD91" t="str">
        <f t="shared" si="31"/>
        <v>Second Class</v>
      </c>
      <c r="AE91" t="str">
        <f t="shared" si="47"/>
        <v>OK</v>
      </c>
      <c r="AF91">
        <v>5</v>
      </c>
      <c r="AG91">
        <v>907.54</v>
      </c>
      <c r="AH91">
        <v>0.15</v>
      </c>
      <c r="AI91">
        <f t="shared" si="48"/>
        <v>0.15</v>
      </c>
      <c r="AJ91" t="str">
        <f t="shared" si="49"/>
        <v>OK</v>
      </c>
      <c r="AK91">
        <v>4099.6899999999996</v>
      </c>
      <c r="AL91">
        <v>2769.26</v>
      </c>
      <c r="AM91">
        <v>1087.78</v>
      </c>
      <c r="AN91" t="s">
        <v>33</v>
      </c>
      <c r="AO91" t="str">
        <f t="shared" si="41"/>
        <v>PAID</v>
      </c>
      <c r="AP91" t="str">
        <f t="shared" si="50"/>
        <v>OK</v>
      </c>
      <c r="AQ91" t="s">
        <v>124</v>
      </c>
      <c r="AR91" t="str">
        <f t="shared" si="42"/>
        <v>RETURNED</v>
      </c>
      <c r="AS91" t="str">
        <f t="shared" si="51"/>
        <v>RETURNED_ORDER</v>
      </c>
      <c r="AT91">
        <f t="shared" si="52"/>
        <v>3857.0449999999996</v>
      </c>
      <c r="AU91">
        <f t="shared" si="53"/>
        <v>1087.7849999999994</v>
      </c>
      <c r="AV91" s="6">
        <f t="shared" si="54"/>
        <v>6.9429317003042529E-2</v>
      </c>
      <c r="AW91" t="str">
        <f t="shared" si="55"/>
        <v>CLEAN</v>
      </c>
      <c r="AX91" s="10" t="str">
        <f t="shared" si="56"/>
        <v>MISMATCH</v>
      </c>
      <c r="AY91" t="str">
        <f t="shared" si="57"/>
        <v>MISMATCH</v>
      </c>
    </row>
    <row r="92" spans="1:51">
      <c r="A92" t="s">
        <v>804</v>
      </c>
      <c r="B92">
        <f t="shared" si="32"/>
        <v>1</v>
      </c>
      <c r="C92" t="s">
        <v>541</v>
      </c>
      <c r="D92" s="3">
        <v>45375</v>
      </c>
      <c r="E92" t="str">
        <f t="shared" si="33"/>
        <v>2024/03/24</v>
      </c>
      <c r="F92" t="str">
        <f t="shared" si="43"/>
        <v>March</v>
      </c>
      <c r="G92">
        <f t="shared" si="44"/>
        <v>2024</v>
      </c>
      <c r="H92" t="s">
        <v>805</v>
      </c>
      <c r="I92" s="4">
        <v>45377</v>
      </c>
      <c r="J92" s="8">
        <f t="shared" si="34"/>
        <v>2</v>
      </c>
      <c r="K92" s="8" t="str">
        <f t="shared" si="45"/>
        <v>OK</v>
      </c>
      <c r="L92" t="s">
        <v>806</v>
      </c>
      <c r="M92" t="s">
        <v>141</v>
      </c>
      <c r="N92" t="str">
        <f t="shared" si="35"/>
        <v>Priya Menon</v>
      </c>
      <c r="O92" t="s">
        <v>25</v>
      </c>
      <c r="P92" t="str">
        <f t="shared" si="59"/>
        <v>Consumer</v>
      </c>
      <c r="Q92" t="s">
        <v>72</v>
      </c>
      <c r="R92" t="str">
        <f t="shared" si="58"/>
        <v>West</v>
      </c>
      <c r="S92" t="str">
        <f t="shared" si="46"/>
        <v>OK</v>
      </c>
      <c r="T92" t="s">
        <v>234</v>
      </c>
      <c r="U92" t="str">
        <f t="shared" si="37"/>
        <v>Gujarat</v>
      </c>
      <c r="V92" t="s">
        <v>235</v>
      </c>
      <c r="W92" t="str">
        <f t="shared" si="38"/>
        <v>Ahmedabad</v>
      </c>
      <c r="X92" t="str">
        <f t="shared" si="39"/>
        <v>Office Supplies</v>
      </c>
      <c r="Y92" t="s">
        <v>29</v>
      </c>
      <c r="Z92" t="s">
        <v>30</v>
      </c>
      <c r="AA92" t="str">
        <f t="shared" si="40"/>
        <v>Paper</v>
      </c>
      <c r="AB92" t="s">
        <v>807</v>
      </c>
      <c r="AC92" t="s">
        <v>32</v>
      </c>
      <c r="AD92" t="str">
        <f t="shared" si="31"/>
        <v>Second Class</v>
      </c>
      <c r="AE92" t="str">
        <f t="shared" si="47"/>
        <v>OK</v>
      </c>
      <c r="AF92">
        <v>1</v>
      </c>
      <c r="AG92">
        <v>3409.5</v>
      </c>
      <c r="AH92">
        <v>0.1</v>
      </c>
      <c r="AI92">
        <f t="shared" si="48"/>
        <v>0.1</v>
      </c>
      <c r="AJ92" t="str">
        <f t="shared" si="49"/>
        <v>OK</v>
      </c>
      <c r="AK92">
        <v>3068.55</v>
      </c>
      <c r="AL92">
        <v>1916.16</v>
      </c>
      <c r="AM92">
        <v>1152.3900000000001</v>
      </c>
      <c r="AN92" t="s">
        <v>33</v>
      </c>
      <c r="AO92" t="str">
        <f t="shared" si="41"/>
        <v>PAID</v>
      </c>
      <c r="AP92" t="str">
        <f t="shared" si="50"/>
        <v>OK</v>
      </c>
      <c r="AQ92" t="s">
        <v>124</v>
      </c>
      <c r="AR92" t="str">
        <f t="shared" si="42"/>
        <v>RETURNED</v>
      </c>
      <c r="AS92" t="str">
        <f t="shared" si="51"/>
        <v>RETURNED_ORDER</v>
      </c>
      <c r="AT92">
        <f t="shared" si="52"/>
        <v>3068.55</v>
      </c>
      <c r="AU92">
        <f t="shared" si="53"/>
        <v>1152.3900000000001</v>
      </c>
      <c r="AV92" s="6">
        <f t="shared" si="54"/>
        <v>1.2477487738508406</v>
      </c>
      <c r="AW92" t="str">
        <f t="shared" si="55"/>
        <v>CLEAN</v>
      </c>
      <c r="AX92" s="10" t="str">
        <f t="shared" si="56"/>
        <v>MATCH</v>
      </c>
      <c r="AY92" t="str">
        <f t="shared" si="57"/>
        <v>MATCH</v>
      </c>
    </row>
    <row r="93" spans="1:51">
      <c r="A93" t="s">
        <v>808</v>
      </c>
      <c r="B93">
        <f t="shared" si="32"/>
        <v>1</v>
      </c>
      <c r="C93" t="s">
        <v>577</v>
      </c>
      <c r="D93" s="3">
        <v>45450</v>
      </c>
      <c r="E93" t="str">
        <f t="shared" si="33"/>
        <v>2024/06/07</v>
      </c>
      <c r="F93" t="str">
        <f t="shared" si="43"/>
        <v>June</v>
      </c>
      <c r="G93">
        <f t="shared" si="44"/>
        <v>2024</v>
      </c>
      <c r="H93" t="s">
        <v>809</v>
      </c>
      <c r="I93" s="4">
        <v>45458</v>
      </c>
      <c r="J93" s="8">
        <f t="shared" si="34"/>
        <v>8</v>
      </c>
      <c r="K93" s="8" t="str">
        <f t="shared" si="45"/>
        <v>OK</v>
      </c>
      <c r="L93" t="s">
        <v>810</v>
      </c>
      <c r="M93" t="s">
        <v>365</v>
      </c>
      <c r="N93" t="str">
        <f t="shared" si="35"/>
        <v>Kabir Singh</v>
      </c>
      <c r="O93" t="s">
        <v>40</v>
      </c>
      <c r="P93" t="str">
        <f t="shared" si="59"/>
        <v>Small Business</v>
      </c>
      <c r="Q93" t="s">
        <v>61</v>
      </c>
      <c r="R93" t="str">
        <f t="shared" si="58"/>
        <v>South</v>
      </c>
      <c r="S93" t="str">
        <f t="shared" si="46"/>
        <v>OK</v>
      </c>
      <c r="T93" t="s">
        <v>62</v>
      </c>
      <c r="U93" t="str">
        <f t="shared" si="37"/>
        <v>Telangana</v>
      </c>
      <c r="V93" t="s">
        <v>63</v>
      </c>
      <c r="W93" t="str">
        <f t="shared" si="38"/>
        <v>Hyderabad</v>
      </c>
      <c r="X93" t="str">
        <f t="shared" si="39"/>
        <v>Technology</v>
      </c>
      <c r="Y93" t="s">
        <v>85</v>
      </c>
      <c r="Z93" t="s">
        <v>86</v>
      </c>
      <c r="AA93" t="str">
        <f t="shared" si="40"/>
        <v>Accessories</v>
      </c>
      <c r="AB93" t="s">
        <v>811</v>
      </c>
      <c r="AC93" t="s">
        <v>55</v>
      </c>
      <c r="AD93" t="str">
        <f t="shared" si="31"/>
        <v>First Class</v>
      </c>
      <c r="AE93" t="str">
        <f t="shared" si="47"/>
        <v>OK</v>
      </c>
      <c r="AF93">
        <v>7</v>
      </c>
      <c r="AG93">
        <v>2147.9899999999998</v>
      </c>
      <c r="AH93">
        <v>0.25</v>
      </c>
      <c r="AI93">
        <f t="shared" si="48"/>
        <v>0.25</v>
      </c>
      <c r="AJ93" t="str">
        <f t="shared" si="49"/>
        <v>OK</v>
      </c>
      <c r="AK93">
        <v>11276.95</v>
      </c>
      <c r="AL93">
        <v>6908.76</v>
      </c>
      <c r="AM93">
        <v>4368.1899999999996</v>
      </c>
      <c r="AN93" t="s">
        <v>123</v>
      </c>
      <c r="AO93" t="str">
        <f t="shared" si="41"/>
        <v>REFUNDED</v>
      </c>
      <c r="AP93" t="str">
        <f t="shared" si="50"/>
        <v>REFUNDED_PAYMENT</v>
      </c>
      <c r="AQ93" t="s">
        <v>124</v>
      </c>
      <c r="AR93" t="str">
        <f t="shared" si="42"/>
        <v>RETURNED</v>
      </c>
      <c r="AS93" t="str">
        <f t="shared" si="51"/>
        <v>RETURNED_ORDER</v>
      </c>
      <c r="AT93">
        <f t="shared" si="52"/>
        <v>11276.947499999998</v>
      </c>
      <c r="AU93">
        <f t="shared" si="53"/>
        <v>4368.1874999999982</v>
      </c>
      <c r="AV93" s="6">
        <f t="shared" si="54"/>
        <v>-0.91780510639071455</v>
      </c>
      <c r="AW93" t="str">
        <f t="shared" si="55"/>
        <v>CLEAN</v>
      </c>
      <c r="AX93" s="10" t="str">
        <f t="shared" si="56"/>
        <v>MATCH</v>
      </c>
      <c r="AY93" t="str">
        <f t="shared" si="57"/>
        <v>MATCH</v>
      </c>
    </row>
    <row r="94" spans="1:51">
      <c r="A94" t="s">
        <v>822</v>
      </c>
      <c r="B94">
        <f t="shared" si="32"/>
        <v>1</v>
      </c>
      <c r="C94" t="s">
        <v>823</v>
      </c>
      <c r="D94" s="3">
        <v>45649</v>
      </c>
      <c r="E94" t="str">
        <f t="shared" si="33"/>
        <v>2024/12/23</v>
      </c>
      <c r="F94" t="str">
        <f t="shared" si="43"/>
        <v>December</v>
      </c>
      <c r="G94">
        <f t="shared" si="44"/>
        <v>2024</v>
      </c>
      <c r="H94" t="s">
        <v>824</v>
      </c>
      <c r="I94" s="4">
        <v>45656</v>
      </c>
      <c r="J94" s="8">
        <f t="shared" si="34"/>
        <v>7</v>
      </c>
      <c r="K94" s="8" t="str">
        <f t="shared" si="45"/>
        <v>OK</v>
      </c>
      <c r="L94" t="s">
        <v>825</v>
      </c>
      <c r="M94" t="s">
        <v>141</v>
      </c>
      <c r="N94" t="str">
        <f t="shared" si="35"/>
        <v>Priya Menon</v>
      </c>
      <c r="O94" t="s">
        <v>114</v>
      </c>
      <c r="P94" t="str">
        <f t="shared" si="59"/>
        <v>Home Office</v>
      </c>
      <c r="Q94" t="s">
        <v>72</v>
      </c>
      <c r="R94" t="str">
        <f t="shared" si="58"/>
        <v>West</v>
      </c>
      <c r="S94" t="str">
        <f t="shared" si="46"/>
        <v>OK</v>
      </c>
      <c r="T94" t="s">
        <v>248</v>
      </c>
      <c r="U94" t="str">
        <f t="shared" si="37"/>
        <v>Goa</v>
      </c>
      <c r="V94" t="s">
        <v>249</v>
      </c>
      <c r="W94" t="str">
        <f t="shared" si="38"/>
        <v>Panaji</v>
      </c>
      <c r="X94" t="str">
        <f t="shared" si="39"/>
        <v>Furniture</v>
      </c>
      <c r="Y94" t="s">
        <v>44</v>
      </c>
      <c r="Z94" t="s">
        <v>64</v>
      </c>
      <c r="AA94" t="str">
        <f t="shared" si="40"/>
        <v>Furnishings</v>
      </c>
      <c r="AB94" t="s">
        <v>826</v>
      </c>
      <c r="AC94" t="s">
        <v>55</v>
      </c>
      <c r="AD94" t="str">
        <f t="shared" ref="AD94:AD118" si="60">PROPER(TRIM(SUBSTITUTE(AC94,CHAR(160)," ")))</f>
        <v>First Class</v>
      </c>
      <c r="AE94" t="str">
        <f t="shared" si="47"/>
        <v>OK</v>
      </c>
      <c r="AF94">
        <v>8</v>
      </c>
      <c r="AG94">
        <v>386.1</v>
      </c>
      <c r="AH94">
        <v>0.1</v>
      </c>
      <c r="AI94">
        <f t="shared" si="48"/>
        <v>0.1</v>
      </c>
      <c r="AJ94" t="str">
        <f t="shared" si="49"/>
        <v>OK</v>
      </c>
      <c r="AK94">
        <v>2779.92</v>
      </c>
      <c r="AL94">
        <v>1744.05</v>
      </c>
      <c r="AM94">
        <v>1035.8699999999999</v>
      </c>
      <c r="AN94" t="s">
        <v>33</v>
      </c>
      <c r="AO94" t="str">
        <f t="shared" si="41"/>
        <v>PAID</v>
      </c>
      <c r="AP94" t="str">
        <f t="shared" si="50"/>
        <v>OK</v>
      </c>
      <c r="AQ94" t="s">
        <v>34</v>
      </c>
      <c r="AR94" t="str">
        <f t="shared" si="42"/>
        <v>COMPLETED</v>
      </c>
      <c r="AS94" t="str">
        <f t="shared" si="51"/>
        <v>OK</v>
      </c>
      <c r="AT94">
        <f t="shared" si="52"/>
        <v>2779.92</v>
      </c>
      <c r="AU94">
        <f t="shared" si="53"/>
        <v>1035.8700000000001</v>
      </c>
      <c r="AV94" s="6">
        <f t="shared" si="54"/>
        <v>0.55543684710351393</v>
      </c>
      <c r="AW94" t="str">
        <f t="shared" si="55"/>
        <v>CLEAN</v>
      </c>
      <c r="AX94" s="10" t="str">
        <f t="shared" si="56"/>
        <v>MATCH</v>
      </c>
      <c r="AY94" t="str">
        <f t="shared" si="57"/>
        <v>MATCH</v>
      </c>
    </row>
    <row r="95" spans="1:51">
      <c r="A95" t="s">
        <v>832</v>
      </c>
      <c r="B95">
        <f t="shared" si="32"/>
        <v>1</v>
      </c>
      <c r="C95" t="s">
        <v>833</v>
      </c>
      <c r="D95" s="3">
        <v>45321</v>
      </c>
      <c r="E95" t="str">
        <f t="shared" si="33"/>
        <v>2024/01/30</v>
      </c>
      <c r="F95" t="str">
        <f t="shared" si="43"/>
        <v>January</v>
      </c>
      <c r="G95">
        <f t="shared" si="44"/>
        <v>2024</v>
      </c>
      <c r="H95" t="s">
        <v>833</v>
      </c>
      <c r="I95" s="4">
        <v>45321</v>
      </c>
      <c r="J95" s="8">
        <f t="shared" si="34"/>
        <v>0</v>
      </c>
      <c r="K95" s="8" t="str">
        <f t="shared" si="45"/>
        <v>OK</v>
      </c>
      <c r="L95" t="s">
        <v>834</v>
      </c>
      <c r="M95" t="s">
        <v>161</v>
      </c>
      <c r="N95" t="str">
        <f t="shared" si="35"/>
        <v>Aarav Sharma</v>
      </c>
      <c r="O95" t="s">
        <v>40</v>
      </c>
      <c r="P95" t="str">
        <f t="shared" si="59"/>
        <v>Small Business</v>
      </c>
      <c r="Q95" t="s">
        <v>835</v>
      </c>
      <c r="R95" t="str">
        <f t="shared" si="58"/>
        <v>West</v>
      </c>
      <c r="S95" t="str">
        <f t="shared" si="46"/>
        <v>OK</v>
      </c>
      <c r="T95" t="s">
        <v>27</v>
      </c>
      <c r="U95" t="str">
        <f t="shared" si="37"/>
        <v>Rajasthan</v>
      </c>
      <c r="V95" t="s">
        <v>134</v>
      </c>
      <c r="W95" t="str">
        <f t="shared" si="38"/>
        <v>Udaipur</v>
      </c>
      <c r="X95" t="str">
        <f t="shared" si="39"/>
        <v>Technology</v>
      </c>
      <c r="Y95" t="s">
        <v>85</v>
      </c>
      <c r="Z95" t="s">
        <v>93</v>
      </c>
      <c r="AA95" t="str">
        <f t="shared" si="40"/>
        <v>Copiers</v>
      </c>
      <c r="AB95" t="s">
        <v>836</v>
      </c>
      <c r="AC95" t="s">
        <v>47</v>
      </c>
      <c r="AD95" t="str">
        <f t="shared" si="60"/>
        <v>Same Day</v>
      </c>
      <c r="AE95" t="str">
        <f t="shared" si="47"/>
        <v>OK</v>
      </c>
      <c r="AF95">
        <v>7</v>
      </c>
      <c r="AG95">
        <v>2527.61</v>
      </c>
      <c r="AH95">
        <v>0.25</v>
      </c>
      <c r="AI95">
        <f t="shared" si="48"/>
        <v>0.25</v>
      </c>
      <c r="AJ95" t="str">
        <f t="shared" si="49"/>
        <v>OK</v>
      </c>
      <c r="AK95">
        <v>13269.95</v>
      </c>
      <c r="AL95">
        <v>8977.1</v>
      </c>
      <c r="AM95">
        <v>4292.8500000000004</v>
      </c>
      <c r="AN95" t="s">
        <v>33</v>
      </c>
      <c r="AO95" t="str">
        <f t="shared" si="41"/>
        <v>PAID</v>
      </c>
      <c r="AP95" t="str">
        <f t="shared" si="50"/>
        <v>OK</v>
      </c>
      <c r="AQ95" t="s">
        <v>34</v>
      </c>
      <c r="AR95" t="str">
        <f t="shared" si="42"/>
        <v>COMPLETED</v>
      </c>
      <c r="AS95" t="str">
        <f t="shared" si="51"/>
        <v>OK</v>
      </c>
      <c r="AT95">
        <f t="shared" si="52"/>
        <v>13269.952499999999</v>
      </c>
      <c r="AU95">
        <f t="shared" si="53"/>
        <v>4292.8524999999991</v>
      </c>
      <c r="AV95" s="6">
        <f t="shared" si="54"/>
        <v>0.25460558355427426</v>
      </c>
      <c r="AW95" t="str">
        <f t="shared" si="55"/>
        <v>CLEAN</v>
      </c>
      <c r="AX95" s="10" t="str">
        <f t="shared" si="56"/>
        <v>MATCH</v>
      </c>
      <c r="AY95" t="str">
        <f t="shared" si="57"/>
        <v>MATCH</v>
      </c>
    </row>
    <row r="96" spans="1:51">
      <c r="A96" t="s">
        <v>837</v>
      </c>
      <c r="B96">
        <f t="shared" si="32"/>
        <v>1</v>
      </c>
      <c r="C96" t="s">
        <v>838</v>
      </c>
      <c r="D96" s="3">
        <v>45355</v>
      </c>
      <c r="E96" t="str">
        <f t="shared" si="33"/>
        <v>2024/03/04</v>
      </c>
      <c r="F96" t="str">
        <f t="shared" si="43"/>
        <v>March</v>
      </c>
      <c r="G96">
        <f t="shared" si="44"/>
        <v>2024</v>
      </c>
      <c r="H96" t="s">
        <v>839</v>
      </c>
      <c r="I96" s="4">
        <v>45363</v>
      </c>
      <c r="J96" s="8">
        <f t="shared" si="34"/>
        <v>8</v>
      </c>
      <c r="K96" s="8" t="str">
        <f t="shared" si="45"/>
        <v>OK</v>
      </c>
      <c r="L96" t="s">
        <v>840</v>
      </c>
      <c r="M96" t="s">
        <v>60</v>
      </c>
      <c r="N96" t="str">
        <f t="shared" si="35"/>
        <v>Arjun Bose</v>
      </c>
      <c r="O96" t="s">
        <v>25</v>
      </c>
      <c r="P96" t="str">
        <f t="shared" si="59"/>
        <v>Consumer</v>
      </c>
      <c r="R96" t="s">
        <v>4109</v>
      </c>
      <c r="S96" t="str">
        <f t="shared" si="46"/>
        <v>MISSING_REGION</v>
      </c>
      <c r="T96" t="s">
        <v>234</v>
      </c>
      <c r="U96" t="str">
        <f t="shared" si="37"/>
        <v>Gujarat</v>
      </c>
      <c r="V96" t="s">
        <v>235</v>
      </c>
      <c r="W96" t="str">
        <f t="shared" si="38"/>
        <v>Ahmedabad</v>
      </c>
      <c r="X96" t="str">
        <f t="shared" si="39"/>
        <v>Furniture</v>
      </c>
      <c r="Y96" t="s">
        <v>44</v>
      </c>
      <c r="Z96" t="s">
        <v>203</v>
      </c>
      <c r="AA96" t="str">
        <f t="shared" si="40"/>
        <v>Bookcases</v>
      </c>
      <c r="AB96" t="s">
        <v>841</v>
      </c>
      <c r="AC96" t="s">
        <v>55</v>
      </c>
      <c r="AD96" t="str">
        <f t="shared" si="60"/>
        <v>First Class</v>
      </c>
      <c r="AE96" t="str">
        <f t="shared" si="47"/>
        <v>OK</v>
      </c>
      <c r="AF96">
        <v>1</v>
      </c>
      <c r="AG96">
        <v>1554.12</v>
      </c>
      <c r="AH96">
        <v>0.1</v>
      </c>
      <c r="AI96">
        <f t="shared" si="48"/>
        <v>0.1</v>
      </c>
      <c r="AJ96" t="str">
        <f t="shared" si="49"/>
        <v>OK</v>
      </c>
      <c r="AK96">
        <v>1398.71</v>
      </c>
      <c r="AL96">
        <v>1056.92</v>
      </c>
      <c r="AM96">
        <v>341.79</v>
      </c>
      <c r="AN96" t="s">
        <v>33</v>
      </c>
      <c r="AO96" t="str">
        <f t="shared" si="41"/>
        <v>PAID</v>
      </c>
      <c r="AP96" t="str">
        <f t="shared" si="50"/>
        <v>OK</v>
      </c>
      <c r="AQ96" t="s">
        <v>34</v>
      </c>
      <c r="AR96" t="str">
        <f t="shared" si="42"/>
        <v>COMPLETED</v>
      </c>
      <c r="AS96" t="str">
        <f t="shared" si="51"/>
        <v>OK</v>
      </c>
      <c r="AT96">
        <f t="shared" si="52"/>
        <v>1398.7079999999999</v>
      </c>
      <c r="AU96">
        <f t="shared" si="53"/>
        <v>341.78799999999978</v>
      </c>
      <c r="AV96" s="6">
        <f t="shared" si="54"/>
        <v>0.5398131704401492</v>
      </c>
      <c r="AW96" t="str">
        <f t="shared" si="55"/>
        <v>WARNING</v>
      </c>
      <c r="AX96" s="10" t="str">
        <f t="shared" si="56"/>
        <v>MATCH</v>
      </c>
      <c r="AY96" t="str">
        <f t="shared" si="57"/>
        <v>MATCH</v>
      </c>
    </row>
    <row r="97" spans="1:51">
      <c r="A97" t="s">
        <v>842</v>
      </c>
      <c r="B97">
        <f t="shared" si="32"/>
        <v>1</v>
      </c>
      <c r="C97" t="s">
        <v>843</v>
      </c>
      <c r="D97" s="2">
        <v>45470</v>
      </c>
      <c r="E97" t="str">
        <f t="shared" si="33"/>
        <v>2024/06/27</v>
      </c>
      <c r="F97" t="str">
        <f t="shared" si="43"/>
        <v>June</v>
      </c>
      <c r="G97">
        <f t="shared" si="44"/>
        <v>2024</v>
      </c>
      <c r="H97" t="s">
        <v>844</v>
      </c>
      <c r="I97" s="4">
        <v>45470</v>
      </c>
      <c r="J97" s="8">
        <f t="shared" si="34"/>
        <v>0</v>
      </c>
      <c r="K97" s="8" t="str">
        <f t="shared" si="45"/>
        <v>OK</v>
      </c>
      <c r="L97" t="s">
        <v>845</v>
      </c>
      <c r="M97" t="s">
        <v>92</v>
      </c>
      <c r="N97" t="str">
        <f t="shared" si="35"/>
        <v>Neha Gupta</v>
      </c>
      <c r="O97" t="s">
        <v>114</v>
      </c>
      <c r="P97" t="str">
        <f t="shared" si="59"/>
        <v>Home Office</v>
      </c>
      <c r="R97" t="s">
        <v>4109</v>
      </c>
      <c r="S97" t="str">
        <f t="shared" si="46"/>
        <v>MISSING_REGION</v>
      </c>
      <c r="T97" t="s">
        <v>83</v>
      </c>
      <c r="U97" t="str">
        <f t="shared" si="37"/>
        <v>Madhya Pradesh</v>
      </c>
      <c r="V97" t="s">
        <v>84</v>
      </c>
      <c r="W97" t="str">
        <f t="shared" si="38"/>
        <v>Indore</v>
      </c>
      <c r="X97" t="str">
        <f t="shared" si="39"/>
        <v>Technology</v>
      </c>
      <c r="Y97" t="s">
        <v>85</v>
      </c>
      <c r="Z97" t="s">
        <v>93</v>
      </c>
      <c r="AA97" t="str">
        <f t="shared" si="40"/>
        <v>Copiers</v>
      </c>
      <c r="AB97" t="s">
        <v>846</v>
      </c>
      <c r="AC97" t="s">
        <v>66</v>
      </c>
      <c r="AD97" t="str">
        <f t="shared" si="60"/>
        <v>Standard Class</v>
      </c>
      <c r="AE97" t="str">
        <f t="shared" si="47"/>
        <v>OK</v>
      </c>
      <c r="AF97">
        <v>2</v>
      </c>
      <c r="AG97">
        <v>3859.11</v>
      </c>
      <c r="AH97">
        <v>0</v>
      </c>
      <c r="AI97">
        <f t="shared" si="48"/>
        <v>0</v>
      </c>
      <c r="AJ97" t="str">
        <f t="shared" si="49"/>
        <v>OK</v>
      </c>
      <c r="AK97">
        <v>7718.22</v>
      </c>
      <c r="AL97">
        <v>5355.93</v>
      </c>
      <c r="AM97">
        <v>2362.29</v>
      </c>
      <c r="AN97" t="s">
        <v>136</v>
      </c>
      <c r="AO97" t="str">
        <f t="shared" si="41"/>
        <v>PENDING</v>
      </c>
      <c r="AP97" t="str">
        <f t="shared" si="50"/>
        <v>OK</v>
      </c>
      <c r="AQ97" t="s">
        <v>124</v>
      </c>
      <c r="AR97" t="str">
        <f t="shared" si="42"/>
        <v>RETURNED</v>
      </c>
      <c r="AS97" t="str">
        <f t="shared" si="51"/>
        <v>RETURNED_ORDER</v>
      </c>
      <c r="AT97">
        <f t="shared" si="52"/>
        <v>7718.22</v>
      </c>
      <c r="AU97">
        <f t="shared" si="53"/>
        <v>2362.29</v>
      </c>
      <c r="AV97" s="6">
        <f t="shared" si="54"/>
        <v>5.8093835107058345E-2</v>
      </c>
      <c r="AW97" t="str">
        <f t="shared" si="55"/>
        <v>WARNING</v>
      </c>
      <c r="AX97" s="10" t="str">
        <f t="shared" si="56"/>
        <v>MATCH</v>
      </c>
      <c r="AY97" t="str">
        <f t="shared" si="57"/>
        <v>MATCH</v>
      </c>
    </row>
    <row r="98" spans="1:51">
      <c r="A98" t="s">
        <v>847</v>
      </c>
      <c r="B98">
        <f t="shared" si="32"/>
        <v>1</v>
      </c>
      <c r="C98" t="s">
        <v>848</v>
      </c>
      <c r="D98" s="2">
        <v>45457</v>
      </c>
      <c r="E98" t="str">
        <f t="shared" si="33"/>
        <v>2024/06/14</v>
      </c>
      <c r="F98" t="str">
        <f t="shared" si="43"/>
        <v>June</v>
      </c>
      <c r="G98">
        <f t="shared" si="44"/>
        <v>2024</v>
      </c>
      <c r="H98" t="s">
        <v>849</v>
      </c>
      <c r="I98" s="4">
        <v>45460</v>
      </c>
      <c r="J98" s="8">
        <f t="shared" si="34"/>
        <v>3</v>
      </c>
      <c r="K98" s="8" t="str">
        <f t="shared" si="45"/>
        <v>OK</v>
      </c>
      <c r="L98" t="s">
        <v>850</v>
      </c>
      <c r="M98" t="s">
        <v>365</v>
      </c>
      <c r="N98" t="str">
        <f t="shared" si="35"/>
        <v>Kabir Singh</v>
      </c>
      <c r="O98" t="s">
        <v>40</v>
      </c>
      <c r="P98" t="str">
        <f t="shared" si="59"/>
        <v>Small Business</v>
      </c>
      <c r="Q98" t="s">
        <v>61</v>
      </c>
      <c r="R98" t="str">
        <f t="shared" ref="R98:R105" si="61">PROPER(TRIM(SUBSTITUTE(Q98,CHAR(160)," ")))</f>
        <v>South</v>
      </c>
      <c r="S98" t="str">
        <f t="shared" si="46"/>
        <v>OK</v>
      </c>
      <c r="T98" t="s">
        <v>241</v>
      </c>
      <c r="U98" t="str">
        <f t="shared" si="37"/>
        <v>Kerala</v>
      </c>
      <c r="V98" t="s">
        <v>242</v>
      </c>
      <c r="W98" t="str">
        <f t="shared" si="38"/>
        <v>Kochi</v>
      </c>
      <c r="X98" t="str">
        <f t="shared" si="39"/>
        <v>Furniture</v>
      </c>
      <c r="Y98" t="s">
        <v>44</v>
      </c>
      <c r="Z98" t="s">
        <v>45</v>
      </c>
      <c r="AA98" t="str">
        <f t="shared" si="40"/>
        <v>Tables</v>
      </c>
      <c r="AB98" t="s">
        <v>851</v>
      </c>
      <c r="AC98" t="s">
        <v>32</v>
      </c>
      <c r="AD98" t="str">
        <f t="shared" si="60"/>
        <v>Second Class</v>
      </c>
      <c r="AE98" t="str">
        <f t="shared" si="47"/>
        <v>OK</v>
      </c>
      <c r="AF98">
        <v>6</v>
      </c>
      <c r="AG98">
        <v>1088.04</v>
      </c>
      <c r="AH98">
        <v>0.1</v>
      </c>
      <c r="AI98">
        <f t="shared" si="48"/>
        <v>0.1</v>
      </c>
      <c r="AJ98" t="str">
        <f t="shared" si="49"/>
        <v>OK</v>
      </c>
      <c r="AK98">
        <v>5875.42</v>
      </c>
      <c r="AL98">
        <v>4380.55</v>
      </c>
      <c r="AM98">
        <v>1494.87</v>
      </c>
      <c r="AN98" t="s">
        <v>136</v>
      </c>
      <c r="AO98" t="str">
        <f t="shared" si="41"/>
        <v>PENDING</v>
      </c>
      <c r="AP98" t="str">
        <f t="shared" si="50"/>
        <v>OK</v>
      </c>
      <c r="AQ98" t="s">
        <v>124</v>
      </c>
      <c r="AR98" t="str">
        <f t="shared" si="42"/>
        <v>RETURNED</v>
      </c>
      <c r="AS98" t="str">
        <f t="shared" si="51"/>
        <v>RETURNED_ORDER</v>
      </c>
      <c r="AT98">
        <f t="shared" si="52"/>
        <v>5875.4160000000002</v>
      </c>
      <c r="AU98">
        <f t="shared" si="53"/>
        <v>1494.866</v>
      </c>
      <c r="AV98" s="6">
        <f t="shared" si="54"/>
        <v>0.74845253510559939</v>
      </c>
      <c r="AW98" t="str">
        <f t="shared" si="55"/>
        <v>CLEAN</v>
      </c>
      <c r="AX98" s="10" t="str">
        <f t="shared" si="56"/>
        <v>MATCH</v>
      </c>
      <c r="AY98" t="str">
        <f t="shared" si="57"/>
        <v>MATCH</v>
      </c>
    </row>
    <row r="99" spans="1:51">
      <c r="A99" t="s">
        <v>857</v>
      </c>
      <c r="B99">
        <f t="shared" si="32"/>
        <v>1</v>
      </c>
      <c r="C99" t="s">
        <v>858</v>
      </c>
      <c r="D99" s="2">
        <v>45628</v>
      </c>
      <c r="E99" t="str">
        <f t="shared" si="33"/>
        <v>2024/12/02</v>
      </c>
      <c r="F99" t="str">
        <f t="shared" si="43"/>
        <v>December</v>
      </c>
      <c r="G99">
        <f t="shared" si="44"/>
        <v>2024</v>
      </c>
      <c r="H99" t="s">
        <v>859</v>
      </c>
      <c r="I99" s="4">
        <v>45333</v>
      </c>
      <c r="J99" s="8">
        <f t="shared" si="34"/>
        <v>-295</v>
      </c>
      <c r="K99" s="8" t="str">
        <f t="shared" si="45"/>
        <v>INVAILD_SHIPPING</v>
      </c>
      <c r="L99" t="s">
        <v>668</v>
      </c>
      <c r="M99" t="s">
        <v>141</v>
      </c>
      <c r="N99" t="str">
        <f t="shared" si="35"/>
        <v>Priya Menon</v>
      </c>
      <c r="O99" t="s">
        <v>25</v>
      </c>
      <c r="P99" t="str">
        <f t="shared" si="59"/>
        <v>Consumer</v>
      </c>
      <c r="Q99" t="s">
        <v>61</v>
      </c>
      <c r="R99" t="str">
        <f t="shared" si="61"/>
        <v>South</v>
      </c>
      <c r="S99" t="str">
        <f t="shared" si="46"/>
        <v>OK</v>
      </c>
      <c r="T99" t="s">
        <v>338</v>
      </c>
      <c r="U99" t="str">
        <f t="shared" si="37"/>
        <v>Tamil Nadu</v>
      </c>
      <c r="V99" t="s">
        <v>339</v>
      </c>
      <c r="W99" t="str">
        <f t="shared" si="38"/>
        <v>Chennai</v>
      </c>
      <c r="X99" t="str">
        <f t="shared" si="39"/>
        <v>Furniture</v>
      </c>
      <c r="Y99" t="s">
        <v>44</v>
      </c>
      <c r="Z99" t="s">
        <v>203</v>
      </c>
      <c r="AA99" t="str">
        <f t="shared" si="40"/>
        <v>Bookcases</v>
      </c>
      <c r="AB99" t="s">
        <v>860</v>
      </c>
      <c r="AC99" t="s">
        <v>47</v>
      </c>
      <c r="AD99" t="str">
        <f t="shared" si="60"/>
        <v>Same Day</v>
      </c>
      <c r="AE99" t="str">
        <f t="shared" si="47"/>
        <v>OK</v>
      </c>
      <c r="AF99">
        <v>1</v>
      </c>
      <c r="AG99">
        <v>2599.12</v>
      </c>
      <c r="AH99">
        <v>0.15</v>
      </c>
      <c r="AI99">
        <f t="shared" si="48"/>
        <v>0.15</v>
      </c>
      <c r="AJ99" t="str">
        <f t="shared" si="49"/>
        <v>OK</v>
      </c>
      <c r="AK99">
        <v>2209.25</v>
      </c>
      <c r="AL99">
        <v>1523.78</v>
      </c>
      <c r="AM99">
        <v>685.47</v>
      </c>
      <c r="AN99" t="s">
        <v>33</v>
      </c>
      <c r="AO99" t="str">
        <f t="shared" si="41"/>
        <v>PAID</v>
      </c>
      <c r="AP99" t="str">
        <f t="shared" si="50"/>
        <v>OK</v>
      </c>
      <c r="AQ99" t="s">
        <v>34</v>
      </c>
      <c r="AR99" t="str">
        <f t="shared" si="42"/>
        <v>COMPLETED</v>
      </c>
      <c r="AS99" t="str">
        <f t="shared" si="51"/>
        <v>OK</v>
      </c>
      <c r="AT99">
        <f t="shared" si="52"/>
        <v>2209.252</v>
      </c>
      <c r="AU99">
        <f t="shared" si="53"/>
        <v>685.47199999999998</v>
      </c>
      <c r="AV99" s="6">
        <f t="shared" si="54"/>
        <v>6.8461633168149211E-2</v>
      </c>
      <c r="AW99" t="str">
        <f t="shared" si="55"/>
        <v>CLEAN</v>
      </c>
      <c r="AX99" s="10" t="str">
        <f t="shared" si="56"/>
        <v>MATCH</v>
      </c>
      <c r="AY99" t="str">
        <f t="shared" si="57"/>
        <v>MATCH</v>
      </c>
    </row>
    <row r="100" spans="1:51">
      <c r="A100" t="s">
        <v>869</v>
      </c>
      <c r="B100">
        <f t="shared" si="32"/>
        <v>1</v>
      </c>
      <c r="C100" t="s">
        <v>870</v>
      </c>
      <c r="D100" s="3">
        <v>45587</v>
      </c>
      <c r="E100" t="str">
        <f t="shared" si="33"/>
        <v>2024/10/22</v>
      </c>
      <c r="F100" t="str">
        <f t="shared" si="43"/>
        <v>October</v>
      </c>
      <c r="G100">
        <f t="shared" si="44"/>
        <v>2024</v>
      </c>
      <c r="H100" t="s">
        <v>871</v>
      </c>
      <c r="I100" s="4">
        <v>45589</v>
      </c>
      <c r="J100" s="8">
        <f t="shared" si="34"/>
        <v>2</v>
      </c>
      <c r="K100" s="8" t="str">
        <f t="shared" si="45"/>
        <v>OK</v>
      </c>
      <c r="L100" t="s">
        <v>872</v>
      </c>
      <c r="M100" t="s">
        <v>179</v>
      </c>
      <c r="N100" t="str">
        <f t="shared" si="35"/>
        <v>Rohan Mehta</v>
      </c>
      <c r="O100" t="s">
        <v>40</v>
      </c>
      <c r="P100" t="str">
        <f t="shared" si="59"/>
        <v>Small Business</v>
      </c>
      <c r="Q100" t="s">
        <v>61</v>
      </c>
      <c r="R100" t="str">
        <f t="shared" si="61"/>
        <v>South</v>
      </c>
      <c r="S100" t="str">
        <f t="shared" si="46"/>
        <v>OK</v>
      </c>
      <c r="T100" t="s">
        <v>99</v>
      </c>
      <c r="U100" t="str">
        <f t="shared" si="37"/>
        <v>Andhra Pradesh</v>
      </c>
      <c r="V100" t="s">
        <v>100</v>
      </c>
      <c r="W100" t="str">
        <f t="shared" si="38"/>
        <v>Vijayawada</v>
      </c>
      <c r="X100" t="str">
        <f t="shared" si="39"/>
        <v>Furniture</v>
      </c>
      <c r="Y100" t="s">
        <v>44</v>
      </c>
      <c r="Z100" t="s">
        <v>203</v>
      </c>
      <c r="AA100" t="str">
        <f t="shared" si="40"/>
        <v>Bookcases</v>
      </c>
      <c r="AB100" t="s">
        <v>873</v>
      </c>
      <c r="AC100" t="s">
        <v>66</v>
      </c>
      <c r="AD100" t="str">
        <f t="shared" si="60"/>
        <v>Standard Class</v>
      </c>
      <c r="AE100" t="str">
        <f t="shared" si="47"/>
        <v>OK</v>
      </c>
      <c r="AF100">
        <v>3</v>
      </c>
      <c r="AG100">
        <v>915.84</v>
      </c>
      <c r="AH100">
        <v>0.15</v>
      </c>
      <c r="AI100">
        <f t="shared" si="48"/>
        <v>0.15</v>
      </c>
      <c r="AJ100" t="str">
        <f t="shared" si="49"/>
        <v>OK</v>
      </c>
      <c r="AK100">
        <v>2335.39</v>
      </c>
      <c r="AL100">
        <v>1466.15</v>
      </c>
      <c r="AM100">
        <v>869.24</v>
      </c>
      <c r="AN100" t="s">
        <v>33</v>
      </c>
      <c r="AO100" t="str">
        <f t="shared" si="41"/>
        <v>PAID</v>
      </c>
      <c r="AP100" t="str">
        <f t="shared" si="50"/>
        <v>OK</v>
      </c>
      <c r="AQ100" t="s">
        <v>34</v>
      </c>
      <c r="AR100" t="str">
        <f t="shared" si="42"/>
        <v>COMPLETED</v>
      </c>
      <c r="AS100" t="str">
        <f t="shared" si="51"/>
        <v>OK</v>
      </c>
      <c r="AT100">
        <f t="shared" si="52"/>
        <v>2335.3919999999998</v>
      </c>
      <c r="AU100">
        <f t="shared" si="53"/>
        <v>869.24199999999973</v>
      </c>
      <c r="AV100" s="6">
        <f t="shared" si="54"/>
        <v>0.3238471314451708</v>
      </c>
      <c r="AW100" t="str">
        <f t="shared" si="55"/>
        <v>CLEAN</v>
      </c>
      <c r="AX100" s="10" t="str">
        <f t="shared" si="56"/>
        <v>MATCH</v>
      </c>
      <c r="AY100" t="str">
        <f t="shared" si="57"/>
        <v>MATCH</v>
      </c>
    </row>
    <row r="101" spans="1:51">
      <c r="A101" t="s">
        <v>874</v>
      </c>
      <c r="B101">
        <f t="shared" si="32"/>
        <v>1</v>
      </c>
      <c r="C101" t="s">
        <v>875</v>
      </c>
      <c r="D101" s="3">
        <v>45544</v>
      </c>
      <c r="E101" t="str">
        <f t="shared" si="33"/>
        <v>2024/09/09</v>
      </c>
      <c r="F101" t="str">
        <f t="shared" si="43"/>
        <v>September</v>
      </c>
      <c r="G101">
        <f t="shared" si="44"/>
        <v>2024</v>
      </c>
      <c r="H101" t="s">
        <v>876</v>
      </c>
      <c r="I101" s="4">
        <v>45546</v>
      </c>
      <c r="J101" s="8">
        <f t="shared" si="34"/>
        <v>2</v>
      </c>
      <c r="K101" s="8" t="str">
        <f t="shared" si="45"/>
        <v>OK</v>
      </c>
      <c r="L101" t="s">
        <v>877</v>
      </c>
      <c r="M101" t="s">
        <v>92</v>
      </c>
      <c r="N101" t="str">
        <f t="shared" si="35"/>
        <v>Neha Gupta</v>
      </c>
      <c r="O101" t="s">
        <v>114</v>
      </c>
      <c r="P101" t="str">
        <f t="shared" si="59"/>
        <v>Home Office</v>
      </c>
      <c r="Q101" t="s">
        <v>61</v>
      </c>
      <c r="R101" t="str">
        <f t="shared" si="61"/>
        <v>South</v>
      </c>
      <c r="S101" t="str">
        <f t="shared" si="46"/>
        <v>OK</v>
      </c>
      <c r="T101" t="s">
        <v>62</v>
      </c>
      <c r="U101" t="str">
        <f t="shared" si="37"/>
        <v>Telangana</v>
      </c>
      <c r="V101" t="s">
        <v>63</v>
      </c>
      <c r="W101" t="str">
        <f t="shared" si="38"/>
        <v>Hyderabad</v>
      </c>
      <c r="X101" t="str">
        <f t="shared" si="39"/>
        <v>Furniture</v>
      </c>
      <c r="Y101" t="s">
        <v>44</v>
      </c>
      <c r="Z101" t="s">
        <v>203</v>
      </c>
      <c r="AA101" t="str">
        <f t="shared" si="40"/>
        <v>Bookcases</v>
      </c>
      <c r="AB101" t="s">
        <v>878</v>
      </c>
      <c r="AC101" t="s">
        <v>55</v>
      </c>
      <c r="AD101" t="str">
        <f t="shared" si="60"/>
        <v>First Class</v>
      </c>
      <c r="AE101" t="str">
        <f t="shared" si="47"/>
        <v>OK</v>
      </c>
      <c r="AF101">
        <v>1</v>
      </c>
      <c r="AG101">
        <v>4199.54</v>
      </c>
      <c r="AH101">
        <v>0.05</v>
      </c>
      <c r="AI101">
        <f t="shared" si="48"/>
        <v>0.05</v>
      </c>
      <c r="AJ101" t="str">
        <f t="shared" si="49"/>
        <v>OK</v>
      </c>
      <c r="AK101">
        <v>3989.56</v>
      </c>
      <c r="AL101">
        <v>2381.38</v>
      </c>
      <c r="AM101">
        <v>1608.18</v>
      </c>
      <c r="AN101" t="s">
        <v>33</v>
      </c>
      <c r="AO101" t="str">
        <f t="shared" si="41"/>
        <v>PAID</v>
      </c>
      <c r="AP101" t="str">
        <f t="shared" si="50"/>
        <v>OK</v>
      </c>
      <c r="AQ101" t="s">
        <v>34</v>
      </c>
      <c r="AR101" t="str">
        <f t="shared" si="42"/>
        <v>COMPLETED</v>
      </c>
      <c r="AS101" t="str">
        <f t="shared" si="51"/>
        <v>OK</v>
      </c>
      <c r="AT101">
        <f t="shared" si="52"/>
        <v>3989.5629999999996</v>
      </c>
      <c r="AU101">
        <f t="shared" si="53"/>
        <v>1608.1829999999995</v>
      </c>
      <c r="AV101" s="6">
        <f t="shared" si="54"/>
        <v>0.29935358835040321</v>
      </c>
      <c r="AW101" t="str">
        <f t="shared" si="55"/>
        <v>CLEAN</v>
      </c>
      <c r="AX101" s="10" t="str">
        <f t="shared" si="56"/>
        <v>MATCH</v>
      </c>
      <c r="AY101" t="str">
        <f t="shared" si="57"/>
        <v>MATCH</v>
      </c>
    </row>
    <row r="102" spans="1:51">
      <c r="A102" t="s">
        <v>895</v>
      </c>
      <c r="B102">
        <f t="shared" si="32"/>
        <v>1</v>
      </c>
      <c r="C102" t="s">
        <v>896</v>
      </c>
      <c r="D102" s="3">
        <v>45538</v>
      </c>
      <c r="E102" t="str">
        <f t="shared" si="33"/>
        <v>2024/09/03</v>
      </c>
      <c r="F102" t="str">
        <f t="shared" si="43"/>
        <v>September</v>
      </c>
      <c r="G102">
        <f t="shared" si="44"/>
        <v>2024</v>
      </c>
      <c r="H102" t="s">
        <v>897</v>
      </c>
      <c r="I102" s="4">
        <v>45365</v>
      </c>
      <c r="J102" s="8">
        <f t="shared" si="34"/>
        <v>-173</v>
      </c>
      <c r="K102" s="8" t="str">
        <f t="shared" si="45"/>
        <v>INVAILD_SHIPPING</v>
      </c>
      <c r="L102" t="s">
        <v>898</v>
      </c>
      <c r="M102" t="s">
        <v>92</v>
      </c>
      <c r="N102" t="str">
        <f t="shared" si="35"/>
        <v>Neha Gupta</v>
      </c>
      <c r="O102" t="s">
        <v>40</v>
      </c>
      <c r="P102" t="str">
        <f t="shared" si="59"/>
        <v>Small Business</v>
      </c>
      <c r="Q102" t="s">
        <v>72</v>
      </c>
      <c r="R102" t="str">
        <f t="shared" si="61"/>
        <v>West</v>
      </c>
      <c r="S102" t="str">
        <f t="shared" si="46"/>
        <v>OK</v>
      </c>
      <c r="T102" t="s">
        <v>248</v>
      </c>
      <c r="U102" t="str">
        <f t="shared" si="37"/>
        <v>Goa</v>
      </c>
      <c r="V102" t="s">
        <v>249</v>
      </c>
      <c r="W102" t="str">
        <f t="shared" si="38"/>
        <v>Panaji</v>
      </c>
      <c r="X102" t="str">
        <f t="shared" si="39"/>
        <v>Furniture</v>
      </c>
      <c r="Y102" t="s">
        <v>44</v>
      </c>
      <c r="Z102" t="s">
        <v>64</v>
      </c>
      <c r="AA102" t="str">
        <f t="shared" si="40"/>
        <v>Furnishings</v>
      </c>
      <c r="AB102" t="s">
        <v>899</v>
      </c>
      <c r="AC102" t="s">
        <v>32</v>
      </c>
      <c r="AD102" t="str">
        <f t="shared" si="60"/>
        <v>Second Class</v>
      </c>
      <c r="AE102" t="str">
        <f t="shared" si="47"/>
        <v>OK</v>
      </c>
      <c r="AF102">
        <v>8</v>
      </c>
      <c r="AG102">
        <v>4472.84</v>
      </c>
      <c r="AH102">
        <v>0</v>
      </c>
      <c r="AI102">
        <f t="shared" si="48"/>
        <v>0</v>
      </c>
      <c r="AJ102" t="str">
        <f t="shared" si="49"/>
        <v>OK</v>
      </c>
      <c r="AK102">
        <v>35997.620000000003</v>
      </c>
      <c r="AL102">
        <v>26424.41</v>
      </c>
      <c r="AM102">
        <v>9358.31</v>
      </c>
      <c r="AN102" t="s">
        <v>136</v>
      </c>
      <c r="AO102" t="str">
        <f t="shared" si="41"/>
        <v>PENDING</v>
      </c>
      <c r="AP102" t="str">
        <f t="shared" si="50"/>
        <v>OK</v>
      </c>
      <c r="AQ102" t="s">
        <v>124</v>
      </c>
      <c r="AR102" t="str">
        <f t="shared" si="42"/>
        <v>RETURNED</v>
      </c>
      <c r="AS102" t="str">
        <f t="shared" si="51"/>
        <v>RETURNED_ORDER</v>
      </c>
      <c r="AT102">
        <f t="shared" si="52"/>
        <v>35782.720000000001</v>
      </c>
      <c r="AU102">
        <f t="shared" si="53"/>
        <v>9358.3100000000013</v>
      </c>
      <c r="AV102" s="6">
        <f t="shared" si="54"/>
        <v>0.11556527843607188</v>
      </c>
      <c r="AW102" t="str">
        <f t="shared" si="55"/>
        <v>CLEAN</v>
      </c>
      <c r="AX102" s="10" t="str">
        <f t="shared" si="56"/>
        <v>MISMATCH</v>
      </c>
      <c r="AY102" t="str">
        <f t="shared" si="57"/>
        <v>MATCH</v>
      </c>
    </row>
    <row r="103" spans="1:51">
      <c r="A103" t="s">
        <v>909</v>
      </c>
      <c r="B103">
        <f t="shared" si="32"/>
        <v>1</v>
      </c>
      <c r="C103" t="s">
        <v>910</v>
      </c>
      <c r="D103" s="3">
        <v>45618</v>
      </c>
      <c r="E103" t="str">
        <f t="shared" si="33"/>
        <v>2024/11/22</v>
      </c>
      <c r="F103" t="str">
        <f t="shared" si="43"/>
        <v>November</v>
      </c>
      <c r="G103">
        <f t="shared" si="44"/>
        <v>2024</v>
      </c>
      <c r="H103" t="s">
        <v>911</v>
      </c>
      <c r="I103" s="4">
        <v>45625</v>
      </c>
      <c r="J103" s="8">
        <f t="shared" si="34"/>
        <v>7</v>
      </c>
      <c r="K103" s="8" t="str">
        <f t="shared" si="45"/>
        <v>OK</v>
      </c>
      <c r="L103" t="s">
        <v>912</v>
      </c>
      <c r="M103" t="s">
        <v>39</v>
      </c>
      <c r="N103" t="str">
        <f t="shared" si="35"/>
        <v>Mira Das</v>
      </c>
      <c r="O103" t="s">
        <v>114</v>
      </c>
      <c r="P103" t="str">
        <f t="shared" si="59"/>
        <v>Home Office</v>
      </c>
      <c r="Q103" t="s">
        <v>41</v>
      </c>
      <c r="R103" t="str">
        <f t="shared" si="61"/>
        <v>East</v>
      </c>
      <c r="S103" t="str">
        <f t="shared" si="46"/>
        <v>OK</v>
      </c>
      <c r="T103" t="s">
        <v>185</v>
      </c>
      <c r="U103" t="str">
        <f t="shared" si="37"/>
        <v>Bihar</v>
      </c>
      <c r="V103" t="s">
        <v>186</v>
      </c>
      <c r="W103" t="str">
        <f t="shared" si="38"/>
        <v>Patna</v>
      </c>
      <c r="X103" t="str">
        <f t="shared" si="39"/>
        <v>Furniture</v>
      </c>
      <c r="Y103" t="s">
        <v>44</v>
      </c>
      <c r="Z103" t="s">
        <v>75</v>
      </c>
      <c r="AA103" t="str">
        <f t="shared" si="40"/>
        <v>Chairs</v>
      </c>
      <c r="AB103" t="s">
        <v>913</v>
      </c>
      <c r="AC103" t="s">
        <v>66</v>
      </c>
      <c r="AD103" t="str">
        <f t="shared" si="60"/>
        <v>Standard Class</v>
      </c>
      <c r="AE103" t="str">
        <f t="shared" si="47"/>
        <v>OK</v>
      </c>
      <c r="AF103">
        <v>4</v>
      </c>
      <c r="AG103">
        <v>3422.99</v>
      </c>
      <c r="AH103">
        <v>0.25</v>
      </c>
      <c r="AI103">
        <f t="shared" si="48"/>
        <v>0.25</v>
      </c>
      <c r="AJ103" t="str">
        <f t="shared" si="49"/>
        <v>OK</v>
      </c>
      <c r="AK103">
        <v>10268.969999999999</v>
      </c>
      <c r="AL103">
        <v>6470.92</v>
      </c>
      <c r="AM103">
        <v>3798.05</v>
      </c>
      <c r="AN103" t="s">
        <v>33</v>
      </c>
      <c r="AO103" t="str">
        <f t="shared" si="41"/>
        <v>PAID</v>
      </c>
      <c r="AP103" t="str">
        <f t="shared" si="50"/>
        <v>OK</v>
      </c>
      <c r="AQ103" t="s">
        <v>34</v>
      </c>
      <c r="AR103" t="str">
        <f t="shared" si="42"/>
        <v>COMPLETED</v>
      </c>
      <c r="AS103" t="str">
        <f t="shared" si="51"/>
        <v>OK</v>
      </c>
      <c r="AT103">
        <f t="shared" si="52"/>
        <v>10268.969999999999</v>
      </c>
      <c r="AU103">
        <f t="shared" si="53"/>
        <v>3798.0499999999993</v>
      </c>
      <c r="AV103" s="6">
        <f t="shared" si="54"/>
        <v>8.1712187298239227E-3</v>
      </c>
      <c r="AW103" t="str">
        <f t="shared" si="55"/>
        <v>CLEAN</v>
      </c>
      <c r="AX103" s="10" t="str">
        <f t="shared" si="56"/>
        <v>MATCH</v>
      </c>
      <c r="AY103" t="str">
        <f t="shared" si="57"/>
        <v>MATCH</v>
      </c>
    </row>
    <row r="104" spans="1:51">
      <c r="A104" t="s">
        <v>946</v>
      </c>
      <c r="B104">
        <f t="shared" si="32"/>
        <v>1</v>
      </c>
      <c r="C104" t="s">
        <v>947</v>
      </c>
      <c r="D104" s="3">
        <v>45414</v>
      </c>
      <c r="E104" t="str">
        <f t="shared" si="33"/>
        <v>2024/05/02</v>
      </c>
      <c r="F104" t="str">
        <f t="shared" si="43"/>
        <v>May</v>
      </c>
      <c r="G104">
        <f t="shared" si="44"/>
        <v>2024</v>
      </c>
      <c r="H104" t="s">
        <v>948</v>
      </c>
      <c r="I104" s="4">
        <v>45420</v>
      </c>
      <c r="J104" s="8">
        <f t="shared" si="34"/>
        <v>6</v>
      </c>
      <c r="K104" s="8" t="str">
        <f t="shared" si="45"/>
        <v>OK</v>
      </c>
      <c r="L104" t="s">
        <v>949</v>
      </c>
      <c r="M104" t="s">
        <v>950</v>
      </c>
      <c r="N104" t="str">
        <f t="shared" si="35"/>
        <v>Priya Menon</v>
      </c>
      <c r="O104" t="s">
        <v>114</v>
      </c>
      <c r="P104" t="str">
        <f t="shared" si="59"/>
        <v>Home Office</v>
      </c>
      <c r="Q104" t="s">
        <v>26</v>
      </c>
      <c r="R104" t="str">
        <f t="shared" si="61"/>
        <v>North</v>
      </c>
      <c r="S104" t="str">
        <f t="shared" si="46"/>
        <v>OK</v>
      </c>
      <c r="T104" t="s">
        <v>153</v>
      </c>
      <c r="U104" t="str">
        <f t="shared" si="37"/>
        <v>Punjab</v>
      </c>
      <c r="V104" t="s">
        <v>154</v>
      </c>
      <c r="W104" t="str">
        <f t="shared" si="38"/>
        <v>Ludhiana</v>
      </c>
      <c r="X104" t="str">
        <f t="shared" si="39"/>
        <v>Technology</v>
      </c>
      <c r="Y104" t="s">
        <v>85</v>
      </c>
      <c r="Z104" t="s">
        <v>93</v>
      </c>
      <c r="AA104" t="str">
        <f t="shared" si="40"/>
        <v>Copiers</v>
      </c>
      <c r="AB104" t="s">
        <v>951</v>
      </c>
      <c r="AC104" t="s">
        <v>32</v>
      </c>
      <c r="AD104" t="str">
        <f t="shared" si="60"/>
        <v>Second Class</v>
      </c>
      <c r="AE104" t="str">
        <f t="shared" si="47"/>
        <v>OK</v>
      </c>
      <c r="AF104">
        <v>1</v>
      </c>
      <c r="AG104">
        <v>2312.25</v>
      </c>
      <c r="AH104">
        <v>0.25</v>
      </c>
      <c r="AI104">
        <f t="shared" si="48"/>
        <v>0.25</v>
      </c>
      <c r="AJ104" t="str">
        <f t="shared" si="49"/>
        <v>OK</v>
      </c>
      <c r="AK104">
        <v>1734.19</v>
      </c>
      <c r="AL104">
        <v>1386.07</v>
      </c>
      <c r="AM104">
        <v>348.12</v>
      </c>
      <c r="AN104" t="s">
        <v>33</v>
      </c>
      <c r="AO104" t="str">
        <f t="shared" si="41"/>
        <v>PAID</v>
      </c>
      <c r="AP104" t="str">
        <f t="shared" si="50"/>
        <v>OK</v>
      </c>
      <c r="AQ104" t="s">
        <v>34</v>
      </c>
      <c r="AR104" t="str">
        <f t="shared" si="42"/>
        <v>COMPLETED</v>
      </c>
      <c r="AS104" t="str">
        <f t="shared" si="51"/>
        <v>OK</v>
      </c>
      <c r="AT104">
        <f t="shared" si="52"/>
        <v>1734.1875</v>
      </c>
      <c r="AU104">
        <f t="shared" si="53"/>
        <v>348.11750000000006</v>
      </c>
      <c r="AV104" s="6">
        <f t="shared" si="54"/>
        <v>1.4823518218185747</v>
      </c>
      <c r="AW104" t="str">
        <f t="shared" si="55"/>
        <v>CLEAN</v>
      </c>
      <c r="AX104" s="10" t="str">
        <f t="shared" si="56"/>
        <v>MATCH</v>
      </c>
      <c r="AY104" t="str">
        <f t="shared" si="57"/>
        <v>MATCH</v>
      </c>
    </row>
    <row r="105" spans="1:51">
      <c r="A105" t="s">
        <v>957</v>
      </c>
      <c r="B105">
        <f t="shared" si="32"/>
        <v>1</v>
      </c>
      <c r="C105" t="s">
        <v>741</v>
      </c>
      <c r="D105" s="3">
        <v>45318</v>
      </c>
      <c r="E105" t="str">
        <f t="shared" si="33"/>
        <v>2024/01/27</v>
      </c>
      <c r="F105" t="str">
        <f t="shared" si="43"/>
        <v>January</v>
      </c>
      <c r="G105">
        <f t="shared" si="44"/>
        <v>2024</v>
      </c>
      <c r="H105" t="s">
        <v>958</v>
      </c>
      <c r="I105" s="4">
        <v>45325</v>
      </c>
      <c r="J105" s="8">
        <f t="shared" si="34"/>
        <v>7</v>
      </c>
      <c r="K105" s="8" t="str">
        <f t="shared" si="45"/>
        <v>OK</v>
      </c>
      <c r="L105" t="s">
        <v>959</v>
      </c>
      <c r="M105" t="s">
        <v>60</v>
      </c>
      <c r="N105" t="str">
        <f t="shared" si="35"/>
        <v>Arjun Bose</v>
      </c>
      <c r="O105" t="s">
        <v>40</v>
      </c>
      <c r="P105" t="str">
        <f t="shared" si="59"/>
        <v>Small Business</v>
      </c>
      <c r="Q105" t="s">
        <v>41</v>
      </c>
      <c r="R105" t="str">
        <f t="shared" si="61"/>
        <v>East</v>
      </c>
      <c r="S105" t="str">
        <f t="shared" si="46"/>
        <v>OK</v>
      </c>
      <c r="T105" t="s">
        <v>185</v>
      </c>
      <c r="U105" t="str">
        <f t="shared" si="37"/>
        <v>Bihar</v>
      </c>
      <c r="V105" t="s">
        <v>186</v>
      </c>
      <c r="W105" t="str">
        <f t="shared" si="38"/>
        <v>Patna</v>
      </c>
      <c r="X105" t="str">
        <f t="shared" si="39"/>
        <v>Technology</v>
      </c>
      <c r="Y105" t="s">
        <v>85</v>
      </c>
      <c r="Z105" t="s">
        <v>381</v>
      </c>
      <c r="AA105" t="str">
        <f t="shared" si="40"/>
        <v>Machines</v>
      </c>
      <c r="AB105" t="s">
        <v>960</v>
      </c>
      <c r="AC105" t="s">
        <v>47</v>
      </c>
      <c r="AD105" t="str">
        <f t="shared" si="60"/>
        <v>Same Day</v>
      </c>
      <c r="AE105" t="str">
        <f t="shared" si="47"/>
        <v>OK</v>
      </c>
      <c r="AF105">
        <v>7</v>
      </c>
      <c r="AG105">
        <v>2673.42</v>
      </c>
      <c r="AH105">
        <v>0.15</v>
      </c>
      <c r="AI105">
        <f t="shared" si="48"/>
        <v>0.15</v>
      </c>
      <c r="AJ105" t="str">
        <f t="shared" si="49"/>
        <v>OK</v>
      </c>
      <c r="AK105">
        <v>15906.85</v>
      </c>
      <c r="AL105">
        <v>11014.46</v>
      </c>
      <c r="AM105">
        <v>4892.3900000000003</v>
      </c>
      <c r="AN105" t="s">
        <v>33</v>
      </c>
      <c r="AO105" t="str">
        <f t="shared" si="41"/>
        <v>PAID</v>
      </c>
      <c r="AP105" t="str">
        <f t="shared" si="50"/>
        <v>OK</v>
      </c>
      <c r="AQ105" t="s">
        <v>124</v>
      </c>
      <c r="AR105" t="str">
        <f t="shared" si="42"/>
        <v>RETURNED</v>
      </c>
      <c r="AS105" t="str">
        <f t="shared" si="51"/>
        <v>RETURNED_ORDER</v>
      </c>
      <c r="AT105">
        <f t="shared" si="52"/>
        <v>15906.849000000002</v>
      </c>
      <c r="AU105">
        <f t="shared" si="53"/>
        <v>4892.3890000000029</v>
      </c>
      <c r="AV105" s="6">
        <f t="shared" si="54"/>
        <v>8.6951853255160701E-3</v>
      </c>
      <c r="AW105" t="str">
        <f t="shared" si="55"/>
        <v>CLEAN</v>
      </c>
      <c r="AX105" s="10" t="str">
        <f t="shared" si="56"/>
        <v>MATCH</v>
      </c>
      <c r="AY105" t="str">
        <f t="shared" si="57"/>
        <v>MATCH</v>
      </c>
    </row>
    <row r="106" spans="1:51">
      <c r="A106" t="s">
        <v>966</v>
      </c>
      <c r="B106">
        <f t="shared" si="32"/>
        <v>1</v>
      </c>
      <c r="C106" t="s">
        <v>967</v>
      </c>
      <c r="D106" s="3">
        <v>45444</v>
      </c>
      <c r="E106" t="str">
        <f t="shared" si="33"/>
        <v>2024/06/01</v>
      </c>
      <c r="F106" t="str">
        <f t="shared" si="43"/>
        <v>June</v>
      </c>
      <c r="G106">
        <f t="shared" si="44"/>
        <v>2024</v>
      </c>
      <c r="H106" t="s">
        <v>968</v>
      </c>
      <c r="I106" s="4">
        <v>45446</v>
      </c>
      <c r="J106" s="8">
        <f t="shared" si="34"/>
        <v>2</v>
      </c>
      <c r="K106" s="8" t="str">
        <f t="shared" si="45"/>
        <v>OK</v>
      </c>
      <c r="L106" t="s">
        <v>969</v>
      </c>
      <c r="M106" t="s">
        <v>167</v>
      </c>
      <c r="N106" t="str">
        <f t="shared" si="35"/>
        <v>Sneha Kapoor</v>
      </c>
      <c r="O106" t="s">
        <v>114</v>
      </c>
      <c r="P106" t="str">
        <f t="shared" si="59"/>
        <v>Home Office</v>
      </c>
      <c r="R106" t="s">
        <v>4109</v>
      </c>
      <c r="S106" t="str">
        <f t="shared" si="46"/>
        <v>MISSING_REGION</v>
      </c>
      <c r="T106" t="s">
        <v>185</v>
      </c>
      <c r="U106" t="str">
        <f t="shared" si="37"/>
        <v>Bihar</v>
      </c>
      <c r="V106" t="s">
        <v>186</v>
      </c>
      <c r="W106" t="str">
        <f t="shared" si="38"/>
        <v>Patna</v>
      </c>
      <c r="X106" t="str">
        <f t="shared" si="39"/>
        <v>Office Supplies</v>
      </c>
      <c r="Y106" t="s">
        <v>29</v>
      </c>
      <c r="Z106" t="s">
        <v>53</v>
      </c>
      <c r="AA106" t="str">
        <f t="shared" si="40"/>
        <v>Art</v>
      </c>
      <c r="AB106" t="s">
        <v>970</v>
      </c>
      <c r="AC106" t="s">
        <v>47</v>
      </c>
      <c r="AD106" t="str">
        <f t="shared" si="60"/>
        <v>Same Day</v>
      </c>
      <c r="AE106" t="str">
        <f t="shared" si="47"/>
        <v>OK</v>
      </c>
      <c r="AF106">
        <v>8</v>
      </c>
      <c r="AG106">
        <v>3879.95</v>
      </c>
      <c r="AH106">
        <v>0</v>
      </c>
      <c r="AI106">
        <f t="shared" si="48"/>
        <v>0</v>
      </c>
      <c r="AJ106" t="str">
        <f t="shared" si="49"/>
        <v>OK</v>
      </c>
      <c r="AK106">
        <v>31039.599999999999</v>
      </c>
      <c r="AL106">
        <v>20866.72</v>
      </c>
      <c r="AM106">
        <v>10172.879999999999</v>
      </c>
      <c r="AN106" t="s">
        <v>33</v>
      </c>
      <c r="AO106" t="str">
        <f t="shared" si="41"/>
        <v>PAID</v>
      </c>
      <c r="AP106" t="str">
        <f t="shared" si="50"/>
        <v>OK</v>
      </c>
      <c r="AQ106" t="s">
        <v>34</v>
      </c>
      <c r="AR106" t="str">
        <f t="shared" si="42"/>
        <v>COMPLETED</v>
      </c>
      <c r="AS106" t="str">
        <f t="shared" si="51"/>
        <v>OK</v>
      </c>
      <c r="AT106">
        <f t="shared" si="52"/>
        <v>31039.599999999999</v>
      </c>
      <c r="AU106">
        <f t="shared" si="53"/>
        <v>10172.879999999997</v>
      </c>
      <c r="AV106" s="6">
        <f t="shared" si="54"/>
        <v>0.26734848387221488</v>
      </c>
      <c r="AW106" t="str">
        <f t="shared" si="55"/>
        <v>WARNING</v>
      </c>
      <c r="AX106" s="10" t="str">
        <f t="shared" si="56"/>
        <v>MATCH</v>
      </c>
      <c r="AY106" t="str">
        <f t="shared" si="57"/>
        <v>MATCH</v>
      </c>
    </row>
    <row r="107" spans="1:51">
      <c r="A107" t="s">
        <v>971</v>
      </c>
      <c r="B107">
        <f t="shared" si="32"/>
        <v>1</v>
      </c>
      <c r="C107" t="s">
        <v>972</v>
      </c>
      <c r="D107" s="3">
        <v>45565</v>
      </c>
      <c r="E107" t="str">
        <f t="shared" si="33"/>
        <v>2024/09/30</v>
      </c>
      <c r="F107" t="str">
        <f t="shared" si="43"/>
        <v>September</v>
      </c>
      <c r="G107">
        <f t="shared" si="44"/>
        <v>2024</v>
      </c>
      <c r="H107" t="s">
        <v>973</v>
      </c>
      <c r="I107" s="4">
        <v>45565</v>
      </c>
      <c r="J107" s="8">
        <f t="shared" si="34"/>
        <v>0</v>
      </c>
      <c r="K107" s="8" t="str">
        <f t="shared" si="45"/>
        <v>OK</v>
      </c>
      <c r="L107" t="s">
        <v>974</v>
      </c>
      <c r="M107" t="s">
        <v>52</v>
      </c>
      <c r="N107" t="str">
        <f t="shared" si="35"/>
        <v>Isha Nair</v>
      </c>
      <c r="O107" t="s">
        <v>107</v>
      </c>
      <c r="P107" t="str">
        <f t="shared" si="59"/>
        <v>Corporate</v>
      </c>
      <c r="Q107" t="s">
        <v>61</v>
      </c>
      <c r="R107" t="str">
        <f>PROPER(TRIM(SUBSTITUTE(Q107,CHAR(160)," ")))</f>
        <v>South</v>
      </c>
      <c r="S107" t="str">
        <f t="shared" si="46"/>
        <v>OK</v>
      </c>
      <c r="T107" t="s">
        <v>62</v>
      </c>
      <c r="U107" t="str">
        <f t="shared" si="37"/>
        <v>Telangana</v>
      </c>
      <c r="V107" t="s">
        <v>63</v>
      </c>
      <c r="W107" t="str">
        <f t="shared" si="38"/>
        <v>Hyderabad</v>
      </c>
      <c r="X107" t="str">
        <f t="shared" si="39"/>
        <v>Office Supplies</v>
      </c>
      <c r="Y107" t="s">
        <v>29</v>
      </c>
      <c r="Z107" t="s">
        <v>53</v>
      </c>
      <c r="AA107" t="str">
        <f t="shared" si="40"/>
        <v>Art</v>
      </c>
      <c r="AB107" t="s">
        <v>975</v>
      </c>
      <c r="AC107" t="s">
        <v>66</v>
      </c>
      <c r="AD107" t="str">
        <f t="shared" si="60"/>
        <v>Standard Class</v>
      </c>
      <c r="AE107" t="str">
        <f t="shared" si="47"/>
        <v>OK</v>
      </c>
      <c r="AF107">
        <v>4</v>
      </c>
      <c r="AG107">
        <v>3281.74</v>
      </c>
      <c r="AH107">
        <v>0</v>
      </c>
      <c r="AI107">
        <f t="shared" si="48"/>
        <v>0</v>
      </c>
      <c r="AJ107" t="str">
        <f t="shared" si="49"/>
        <v>OK</v>
      </c>
      <c r="AK107">
        <v>13126.96</v>
      </c>
      <c r="AL107">
        <v>10732.44</v>
      </c>
      <c r="AM107">
        <v>2394.52</v>
      </c>
      <c r="AN107" t="s">
        <v>33</v>
      </c>
      <c r="AO107" t="str">
        <f t="shared" si="41"/>
        <v>PAID</v>
      </c>
      <c r="AP107" t="str">
        <f t="shared" si="50"/>
        <v>OK</v>
      </c>
      <c r="AQ107" t="s">
        <v>34</v>
      </c>
      <c r="AR107" t="str">
        <f t="shared" si="42"/>
        <v>COMPLETED</v>
      </c>
      <c r="AS107" t="str">
        <f t="shared" si="51"/>
        <v>OK</v>
      </c>
      <c r="AT107">
        <f t="shared" si="52"/>
        <v>13126.96</v>
      </c>
      <c r="AU107">
        <f t="shared" si="53"/>
        <v>2394.5199999999986</v>
      </c>
      <c r="AV107" s="6">
        <f t="shared" si="54"/>
        <v>-9.5203306782377633E-3</v>
      </c>
      <c r="AW107" t="str">
        <f t="shared" si="55"/>
        <v>CLEAN</v>
      </c>
      <c r="AX107" s="10" t="str">
        <f t="shared" si="56"/>
        <v>MATCH</v>
      </c>
      <c r="AY107" t="str">
        <f t="shared" si="57"/>
        <v>MATCH</v>
      </c>
    </row>
    <row r="108" spans="1:51">
      <c r="A108" t="s">
        <v>976</v>
      </c>
      <c r="B108">
        <f t="shared" si="32"/>
        <v>1</v>
      </c>
      <c r="C108" t="s">
        <v>977</v>
      </c>
      <c r="D108" s="3">
        <v>45366</v>
      </c>
      <c r="E108" t="str">
        <f t="shared" si="33"/>
        <v>2024/03/15</v>
      </c>
      <c r="F108" t="str">
        <f t="shared" si="43"/>
        <v>March</v>
      </c>
      <c r="G108">
        <f t="shared" si="44"/>
        <v>2024</v>
      </c>
      <c r="H108" t="s">
        <v>978</v>
      </c>
      <c r="I108" s="4">
        <v>45370</v>
      </c>
      <c r="J108" s="8">
        <f t="shared" si="34"/>
        <v>4</v>
      </c>
      <c r="K108" s="8" t="str">
        <f t="shared" si="45"/>
        <v>OK</v>
      </c>
      <c r="L108" t="s">
        <v>979</v>
      </c>
      <c r="M108" t="s">
        <v>71</v>
      </c>
      <c r="N108" t="str">
        <f t="shared" si="35"/>
        <v>Ananya Rao</v>
      </c>
      <c r="O108" t="s">
        <v>40</v>
      </c>
      <c r="P108" t="str">
        <f t="shared" si="59"/>
        <v>Small Business</v>
      </c>
      <c r="Q108" t="s">
        <v>61</v>
      </c>
      <c r="R108" t="str">
        <f>PROPER(TRIM(SUBSTITUTE(Q108,CHAR(160)," ")))</f>
        <v>South</v>
      </c>
      <c r="S108" t="str">
        <f t="shared" si="46"/>
        <v>OK</v>
      </c>
      <c r="T108" t="s">
        <v>338</v>
      </c>
      <c r="U108" t="str">
        <f t="shared" si="37"/>
        <v>Tamil Nadu</v>
      </c>
      <c r="V108" t="s">
        <v>339</v>
      </c>
      <c r="W108" t="str">
        <f t="shared" si="38"/>
        <v>Chennai</v>
      </c>
      <c r="X108" t="str">
        <f t="shared" si="39"/>
        <v>Furniture</v>
      </c>
      <c r="Y108" t="s">
        <v>44</v>
      </c>
      <c r="Z108" t="s">
        <v>64</v>
      </c>
      <c r="AA108" t="str">
        <f t="shared" si="40"/>
        <v>Furnishings</v>
      </c>
      <c r="AB108" t="s">
        <v>980</v>
      </c>
      <c r="AC108" t="s">
        <v>66</v>
      </c>
      <c r="AD108" t="str">
        <f t="shared" si="60"/>
        <v>Standard Class</v>
      </c>
      <c r="AE108" t="str">
        <f t="shared" si="47"/>
        <v>OK</v>
      </c>
      <c r="AF108">
        <v>4</v>
      </c>
      <c r="AG108">
        <v>3186.3</v>
      </c>
      <c r="AH108">
        <v>0.25</v>
      </c>
      <c r="AI108">
        <f t="shared" si="48"/>
        <v>0.25</v>
      </c>
      <c r="AJ108" t="str">
        <f t="shared" si="49"/>
        <v>OK</v>
      </c>
      <c r="AK108">
        <v>9558.9</v>
      </c>
      <c r="AL108">
        <v>5516.76</v>
      </c>
      <c r="AM108">
        <v>4042.14</v>
      </c>
      <c r="AN108" t="s">
        <v>123</v>
      </c>
      <c r="AO108" t="str">
        <f t="shared" si="41"/>
        <v>REFUNDED</v>
      </c>
      <c r="AP108" t="str">
        <f t="shared" si="50"/>
        <v>REFUNDED_PAYMENT</v>
      </c>
      <c r="AQ108" t="s">
        <v>124</v>
      </c>
      <c r="AR108" t="str">
        <f t="shared" si="42"/>
        <v>RETURNED</v>
      </c>
      <c r="AS108" t="str">
        <f t="shared" si="51"/>
        <v>RETURNED_ORDER</v>
      </c>
      <c r="AT108">
        <f t="shared" si="52"/>
        <v>9558.9000000000015</v>
      </c>
      <c r="AU108">
        <f t="shared" si="53"/>
        <v>4042.1400000000012</v>
      </c>
      <c r="AV108" s="6">
        <f t="shared" si="54"/>
        <v>0.36469761164987591</v>
      </c>
      <c r="AW108" t="str">
        <f t="shared" si="55"/>
        <v>CLEAN</v>
      </c>
      <c r="AX108" s="10" t="str">
        <f t="shared" si="56"/>
        <v>MATCH</v>
      </c>
      <c r="AY108" t="str">
        <f t="shared" si="57"/>
        <v>MATCH</v>
      </c>
    </row>
    <row r="109" spans="1:51">
      <c r="A109" t="s">
        <v>981</v>
      </c>
      <c r="B109">
        <f t="shared" si="32"/>
        <v>1</v>
      </c>
      <c r="C109" t="s">
        <v>982</v>
      </c>
      <c r="D109" s="3">
        <v>45530</v>
      </c>
      <c r="E109" t="str">
        <f t="shared" si="33"/>
        <v>2024/08/26</v>
      </c>
      <c r="F109" t="str">
        <f t="shared" si="43"/>
        <v>August</v>
      </c>
      <c r="G109">
        <f t="shared" si="44"/>
        <v>2024</v>
      </c>
      <c r="H109" t="s">
        <v>983</v>
      </c>
      <c r="I109" s="4">
        <v>45530</v>
      </c>
      <c r="J109" s="8">
        <f t="shared" si="34"/>
        <v>0</v>
      </c>
      <c r="K109" s="8" t="str">
        <f t="shared" si="45"/>
        <v>OK</v>
      </c>
      <c r="L109" t="s">
        <v>984</v>
      </c>
      <c r="M109" t="s">
        <v>39</v>
      </c>
      <c r="N109" t="str">
        <f t="shared" si="35"/>
        <v>Mira Das</v>
      </c>
      <c r="O109" t="s">
        <v>114</v>
      </c>
      <c r="P109" t="str">
        <f t="shared" si="59"/>
        <v>Home Office</v>
      </c>
      <c r="Q109" t="s">
        <v>26</v>
      </c>
      <c r="R109" t="str">
        <f>PROPER(TRIM(SUBSTITUTE(Q109,CHAR(160)," ")))</f>
        <v>North</v>
      </c>
      <c r="S109" t="str">
        <f t="shared" si="46"/>
        <v>OK</v>
      </c>
      <c r="T109" t="s">
        <v>173</v>
      </c>
      <c r="U109" t="str">
        <f t="shared" si="37"/>
        <v>Uttar Pradesh</v>
      </c>
      <c r="V109" t="s">
        <v>174</v>
      </c>
      <c r="W109" t="str">
        <f t="shared" si="38"/>
        <v>Noida</v>
      </c>
      <c r="X109" t="str">
        <f t="shared" si="39"/>
        <v>Office Supplies</v>
      </c>
      <c r="Y109" t="s">
        <v>917</v>
      </c>
      <c r="Z109" t="s">
        <v>197</v>
      </c>
      <c r="AA109" t="str">
        <f t="shared" si="40"/>
        <v>Binders</v>
      </c>
      <c r="AB109" t="s">
        <v>985</v>
      </c>
      <c r="AC109" t="s">
        <v>55</v>
      </c>
      <c r="AD109" t="str">
        <f t="shared" si="60"/>
        <v>First Class</v>
      </c>
      <c r="AE109" t="str">
        <f t="shared" si="47"/>
        <v>OK</v>
      </c>
      <c r="AF109">
        <v>7</v>
      </c>
      <c r="AG109">
        <v>844.59</v>
      </c>
      <c r="AH109">
        <v>0.1</v>
      </c>
      <c r="AI109">
        <f t="shared" si="48"/>
        <v>0.1</v>
      </c>
      <c r="AJ109" t="str">
        <f t="shared" si="49"/>
        <v>OK</v>
      </c>
      <c r="AK109">
        <v>5320.92</v>
      </c>
      <c r="AL109">
        <v>3041.5</v>
      </c>
      <c r="AM109">
        <v>2279.42</v>
      </c>
      <c r="AN109" t="s">
        <v>33</v>
      </c>
      <c r="AO109" t="str">
        <f t="shared" si="41"/>
        <v>PAID</v>
      </c>
      <c r="AP109" t="str">
        <f t="shared" si="50"/>
        <v>OK</v>
      </c>
      <c r="AQ109" t="s">
        <v>34</v>
      </c>
      <c r="AR109" t="str">
        <f t="shared" si="42"/>
        <v>COMPLETED</v>
      </c>
      <c r="AS109" t="str">
        <f t="shared" si="51"/>
        <v>OK</v>
      </c>
      <c r="AT109">
        <f t="shared" si="52"/>
        <v>5320.9170000000004</v>
      </c>
      <c r="AU109">
        <f t="shared" si="53"/>
        <v>2279.4170000000004</v>
      </c>
      <c r="AV109" s="6">
        <f t="shared" si="54"/>
        <v>0.18276680504507023</v>
      </c>
      <c r="AW109" t="str">
        <f t="shared" si="55"/>
        <v>CLEAN</v>
      </c>
      <c r="AX109" s="10" t="str">
        <f t="shared" si="56"/>
        <v>MATCH</v>
      </c>
      <c r="AY109" t="str">
        <f t="shared" si="57"/>
        <v>MATCH</v>
      </c>
    </row>
    <row r="110" spans="1:51">
      <c r="A110" t="s">
        <v>991</v>
      </c>
      <c r="B110">
        <f t="shared" si="32"/>
        <v>1</v>
      </c>
      <c r="C110" t="s">
        <v>298</v>
      </c>
      <c r="D110" s="2">
        <v>45581</v>
      </c>
      <c r="E110" t="str">
        <f t="shared" si="33"/>
        <v>2024/10/16</v>
      </c>
      <c r="F110" t="str">
        <f t="shared" si="43"/>
        <v>October</v>
      </c>
      <c r="G110">
        <f t="shared" si="44"/>
        <v>2024</v>
      </c>
      <c r="H110" t="s">
        <v>298</v>
      </c>
      <c r="I110" s="4">
        <v>45581</v>
      </c>
      <c r="J110" s="8">
        <f t="shared" si="34"/>
        <v>0</v>
      </c>
      <c r="K110" s="8" t="str">
        <f t="shared" si="45"/>
        <v>OK</v>
      </c>
      <c r="L110" t="s">
        <v>992</v>
      </c>
      <c r="M110" t="s">
        <v>71</v>
      </c>
      <c r="N110" t="str">
        <f t="shared" si="35"/>
        <v>Ananya Rao</v>
      </c>
      <c r="O110" t="s">
        <v>114</v>
      </c>
      <c r="P110" t="str">
        <f t="shared" si="59"/>
        <v>Home Office</v>
      </c>
      <c r="Q110" t="s">
        <v>41</v>
      </c>
      <c r="R110" t="str">
        <f>PROPER(TRIM(SUBSTITUTE(Q110,CHAR(160)," ")))</f>
        <v>East</v>
      </c>
      <c r="S110" t="str">
        <f t="shared" si="46"/>
        <v>OK</v>
      </c>
      <c r="T110" t="s">
        <v>185</v>
      </c>
      <c r="U110" t="str">
        <f t="shared" si="37"/>
        <v>Bihar</v>
      </c>
      <c r="V110" t="s">
        <v>186</v>
      </c>
      <c r="W110" t="str">
        <f t="shared" si="38"/>
        <v>Patna</v>
      </c>
      <c r="X110" t="str">
        <f t="shared" si="39"/>
        <v>Technology</v>
      </c>
      <c r="Y110" t="s">
        <v>85</v>
      </c>
      <c r="Z110" t="s">
        <v>381</v>
      </c>
      <c r="AA110" t="str">
        <f t="shared" si="40"/>
        <v>Machines</v>
      </c>
      <c r="AB110" t="s">
        <v>993</v>
      </c>
      <c r="AC110" t="s">
        <v>66</v>
      </c>
      <c r="AD110" t="str">
        <f t="shared" si="60"/>
        <v>Standard Class</v>
      </c>
      <c r="AE110" t="str">
        <f t="shared" si="47"/>
        <v>OK</v>
      </c>
      <c r="AF110">
        <v>7</v>
      </c>
      <c r="AG110">
        <v>775.77</v>
      </c>
      <c r="AH110">
        <v>0</v>
      </c>
      <c r="AI110">
        <f t="shared" si="48"/>
        <v>0</v>
      </c>
      <c r="AJ110" t="str">
        <f t="shared" si="49"/>
        <v>OK</v>
      </c>
      <c r="AK110">
        <v>5430.39</v>
      </c>
      <c r="AL110">
        <v>3707.66</v>
      </c>
      <c r="AM110">
        <v>1722.73</v>
      </c>
      <c r="AN110" t="s">
        <v>33</v>
      </c>
      <c r="AO110" t="str">
        <f t="shared" si="41"/>
        <v>PAID</v>
      </c>
      <c r="AP110" t="str">
        <f t="shared" si="50"/>
        <v>OK</v>
      </c>
      <c r="AQ110" t="s">
        <v>34</v>
      </c>
      <c r="AR110" t="str">
        <f t="shared" si="42"/>
        <v>COMPLETED</v>
      </c>
      <c r="AS110" t="str">
        <f t="shared" si="51"/>
        <v>OK</v>
      </c>
      <c r="AT110">
        <f t="shared" si="52"/>
        <v>5430.3899999999994</v>
      </c>
      <c r="AU110">
        <f t="shared" si="53"/>
        <v>1722.7299999999996</v>
      </c>
      <c r="AV110" s="6">
        <f t="shared" si="54"/>
        <v>0.10559140319571893</v>
      </c>
      <c r="AW110" t="str">
        <f t="shared" si="55"/>
        <v>CLEAN</v>
      </c>
      <c r="AX110" s="10" t="str">
        <f t="shared" si="56"/>
        <v>MATCH</v>
      </c>
      <c r="AY110" t="str">
        <f t="shared" si="57"/>
        <v>MATCH</v>
      </c>
    </row>
    <row r="111" spans="1:51">
      <c r="A111" t="s">
        <v>999</v>
      </c>
      <c r="B111">
        <f t="shared" si="32"/>
        <v>1</v>
      </c>
      <c r="C111" t="s">
        <v>1000</v>
      </c>
      <c r="D111" s="3">
        <v>45326</v>
      </c>
      <c r="E111" t="str">
        <f t="shared" si="33"/>
        <v>2024/02/04</v>
      </c>
      <c r="F111" t="str">
        <f t="shared" si="43"/>
        <v>February</v>
      </c>
      <c r="G111">
        <f t="shared" si="44"/>
        <v>2024</v>
      </c>
      <c r="H111" t="s">
        <v>347</v>
      </c>
      <c r="I111" s="4">
        <v>45388</v>
      </c>
      <c r="J111" s="8">
        <f t="shared" si="34"/>
        <v>62</v>
      </c>
      <c r="K111" s="8" t="str">
        <f t="shared" si="45"/>
        <v>OK</v>
      </c>
      <c r="L111" t="s">
        <v>1001</v>
      </c>
      <c r="M111" t="s">
        <v>82</v>
      </c>
      <c r="N111" t="str">
        <f t="shared" si="35"/>
        <v>Vikram Iyer</v>
      </c>
      <c r="O111" t="s">
        <v>107</v>
      </c>
      <c r="P111" t="str">
        <f t="shared" si="59"/>
        <v>Corporate</v>
      </c>
      <c r="Q111" t="s">
        <v>72</v>
      </c>
      <c r="R111" t="str">
        <f>PROPER(TRIM(SUBSTITUTE(Q111,CHAR(160)," ")))</f>
        <v>West</v>
      </c>
      <c r="S111" t="str">
        <f t="shared" si="46"/>
        <v>OK</v>
      </c>
      <c r="T111" t="s">
        <v>83</v>
      </c>
      <c r="U111" t="str">
        <f t="shared" si="37"/>
        <v>Madhya Pradesh</v>
      </c>
      <c r="V111" t="s">
        <v>84</v>
      </c>
      <c r="W111" t="str">
        <f t="shared" si="38"/>
        <v>Indore</v>
      </c>
      <c r="X111" t="str">
        <f t="shared" si="39"/>
        <v>Furniture</v>
      </c>
      <c r="Y111" t="s">
        <v>44</v>
      </c>
      <c r="Z111" t="s">
        <v>203</v>
      </c>
      <c r="AA111" t="str">
        <f t="shared" si="40"/>
        <v>Bookcases</v>
      </c>
      <c r="AB111" t="s">
        <v>1002</v>
      </c>
      <c r="AC111" t="s">
        <v>66</v>
      </c>
      <c r="AD111" t="str">
        <f t="shared" si="60"/>
        <v>Standard Class</v>
      </c>
      <c r="AE111" t="str">
        <f t="shared" si="47"/>
        <v>OK</v>
      </c>
      <c r="AF111">
        <v>2</v>
      </c>
      <c r="AG111">
        <v>888.98</v>
      </c>
      <c r="AH111">
        <v>0</v>
      </c>
      <c r="AI111">
        <f t="shared" si="48"/>
        <v>0</v>
      </c>
      <c r="AJ111" t="str">
        <f t="shared" si="49"/>
        <v>OK</v>
      </c>
      <c r="AK111">
        <v>1777.96</v>
      </c>
      <c r="AL111">
        <v>1021.16</v>
      </c>
      <c r="AM111">
        <v>756.8</v>
      </c>
      <c r="AN111" t="s">
        <v>123</v>
      </c>
      <c r="AO111" t="str">
        <f t="shared" si="41"/>
        <v>REFUNDED</v>
      </c>
      <c r="AP111" t="str">
        <f t="shared" si="50"/>
        <v>REFUNDED_PAYMENT</v>
      </c>
      <c r="AQ111" t="s">
        <v>124</v>
      </c>
      <c r="AR111" t="str">
        <f t="shared" si="42"/>
        <v>RETURNED</v>
      </c>
      <c r="AS111" t="str">
        <f t="shared" si="51"/>
        <v>RETURNED_ORDER</v>
      </c>
      <c r="AT111">
        <f t="shared" si="52"/>
        <v>1777.96</v>
      </c>
      <c r="AU111">
        <f t="shared" si="53"/>
        <v>756.80000000000007</v>
      </c>
      <c r="AV111" s="6">
        <f t="shared" si="54"/>
        <v>0.65449419559495159</v>
      </c>
      <c r="AW111" t="str">
        <f t="shared" si="55"/>
        <v>CLEAN</v>
      </c>
      <c r="AX111" s="10" t="str">
        <f t="shared" si="56"/>
        <v>MATCH</v>
      </c>
      <c r="AY111" t="str">
        <f t="shared" si="57"/>
        <v>MATCH</v>
      </c>
    </row>
    <row r="112" spans="1:51">
      <c r="A112" t="s">
        <v>1003</v>
      </c>
      <c r="B112">
        <f t="shared" si="32"/>
        <v>1</v>
      </c>
      <c r="C112" t="s">
        <v>103</v>
      </c>
      <c r="D112" s="3">
        <v>45423</v>
      </c>
      <c r="E112" t="str">
        <f t="shared" si="33"/>
        <v>2024/05/11</v>
      </c>
      <c r="F112" t="str">
        <f t="shared" si="43"/>
        <v>May</v>
      </c>
      <c r="G112">
        <f t="shared" si="44"/>
        <v>2024</v>
      </c>
      <c r="H112" t="s">
        <v>1004</v>
      </c>
      <c r="I112" s="4">
        <v>45609</v>
      </c>
      <c r="J112" s="8">
        <f t="shared" si="34"/>
        <v>186</v>
      </c>
      <c r="K112" s="8" t="str">
        <f t="shared" si="45"/>
        <v>OK</v>
      </c>
      <c r="L112" t="s">
        <v>1005</v>
      </c>
      <c r="M112" t="s">
        <v>60</v>
      </c>
      <c r="N112" t="str">
        <f t="shared" si="35"/>
        <v>Arjun Bose</v>
      </c>
      <c r="O112" t="s">
        <v>25</v>
      </c>
      <c r="P112" t="str">
        <f t="shared" si="59"/>
        <v>Consumer</v>
      </c>
      <c r="R112" t="s">
        <v>4109</v>
      </c>
      <c r="S112" t="str">
        <f t="shared" si="46"/>
        <v>MISSING_REGION</v>
      </c>
      <c r="T112" t="s">
        <v>153</v>
      </c>
      <c r="U112" t="str">
        <f t="shared" si="37"/>
        <v>Punjab</v>
      </c>
      <c r="V112" t="s">
        <v>154</v>
      </c>
      <c r="W112" t="str">
        <f t="shared" si="38"/>
        <v>Ludhiana</v>
      </c>
      <c r="X112" t="str">
        <f t="shared" si="39"/>
        <v>Office Supplies</v>
      </c>
      <c r="Y112" t="s">
        <v>29</v>
      </c>
      <c r="Z112" t="s">
        <v>108</v>
      </c>
      <c r="AA112" t="str">
        <f t="shared" si="40"/>
        <v>Labels</v>
      </c>
      <c r="AB112" t="s">
        <v>1006</v>
      </c>
      <c r="AC112" t="s">
        <v>32</v>
      </c>
      <c r="AD112" t="str">
        <f t="shared" si="60"/>
        <v>Second Class</v>
      </c>
      <c r="AE112" t="str">
        <f t="shared" si="47"/>
        <v>OK</v>
      </c>
      <c r="AF112">
        <v>2</v>
      </c>
      <c r="AG112">
        <v>1003.17</v>
      </c>
      <c r="AH112">
        <v>0.2</v>
      </c>
      <c r="AI112">
        <f t="shared" si="48"/>
        <v>0.2</v>
      </c>
      <c r="AJ112" t="str">
        <f t="shared" si="49"/>
        <v>OK</v>
      </c>
      <c r="AK112">
        <v>1605.07</v>
      </c>
      <c r="AL112">
        <v>1337.28</v>
      </c>
      <c r="AM112">
        <v>267.79000000000002</v>
      </c>
      <c r="AN112" t="s">
        <v>33</v>
      </c>
      <c r="AO112" t="str">
        <f t="shared" si="41"/>
        <v>PAID</v>
      </c>
      <c r="AP112" t="str">
        <f t="shared" si="50"/>
        <v>OK</v>
      </c>
      <c r="AQ112" t="s">
        <v>34</v>
      </c>
      <c r="AR112" t="str">
        <f t="shared" si="42"/>
        <v>COMPLETED</v>
      </c>
      <c r="AS112" t="str">
        <f t="shared" si="51"/>
        <v>OK</v>
      </c>
      <c r="AT112">
        <f t="shared" si="52"/>
        <v>1605.0720000000001</v>
      </c>
      <c r="AU112">
        <f t="shared" si="53"/>
        <v>267.79200000000014</v>
      </c>
      <c r="AV112" s="6">
        <f t="shared" si="54"/>
        <v>1.4014486577549166</v>
      </c>
      <c r="AW112" t="str">
        <f t="shared" si="55"/>
        <v>WARNING</v>
      </c>
      <c r="AX112" s="10" t="str">
        <f t="shared" si="56"/>
        <v>MATCH</v>
      </c>
      <c r="AY112" t="str">
        <f t="shared" si="57"/>
        <v>MATCH</v>
      </c>
    </row>
    <row r="113" spans="1:51">
      <c r="A113" t="s">
        <v>1007</v>
      </c>
      <c r="B113">
        <f t="shared" si="32"/>
        <v>1</v>
      </c>
      <c r="C113" t="s">
        <v>331</v>
      </c>
      <c r="D113" s="3">
        <v>45492</v>
      </c>
      <c r="E113" t="str">
        <f t="shared" si="33"/>
        <v>2024/07/19</v>
      </c>
      <c r="F113" t="str">
        <f t="shared" si="43"/>
        <v>July</v>
      </c>
      <c r="G113">
        <f t="shared" si="44"/>
        <v>2024</v>
      </c>
      <c r="H113" t="s">
        <v>1008</v>
      </c>
      <c r="I113" s="4">
        <v>45493</v>
      </c>
      <c r="J113" s="8">
        <f t="shared" si="34"/>
        <v>1</v>
      </c>
      <c r="K113" s="8" t="str">
        <f t="shared" si="45"/>
        <v>OK</v>
      </c>
      <c r="L113" t="s">
        <v>364</v>
      </c>
      <c r="M113" t="s">
        <v>82</v>
      </c>
      <c r="N113" t="str">
        <f t="shared" si="35"/>
        <v>Vikram Iyer</v>
      </c>
      <c r="O113" t="s">
        <v>25</v>
      </c>
      <c r="P113" t="str">
        <f t="shared" si="59"/>
        <v>Consumer</v>
      </c>
      <c r="Q113" t="s">
        <v>61</v>
      </c>
      <c r="R113" t="str">
        <f t="shared" ref="R113:R144" si="62">PROPER(TRIM(SUBSTITUTE(Q113,CHAR(160)," ")))</f>
        <v>South</v>
      </c>
      <c r="S113" t="str">
        <f t="shared" si="46"/>
        <v>OK</v>
      </c>
      <c r="T113" t="s">
        <v>338</v>
      </c>
      <c r="U113" t="str">
        <f t="shared" si="37"/>
        <v>Tamil Nadu</v>
      </c>
      <c r="V113" t="s">
        <v>339</v>
      </c>
      <c r="W113" t="str">
        <f t="shared" si="38"/>
        <v>Chennai</v>
      </c>
      <c r="X113" t="str">
        <f t="shared" si="39"/>
        <v>Furniture</v>
      </c>
      <c r="Y113" t="s">
        <v>44</v>
      </c>
      <c r="Z113" t="s">
        <v>45</v>
      </c>
      <c r="AA113" t="str">
        <f t="shared" si="40"/>
        <v>Tables</v>
      </c>
      <c r="AB113" t="s">
        <v>1009</v>
      </c>
      <c r="AC113" t="s">
        <v>55</v>
      </c>
      <c r="AD113" t="str">
        <f t="shared" si="60"/>
        <v>First Class</v>
      </c>
      <c r="AE113" t="str">
        <f t="shared" si="47"/>
        <v>OK</v>
      </c>
      <c r="AF113">
        <v>7</v>
      </c>
      <c r="AG113">
        <v>3608.43</v>
      </c>
      <c r="AH113">
        <v>0.05</v>
      </c>
      <c r="AI113">
        <f t="shared" si="48"/>
        <v>0.05</v>
      </c>
      <c r="AJ113" t="str">
        <f t="shared" si="49"/>
        <v>OK</v>
      </c>
      <c r="AK113">
        <v>23996.06</v>
      </c>
      <c r="AL113">
        <v>20167.28</v>
      </c>
      <c r="AM113">
        <v>3828.78</v>
      </c>
      <c r="AN113" t="s">
        <v>33</v>
      </c>
      <c r="AO113" t="str">
        <f t="shared" si="41"/>
        <v>PAID</v>
      </c>
      <c r="AP113" t="str">
        <f t="shared" si="50"/>
        <v>OK</v>
      </c>
      <c r="AQ113" t="s">
        <v>34</v>
      </c>
      <c r="AR113" t="str">
        <f t="shared" si="42"/>
        <v>COMPLETED</v>
      </c>
      <c r="AS113" t="str">
        <f t="shared" si="51"/>
        <v>OK</v>
      </c>
      <c r="AT113">
        <f t="shared" si="52"/>
        <v>23996.059499999996</v>
      </c>
      <c r="AU113">
        <f t="shared" si="53"/>
        <v>3828.7794999999969</v>
      </c>
      <c r="AV113" s="6">
        <f t="shared" si="54"/>
        <v>0.17916295798483078</v>
      </c>
      <c r="AW113" t="str">
        <f t="shared" si="55"/>
        <v>CLEAN</v>
      </c>
      <c r="AX113" s="10" t="str">
        <f t="shared" si="56"/>
        <v>MATCH</v>
      </c>
      <c r="AY113" t="str">
        <f t="shared" si="57"/>
        <v>MATCH</v>
      </c>
    </row>
    <row r="114" spans="1:51">
      <c r="A114" t="s">
        <v>1031</v>
      </c>
      <c r="B114">
        <f t="shared" si="32"/>
        <v>1</v>
      </c>
      <c r="C114" t="s">
        <v>1032</v>
      </c>
      <c r="D114" s="3">
        <v>45584</v>
      </c>
      <c r="E114" t="str">
        <f t="shared" si="33"/>
        <v>2024/10/19</v>
      </c>
      <c r="F114" t="str">
        <f t="shared" si="43"/>
        <v>October</v>
      </c>
      <c r="G114">
        <f t="shared" si="44"/>
        <v>2024</v>
      </c>
      <c r="H114" t="s">
        <v>644</v>
      </c>
      <c r="I114" s="4">
        <v>45589</v>
      </c>
      <c r="J114" s="8">
        <f t="shared" si="34"/>
        <v>5</v>
      </c>
      <c r="K114" s="8" t="str">
        <f t="shared" si="45"/>
        <v>OK</v>
      </c>
      <c r="L114" t="s">
        <v>1033</v>
      </c>
      <c r="M114" t="s">
        <v>167</v>
      </c>
      <c r="N114" t="str">
        <f t="shared" si="35"/>
        <v>Sneha Kapoor</v>
      </c>
      <c r="O114" t="s">
        <v>40</v>
      </c>
      <c r="P114" t="str">
        <f t="shared" si="59"/>
        <v>Small Business</v>
      </c>
      <c r="Q114" t="s">
        <v>61</v>
      </c>
      <c r="R114" t="str">
        <f t="shared" si="62"/>
        <v>South</v>
      </c>
      <c r="S114" t="str">
        <f t="shared" si="46"/>
        <v>OK</v>
      </c>
      <c r="T114" t="s">
        <v>338</v>
      </c>
      <c r="U114" t="str">
        <f t="shared" si="37"/>
        <v>Tamil Nadu</v>
      </c>
      <c r="V114" t="s">
        <v>339</v>
      </c>
      <c r="W114" t="str">
        <f t="shared" si="38"/>
        <v>Chennai</v>
      </c>
      <c r="X114" t="str">
        <f t="shared" si="39"/>
        <v>Furniture</v>
      </c>
      <c r="Y114" t="s">
        <v>44</v>
      </c>
      <c r="Z114" t="s">
        <v>203</v>
      </c>
      <c r="AA114" t="str">
        <f t="shared" si="40"/>
        <v>Bookcases</v>
      </c>
      <c r="AB114" t="s">
        <v>1034</v>
      </c>
      <c r="AC114" t="s">
        <v>32</v>
      </c>
      <c r="AD114" t="str">
        <f t="shared" si="60"/>
        <v>Second Class</v>
      </c>
      <c r="AE114" t="str">
        <f t="shared" si="47"/>
        <v>OK</v>
      </c>
      <c r="AF114">
        <v>6</v>
      </c>
      <c r="AG114">
        <v>4308.3999999999996</v>
      </c>
      <c r="AH114">
        <v>0.65</v>
      </c>
      <c r="AI114">
        <f t="shared" si="48"/>
        <v>0.65</v>
      </c>
      <c r="AJ114" t="str">
        <f t="shared" si="49"/>
        <v>OK</v>
      </c>
      <c r="AK114">
        <v>25850.400000000001</v>
      </c>
      <c r="AL114">
        <v>19397.68</v>
      </c>
      <c r="AM114">
        <v>6452.72</v>
      </c>
      <c r="AN114" t="s">
        <v>33</v>
      </c>
      <c r="AO114" t="str">
        <f t="shared" si="41"/>
        <v>PAID</v>
      </c>
      <c r="AP114" t="str">
        <f t="shared" si="50"/>
        <v>OK</v>
      </c>
      <c r="AQ114" t="s">
        <v>34</v>
      </c>
      <c r="AR114" t="str">
        <f t="shared" si="42"/>
        <v>COMPLETED</v>
      </c>
      <c r="AS114" t="str">
        <f t="shared" si="51"/>
        <v>OK</v>
      </c>
      <c r="AT114">
        <f t="shared" si="52"/>
        <v>9047.64</v>
      </c>
      <c r="AU114">
        <f t="shared" si="53"/>
        <v>-10350.040000000001</v>
      </c>
      <c r="AV114" s="6">
        <f t="shared" si="54"/>
        <v>0.53704833525648688</v>
      </c>
      <c r="AW114" t="str">
        <f t="shared" si="55"/>
        <v>CLEAN</v>
      </c>
      <c r="AX114" s="10" t="str">
        <f t="shared" si="56"/>
        <v>MISMATCH</v>
      </c>
      <c r="AY114" t="str">
        <f t="shared" si="57"/>
        <v>MISMATCH</v>
      </c>
    </row>
    <row r="115" spans="1:51">
      <c r="A115" t="s">
        <v>1035</v>
      </c>
      <c r="B115">
        <f t="shared" si="32"/>
        <v>1</v>
      </c>
      <c r="C115" t="s">
        <v>1036</v>
      </c>
      <c r="D115" s="3">
        <v>45547</v>
      </c>
      <c r="E115" t="str">
        <f t="shared" si="33"/>
        <v>2024/09/12</v>
      </c>
      <c r="F115" t="str">
        <f t="shared" si="43"/>
        <v>September</v>
      </c>
      <c r="G115">
        <f t="shared" si="44"/>
        <v>2024</v>
      </c>
      <c r="H115" t="s">
        <v>1037</v>
      </c>
      <c r="I115" s="4">
        <v>45642</v>
      </c>
      <c r="J115" s="8">
        <f t="shared" si="34"/>
        <v>95</v>
      </c>
      <c r="K115" s="8" t="str">
        <f t="shared" si="45"/>
        <v>OK</v>
      </c>
      <c r="L115" t="s">
        <v>1038</v>
      </c>
      <c r="M115" t="s">
        <v>52</v>
      </c>
      <c r="N115" t="str">
        <f t="shared" si="35"/>
        <v>Isha Nair</v>
      </c>
      <c r="O115" t="s">
        <v>114</v>
      </c>
      <c r="P115" t="str">
        <f t="shared" si="59"/>
        <v>Home Office</v>
      </c>
      <c r="Q115" t="s">
        <v>72</v>
      </c>
      <c r="R115" t="str">
        <f t="shared" si="62"/>
        <v>West</v>
      </c>
      <c r="S115" t="str">
        <f t="shared" si="46"/>
        <v>OK</v>
      </c>
      <c r="T115" t="s">
        <v>234</v>
      </c>
      <c r="U115" t="str">
        <f t="shared" si="37"/>
        <v>Gujarat</v>
      </c>
      <c r="V115" t="s">
        <v>235</v>
      </c>
      <c r="W115" t="str">
        <f t="shared" si="38"/>
        <v>Ahmedabad</v>
      </c>
      <c r="X115" t="str">
        <f t="shared" si="39"/>
        <v>Furniture</v>
      </c>
      <c r="Y115" t="s">
        <v>44</v>
      </c>
      <c r="Z115" t="s">
        <v>75</v>
      </c>
      <c r="AA115" t="str">
        <f t="shared" si="40"/>
        <v>Chairs</v>
      </c>
      <c r="AB115" t="s">
        <v>1039</v>
      </c>
      <c r="AC115" t="s">
        <v>55</v>
      </c>
      <c r="AD115" t="str">
        <f t="shared" si="60"/>
        <v>First Class</v>
      </c>
      <c r="AE115" t="str">
        <f t="shared" si="47"/>
        <v>OK</v>
      </c>
      <c r="AF115">
        <v>4</v>
      </c>
      <c r="AG115">
        <v>2191.0300000000002</v>
      </c>
      <c r="AH115">
        <v>0</v>
      </c>
      <c r="AI115">
        <f t="shared" si="48"/>
        <v>0</v>
      </c>
      <c r="AJ115" t="str">
        <f t="shared" si="49"/>
        <v>OK</v>
      </c>
      <c r="AK115">
        <v>8764.1200000000008</v>
      </c>
      <c r="AL115">
        <v>7220.05</v>
      </c>
      <c r="AM115">
        <v>1544.07</v>
      </c>
      <c r="AN115" t="s">
        <v>33</v>
      </c>
      <c r="AO115" t="str">
        <f t="shared" si="41"/>
        <v>PAID</v>
      </c>
      <c r="AP115" t="str">
        <f t="shared" si="50"/>
        <v>OK</v>
      </c>
      <c r="AQ115" t="s">
        <v>34</v>
      </c>
      <c r="AR115" t="str">
        <f t="shared" si="42"/>
        <v>COMPLETED</v>
      </c>
      <c r="AS115" t="str">
        <f t="shared" si="51"/>
        <v>OK</v>
      </c>
      <c r="AT115">
        <f t="shared" si="52"/>
        <v>8764.1200000000008</v>
      </c>
      <c r="AU115">
        <f t="shared" si="53"/>
        <v>1544.0700000000006</v>
      </c>
      <c r="AV115" s="6">
        <f t="shared" si="54"/>
        <v>0.19417477168272462</v>
      </c>
      <c r="AW115" t="str">
        <f t="shared" si="55"/>
        <v>CLEAN</v>
      </c>
      <c r="AX115" s="10" t="str">
        <f t="shared" si="56"/>
        <v>MATCH</v>
      </c>
      <c r="AY115" t="str">
        <f t="shared" si="57"/>
        <v>MATCH</v>
      </c>
    </row>
    <row r="116" spans="1:51">
      <c r="A116" t="s">
        <v>1040</v>
      </c>
      <c r="B116">
        <f t="shared" si="32"/>
        <v>1</v>
      </c>
      <c r="C116" t="s">
        <v>1041</v>
      </c>
      <c r="D116" s="3">
        <v>45466</v>
      </c>
      <c r="E116" t="str">
        <f t="shared" si="33"/>
        <v>2024/06/23</v>
      </c>
      <c r="F116" t="str">
        <f t="shared" si="43"/>
        <v>June</v>
      </c>
      <c r="G116">
        <f t="shared" si="44"/>
        <v>2024</v>
      </c>
      <c r="H116" t="s">
        <v>1042</v>
      </c>
      <c r="I116" s="4">
        <v>45471</v>
      </c>
      <c r="J116" s="8">
        <f t="shared" si="34"/>
        <v>5</v>
      </c>
      <c r="K116" s="8" t="str">
        <f t="shared" si="45"/>
        <v>OK</v>
      </c>
      <c r="L116" t="s">
        <v>1043</v>
      </c>
      <c r="M116" t="s">
        <v>141</v>
      </c>
      <c r="N116" t="str">
        <f t="shared" si="35"/>
        <v>Priya Menon</v>
      </c>
      <c r="O116" t="s">
        <v>40</v>
      </c>
      <c r="P116" t="str">
        <f t="shared" si="59"/>
        <v>Small Business</v>
      </c>
      <c r="Q116" t="s">
        <v>26</v>
      </c>
      <c r="R116" t="str">
        <f t="shared" si="62"/>
        <v>North</v>
      </c>
      <c r="S116" t="str">
        <f t="shared" si="46"/>
        <v>OK</v>
      </c>
      <c r="T116" t="s">
        <v>153</v>
      </c>
      <c r="U116" t="str">
        <f t="shared" si="37"/>
        <v>Punjab</v>
      </c>
      <c r="V116" t="s">
        <v>154</v>
      </c>
      <c r="W116" t="str">
        <f t="shared" si="38"/>
        <v>Ludhiana</v>
      </c>
      <c r="X116" t="str">
        <f t="shared" si="39"/>
        <v>Technology</v>
      </c>
      <c r="Y116" t="s">
        <v>85</v>
      </c>
      <c r="Z116" t="s">
        <v>93</v>
      </c>
      <c r="AA116" t="str">
        <f t="shared" si="40"/>
        <v>Copiers</v>
      </c>
      <c r="AB116" t="s">
        <v>1044</v>
      </c>
      <c r="AC116" t="s">
        <v>47</v>
      </c>
      <c r="AD116" t="str">
        <f t="shared" si="60"/>
        <v>Same Day</v>
      </c>
      <c r="AE116" t="str">
        <f t="shared" si="47"/>
        <v>OK</v>
      </c>
      <c r="AF116">
        <v>6</v>
      </c>
      <c r="AG116">
        <v>1956.63</v>
      </c>
      <c r="AH116">
        <v>0.2</v>
      </c>
      <c r="AI116">
        <f t="shared" si="48"/>
        <v>0.2</v>
      </c>
      <c r="AJ116" t="str">
        <f t="shared" si="49"/>
        <v>OK</v>
      </c>
      <c r="AK116">
        <v>9391.82</v>
      </c>
      <c r="AL116">
        <v>6013.22</v>
      </c>
      <c r="AM116">
        <v>3378.6</v>
      </c>
      <c r="AN116" t="s">
        <v>123</v>
      </c>
      <c r="AO116" t="str">
        <f t="shared" si="41"/>
        <v>REFUNDED</v>
      </c>
      <c r="AP116" t="str">
        <f t="shared" si="50"/>
        <v>REFUNDED_PAYMENT</v>
      </c>
      <c r="AQ116" t="s">
        <v>124</v>
      </c>
      <c r="AR116" t="str">
        <f t="shared" si="42"/>
        <v>RETURNED</v>
      </c>
      <c r="AS116" t="str">
        <f t="shared" si="51"/>
        <v>RETURNED_ORDER</v>
      </c>
      <c r="AT116">
        <f t="shared" si="52"/>
        <v>9391.8240000000005</v>
      </c>
      <c r="AU116">
        <f t="shared" si="53"/>
        <v>3378.6040000000003</v>
      </c>
      <c r="AV116" s="6">
        <f t="shared" si="54"/>
        <v>0.43453465482317366</v>
      </c>
      <c r="AW116" t="str">
        <f t="shared" si="55"/>
        <v>CLEAN</v>
      </c>
      <c r="AX116" s="10" t="str">
        <f t="shared" si="56"/>
        <v>MATCH</v>
      </c>
      <c r="AY116" t="str">
        <f t="shared" si="57"/>
        <v>MATCH</v>
      </c>
    </row>
    <row r="117" spans="1:51">
      <c r="A117" t="s">
        <v>1056</v>
      </c>
      <c r="B117">
        <f t="shared" si="32"/>
        <v>1</v>
      </c>
      <c r="C117" t="s">
        <v>1057</v>
      </c>
      <c r="D117" s="3">
        <v>45313</v>
      </c>
      <c r="E117" t="str">
        <f t="shared" si="33"/>
        <v>2024/01/22</v>
      </c>
      <c r="F117" t="str">
        <f t="shared" si="43"/>
        <v>January</v>
      </c>
      <c r="G117">
        <f t="shared" si="44"/>
        <v>2024</v>
      </c>
      <c r="H117" t="s">
        <v>1058</v>
      </c>
      <c r="I117" s="4">
        <v>45316</v>
      </c>
      <c r="J117" s="8">
        <f t="shared" si="34"/>
        <v>3</v>
      </c>
      <c r="K117" s="8" t="str">
        <f t="shared" si="45"/>
        <v>OK</v>
      </c>
      <c r="L117" t="s">
        <v>1059</v>
      </c>
      <c r="M117" t="s">
        <v>365</v>
      </c>
      <c r="N117" t="str">
        <f t="shared" si="35"/>
        <v>Kabir Singh</v>
      </c>
      <c r="O117" t="s">
        <v>114</v>
      </c>
      <c r="P117" t="str">
        <f t="shared" si="59"/>
        <v>Home Office</v>
      </c>
      <c r="Q117" t="s">
        <v>26</v>
      </c>
      <c r="R117" t="str">
        <f t="shared" si="62"/>
        <v>North</v>
      </c>
      <c r="S117" t="str">
        <f t="shared" si="46"/>
        <v>OK</v>
      </c>
      <c r="T117" t="s">
        <v>173</v>
      </c>
      <c r="U117" t="str">
        <f t="shared" si="37"/>
        <v>Uttar Pradesh</v>
      </c>
      <c r="V117" t="s">
        <v>174</v>
      </c>
      <c r="W117" t="str">
        <f t="shared" si="38"/>
        <v>Noida</v>
      </c>
      <c r="X117" t="str">
        <f t="shared" si="39"/>
        <v>Office Supplies</v>
      </c>
      <c r="Y117" t="s">
        <v>29</v>
      </c>
      <c r="Z117" t="s">
        <v>155</v>
      </c>
      <c r="AA117" t="str">
        <f t="shared" si="40"/>
        <v>Storage</v>
      </c>
      <c r="AB117" t="s">
        <v>1060</v>
      </c>
      <c r="AC117" t="s">
        <v>55</v>
      </c>
      <c r="AD117" t="str">
        <f t="shared" si="60"/>
        <v>First Class</v>
      </c>
      <c r="AE117" t="str">
        <f t="shared" si="47"/>
        <v>OK</v>
      </c>
      <c r="AF117">
        <v>3</v>
      </c>
      <c r="AG117">
        <v>1212.03</v>
      </c>
      <c r="AH117">
        <v>0.1</v>
      </c>
      <c r="AI117">
        <f t="shared" si="48"/>
        <v>0.1</v>
      </c>
      <c r="AJ117" t="str">
        <f t="shared" si="49"/>
        <v>OK</v>
      </c>
      <c r="AK117">
        <v>3272.48</v>
      </c>
      <c r="AL117">
        <v>2517.44</v>
      </c>
      <c r="AM117">
        <v>755.04</v>
      </c>
      <c r="AN117" t="s">
        <v>33</v>
      </c>
      <c r="AO117" t="str">
        <f t="shared" si="41"/>
        <v>PAID</v>
      </c>
      <c r="AP117" t="str">
        <f t="shared" si="50"/>
        <v>OK</v>
      </c>
      <c r="AQ117" t="s">
        <v>34</v>
      </c>
      <c r="AR117" t="str">
        <f t="shared" si="42"/>
        <v>COMPLETED</v>
      </c>
      <c r="AS117" t="str">
        <f t="shared" si="51"/>
        <v>OK</v>
      </c>
      <c r="AT117">
        <f t="shared" si="52"/>
        <v>3272.4810000000002</v>
      </c>
      <c r="AU117">
        <f t="shared" si="53"/>
        <v>755.04100000000017</v>
      </c>
      <c r="AV117" s="6">
        <f t="shared" si="54"/>
        <v>1.785584087424801</v>
      </c>
      <c r="AW117" t="str">
        <f t="shared" si="55"/>
        <v>CLEAN</v>
      </c>
      <c r="AX117" s="10" t="str">
        <f t="shared" si="56"/>
        <v>MATCH</v>
      </c>
      <c r="AY117" t="str">
        <f t="shared" si="57"/>
        <v>MATCH</v>
      </c>
    </row>
    <row r="118" spans="1:51">
      <c r="A118" t="s">
        <v>1064</v>
      </c>
      <c r="B118">
        <f t="shared" si="32"/>
        <v>1</v>
      </c>
      <c r="C118" t="s">
        <v>1065</v>
      </c>
      <c r="D118" s="3">
        <v>45448</v>
      </c>
      <c r="E118" t="str">
        <f t="shared" si="33"/>
        <v>2024/06/05</v>
      </c>
      <c r="F118" t="str">
        <f t="shared" si="43"/>
        <v>June</v>
      </c>
      <c r="G118">
        <f t="shared" si="44"/>
        <v>2024</v>
      </c>
      <c r="H118" t="s">
        <v>1066</v>
      </c>
      <c r="I118" s="4">
        <v>45449</v>
      </c>
      <c r="J118" s="8">
        <f t="shared" si="34"/>
        <v>1</v>
      </c>
      <c r="K118" s="8" t="str">
        <f t="shared" si="45"/>
        <v>OK</v>
      </c>
      <c r="L118" t="s">
        <v>1067</v>
      </c>
      <c r="M118" t="s">
        <v>167</v>
      </c>
      <c r="N118" t="str">
        <f t="shared" si="35"/>
        <v>Sneha Kapoor</v>
      </c>
      <c r="O118" t="s">
        <v>25</v>
      </c>
      <c r="P118" t="str">
        <f t="shared" si="59"/>
        <v>Consumer</v>
      </c>
      <c r="Q118" t="s">
        <v>72</v>
      </c>
      <c r="R118" t="str">
        <f t="shared" si="62"/>
        <v>West</v>
      </c>
      <c r="S118" t="str">
        <f t="shared" si="46"/>
        <v>OK</v>
      </c>
      <c r="T118" t="s">
        <v>234</v>
      </c>
      <c r="U118" t="str">
        <f t="shared" si="37"/>
        <v>Gujarat</v>
      </c>
      <c r="V118" t="s">
        <v>235</v>
      </c>
      <c r="W118" t="str">
        <f t="shared" si="38"/>
        <v>Ahmedabad</v>
      </c>
      <c r="X118" t="str">
        <f t="shared" si="39"/>
        <v>Office Supplies</v>
      </c>
      <c r="Y118" t="s">
        <v>29</v>
      </c>
      <c r="Z118" t="s">
        <v>53</v>
      </c>
      <c r="AA118" t="str">
        <f t="shared" si="40"/>
        <v>Art</v>
      </c>
      <c r="AB118" t="s">
        <v>1068</v>
      </c>
      <c r="AC118" t="s">
        <v>32</v>
      </c>
      <c r="AD118" t="str">
        <f t="shared" si="60"/>
        <v>Second Class</v>
      </c>
      <c r="AE118" t="str">
        <f t="shared" si="47"/>
        <v>OK</v>
      </c>
      <c r="AF118">
        <v>1</v>
      </c>
      <c r="AG118">
        <v>1184.58</v>
      </c>
      <c r="AH118">
        <v>0.05</v>
      </c>
      <c r="AI118">
        <f t="shared" si="48"/>
        <v>0.05</v>
      </c>
      <c r="AJ118" t="str">
        <f t="shared" si="49"/>
        <v>OK</v>
      </c>
      <c r="AK118">
        <v>1125.3499999999999</v>
      </c>
      <c r="AL118">
        <v>676.97</v>
      </c>
      <c r="AM118">
        <v>448.38</v>
      </c>
      <c r="AN118" t="s">
        <v>199</v>
      </c>
      <c r="AO118" t="str">
        <f t="shared" si="41"/>
        <v>FAILED</v>
      </c>
      <c r="AP118" t="str">
        <f t="shared" si="50"/>
        <v>EXCLUDE_FROM_SALES</v>
      </c>
      <c r="AQ118" t="s">
        <v>77</v>
      </c>
      <c r="AR118" t="str">
        <f t="shared" si="42"/>
        <v>CANCELLED</v>
      </c>
      <c r="AS118" t="str">
        <f t="shared" si="51"/>
        <v>EXCLUDE_FROM_SALES</v>
      </c>
      <c r="AT118">
        <f t="shared" si="52"/>
        <v>1125.3509999999999</v>
      </c>
      <c r="AU118">
        <f t="shared" si="53"/>
        <v>448.38099999999986</v>
      </c>
      <c r="AV118" s="6">
        <f t="shared" si="54"/>
        <v>6.6359917927828764</v>
      </c>
      <c r="AW118" t="str">
        <f t="shared" si="55"/>
        <v>CLEAN</v>
      </c>
      <c r="AX118" s="10" t="str">
        <f t="shared" si="56"/>
        <v>MATCH</v>
      </c>
      <c r="AY118" t="str">
        <f t="shared" si="57"/>
        <v>MATCH</v>
      </c>
    </row>
    <row r="119" spans="1:51">
      <c r="A119" t="s">
        <v>1069</v>
      </c>
      <c r="B119">
        <f t="shared" si="32"/>
        <v>1</v>
      </c>
      <c r="C119" t="s">
        <v>302</v>
      </c>
      <c r="D119" s="3">
        <v>45629</v>
      </c>
      <c r="E119" t="str">
        <f t="shared" si="33"/>
        <v>2024/12/03</v>
      </c>
      <c r="F119" t="str">
        <f t="shared" si="43"/>
        <v>December</v>
      </c>
      <c r="G119">
        <f t="shared" si="44"/>
        <v>2024</v>
      </c>
      <c r="H119" t="s">
        <v>1070</v>
      </c>
      <c r="I119" s="4">
        <v>45629</v>
      </c>
      <c r="J119" s="8">
        <f t="shared" si="34"/>
        <v>0</v>
      </c>
      <c r="K119" s="8" t="str">
        <f t="shared" si="45"/>
        <v>OK</v>
      </c>
      <c r="L119" t="s">
        <v>1071</v>
      </c>
      <c r="M119" t="s">
        <v>147</v>
      </c>
      <c r="N119" t="str">
        <f t="shared" si="35"/>
        <v>Rahul Verma</v>
      </c>
      <c r="O119" t="s">
        <v>114</v>
      </c>
      <c r="P119" t="str">
        <f t="shared" si="59"/>
        <v>Home Office</v>
      </c>
      <c r="Q119" t="s">
        <v>41</v>
      </c>
      <c r="R119" t="str">
        <f t="shared" si="62"/>
        <v>East</v>
      </c>
      <c r="S119" t="str">
        <f t="shared" si="46"/>
        <v>OK</v>
      </c>
      <c r="T119" t="s">
        <v>185</v>
      </c>
      <c r="U119" t="str">
        <f t="shared" si="37"/>
        <v>Bihar</v>
      </c>
      <c r="V119" t="s">
        <v>186</v>
      </c>
      <c r="W119" t="str">
        <f t="shared" si="38"/>
        <v>Patna</v>
      </c>
      <c r="X119" t="str">
        <f t="shared" si="39"/>
        <v>Technology</v>
      </c>
      <c r="Y119" t="s">
        <v>85</v>
      </c>
      <c r="Z119" t="s">
        <v>381</v>
      </c>
      <c r="AA119" t="str">
        <f t="shared" si="40"/>
        <v>Machines</v>
      </c>
      <c r="AB119" t="s">
        <v>1072</v>
      </c>
      <c r="AD119" t="s">
        <v>4109</v>
      </c>
      <c r="AE119" t="str">
        <f t="shared" si="47"/>
        <v>MISSING_SHIP_MODE</v>
      </c>
      <c r="AF119">
        <v>6</v>
      </c>
      <c r="AG119">
        <v>2185.58</v>
      </c>
      <c r="AH119">
        <v>0.25</v>
      </c>
      <c r="AI119">
        <f t="shared" si="48"/>
        <v>0.25</v>
      </c>
      <c r="AJ119" t="str">
        <f t="shared" si="49"/>
        <v>OK</v>
      </c>
      <c r="AK119">
        <v>9835.11</v>
      </c>
      <c r="AL119">
        <v>5437.64</v>
      </c>
      <c r="AM119">
        <v>4397.47</v>
      </c>
      <c r="AN119" t="s">
        <v>33</v>
      </c>
      <c r="AO119" t="str">
        <f t="shared" si="41"/>
        <v>PAID</v>
      </c>
      <c r="AP119" t="str">
        <f t="shared" si="50"/>
        <v>OK</v>
      </c>
      <c r="AQ119" t="s">
        <v>34</v>
      </c>
      <c r="AR119" t="str">
        <f t="shared" si="42"/>
        <v>COMPLETED</v>
      </c>
      <c r="AS119" t="str">
        <f t="shared" si="51"/>
        <v>OK</v>
      </c>
      <c r="AT119">
        <f t="shared" si="52"/>
        <v>9835.11</v>
      </c>
      <c r="AU119">
        <f t="shared" si="53"/>
        <v>4397.47</v>
      </c>
      <c r="AV119" s="6">
        <f t="shared" si="54"/>
        <v>-0.63271712263513069</v>
      </c>
      <c r="AW119" t="str">
        <f t="shared" si="55"/>
        <v>WARNING</v>
      </c>
      <c r="AX119" s="10" t="str">
        <f t="shared" si="56"/>
        <v>MATCH</v>
      </c>
      <c r="AY119" t="str">
        <f t="shared" si="57"/>
        <v>MATCH</v>
      </c>
    </row>
    <row r="120" spans="1:51">
      <c r="A120" t="s">
        <v>1087</v>
      </c>
      <c r="B120">
        <f t="shared" si="32"/>
        <v>1</v>
      </c>
      <c r="C120" t="s">
        <v>1088</v>
      </c>
      <c r="D120" s="2">
        <v>45379</v>
      </c>
      <c r="E120" t="str">
        <f t="shared" si="33"/>
        <v>2024/03/28</v>
      </c>
      <c r="F120" t="str">
        <f t="shared" si="43"/>
        <v>March</v>
      </c>
      <c r="G120">
        <f t="shared" si="44"/>
        <v>2024</v>
      </c>
      <c r="H120" t="s">
        <v>1089</v>
      </c>
      <c r="I120" s="4">
        <v>45381</v>
      </c>
      <c r="J120" s="8">
        <f t="shared" si="34"/>
        <v>2</v>
      </c>
      <c r="K120" s="8" t="str">
        <f t="shared" si="45"/>
        <v>OK</v>
      </c>
      <c r="L120" t="s">
        <v>1090</v>
      </c>
      <c r="M120" t="s">
        <v>167</v>
      </c>
      <c r="N120" t="str">
        <f t="shared" si="35"/>
        <v>Sneha Kapoor</v>
      </c>
      <c r="O120" t="s">
        <v>107</v>
      </c>
      <c r="P120" t="str">
        <f t="shared" si="59"/>
        <v>Corporate</v>
      </c>
      <c r="Q120" t="s">
        <v>72</v>
      </c>
      <c r="R120" t="str">
        <f t="shared" si="62"/>
        <v>West</v>
      </c>
      <c r="S120" t="str">
        <f t="shared" si="46"/>
        <v>OK</v>
      </c>
      <c r="T120" t="s">
        <v>27</v>
      </c>
      <c r="U120" t="str">
        <f t="shared" si="37"/>
        <v>Rajasthan</v>
      </c>
      <c r="V120" t="s">
        <v>134</v>
      </c>
      <c r="W120" t="str">
        <f t="shared" si="38"/>
        <v>Udaipur</v>
      </c>
      <c r="X120" t="str">
        <f t="shared" si="39"/>
        <v>Technology</v>
      </c>
      <c r="Y120" t="s">
        <v>85</v>
      </c>
      <c r="Z120" t="s">
        <v>86</v>
      </c>
      <c r="AA120" t="str">
        <f t="shared" si="40"/>
        <v>Accessories</v>
      </c>
      <c r="AB120" t="s">
        <v>1091</v>
      </c>
      <c r="AC120" t="s">
        <v>32</v>
      </c>
      <c r="AD120" t="str">
        <f t="shared" ref="AD120:AD134" si="63">PROPER(TRIM(SUBSTITUTE(AC120,CHAR(160)," ")))</f>
        <v>Second Class</v>
      </c>
      <c r="AE120" t="str">
        <f t="shared" si="47"/>
        <v>OK</v>
      </c>
      <c r="AF120">
        <v>1</v>
      </c>
      <c r="AG120">
        <v>570.34</v>
      </c>
      <c r="AH120">
        <v>0.15</v>
      </c>
      <c r="AI120">
        <f t="shared" si="48"/>
        <v>0.15</v>
      </c>
      <c r="AJ120" t="str">
        <f t="shared" si="49"/>
        <v>OK</v>
      </c>
      <c r="AK120">
        <v>484.79</v>
      </c>
      <c r="AL120">
        <v>333.54</v>
      </c>
      <c r="AM120">
        <v>151.25</v>
      </c>
      <c r="AN120" t="s">
        <v>33</v>
      </c>
      <c r="AO120" t="str">
        <f t="shared" si="41"/>
        <v>PAID</v>
      </c>
      <c r="AP120" t="str">
        <f t="shared" si="50"/>
        <v>OK</v>
      </c>
      <c r="AQ120" t="s">
        <v>34</v>
      </c>
      <c r="AR120" t="str">
        <f t="shared" si="42"/>
        <v>COMPLETED</v>
      </c>
      <c r="AS120" t="str">
        <f t="shared" si="51"/>
        <v>OK</v>
      </c>
      <c r="AT120">
        <f t="shared" si="52"/>
        <v>484.78899999999999</v>
      </c>
      <c r="AU120">
        <f t="shared" si="53"/>
        <v>151.24899999999997</v>
      </c>
      <c r="AV120" s="6">
        <f t="shared" si="54"/>
        <v>1.7669666597220652</v>
      </c>
      <c r="AW120" t="str">
        <f t="shared" si="55"/>
        <v>CLEAN</v>
      </c>
      <c r="AX120" s="10" t="str">
        <f t="shared" si="56"/>
        <v>MATCH</v>
      </c>
      <c r="AY120" t="str">
        <f t="shared" si="57"/>
        <v>MATCH</v>
      </c>
    </row>
    <row r="121" spans="1:51">
      <c r="A121" t="s">
        <v>1106</v>
      </c>
      <c r="B121">
        <f t="shared" si="32"/>
        <v>1</v>
      </c>
      <c r="C121" t="s">
        <v>1107</v>
      </c>
      <c r="D121" s="2">
        <v>45572</v>
      </c>
      <c r="E121" t="str">
        <f t="shared" si="33"/>
        <v>2024/10/07</v>
      </c>
      <c r="F121" t="str">
        <f t="shared" si="43"/>
        <v>October</v>
      </c>
      <c r="G121">
        <f t="shared" si="44"/>
        <v>2024</v>
      </c>
      <c r="H121" t="s">
        <v>1108</v>
      </c>
      <c r="I121" s="4">
        <v>45489</v>
      </c>
      <c r="J121" s="8">
        <f t="shared" si="34"/>
        <v>-83</v>
      </c>
      <c r="K121" s="8" t="str">
        <f t="shared" si="45"/>
        <v>INVAILD_SHIPPING</v>
      </c>
      <c r="L121" t="s">
        <v>1109</v>
      </c>
      <c r="M121" t="s">
        <v>161</v>
      </c>
      <c r="N121" t="str">
        <f t="shared" si="35"/>
        <v>Aarav Sharma</v>
      </c>
      <c r="O121" t="s">
        <v>114</v>
      </c>
      <c r="P121" t="str">
        <f t="shared" si="59"/>
        <v>Home Office</v>
      </c>
      <c r="Q121" t="s">
        <v>72</v>
      </c>
      <c r="R121" t="str">
        <f t="shared" si="62"/>
        <v>West</v>
      </c>
      <c r="S121" t="str">
        <f t="shared" si="46"/>
        <v>OK</v>
      </c>
      <c r="T121" t="s">
        <v>248</v>
      </c>
      <c r="U121" t="str">
        <f t="shared" si="37"/>
        <v>Goa</v>
      </c>
      <c r="V121" t="s">
        <v>249</v>
      </c>
      <c r="W121" t="str">
        <f t="shared" si="38"/>
        <v>Panaji</v>
      </c>
      <c r="X121" t="str">
        <f t="shared" si="39"/>
        <v>Furniture</v>
      </c>
      <c r="Y121" t="s">
        <v>44</v>
      </c>
      <c r="Z121" t="s">
        <v>203</v>
      </c>
      <c r="AA121" t="str">
        <f t="shared" si="40"/>
        <v>Bookcases</v>
      </c>
      <c r="AB121" t="s">
        <v>1110</v>
      </c>
      <c r="AC121" t="s">
        <v>32</v>
      </c>
      <c r="AD121" t="str">
        <f t="shared" si="63"/>
        <v>Second Class</v>
      </c>
      <c r="AE121" t="str">
        <f t="shared" si="47"/>
        <v>OK</v>
      </c>
      <c r="AF121">
        <v>2</v>
      </c>
      <c r="AG121">
        <v>1095.45</v>
      </c>
      <c r="AH121">
        <v>0.2</v>
      </c>
      <c r="AI121">
        <f t="shared" si="48"/>
        <v>0.2</v>
      </c>
      <c r="AJ121" t="str">
        <f t="shared" si="49"/>
        <v>OK</v>
      </c>
      <c r="AK121">
        <v>1752.72</v>
      </c>
      <c r="AL121">
        <v>996.41</v>
      </c>
      <c r="AM121">
        <v>756.31</v>
      </c>
      <c r="AN121" t="s">
        <v>33</v>
      </c>
      <c r="AO121" t="str">
        <f t="shared" si="41"/>
        <v>PAID</v>
      </c>
      <c r="AP121" t="str">
        <f t="shared" si="50"/>
        <v>OK</v>
      </c>
      <c r="AQ121" t="s">
        <v>34</v>
      </c>
      <c r="AR121" t="str">
        <f t="shared" si="42"/>
        <v>COMPLETED</v>
      </c>
      <c r="AS121" t="str">
        <f t="shared" si="51"/>
        <v>OK</v>
      </c>
      <c r="AT121">
        <f t="shared" si="52"/>
        <v>1752.7200000000003</v>
      </c>
      <c r="AU121">
        <f t="shared" si="53"/>
        <v>756.31000000000029</v>
      </c>
      <c r="AV121" s="6">
        <f t="shared" si="54"/>
        <v>3.9411372038888106</v>
      </c>
      <c r="AW121" t="str">
        <f t="shared" si="55"/>
        <v>CLEAN</v>
      </c>
      <c r="AX121" s="10" t="str">
        <f t="shared" si="56"/>
        <v>MATCH</v>
      </c>
      <c r="AY121" t="str">
        <f t="shared" si="57"/>
        <v>MATCH</v>
      </c>
    </row>
    <row r="122" spans="1:51">
      <c r="A122" t="s">
        <v>1121</v>
      </c>
      <c r="B122">
        <f t="shared" si="32"/>
        <v>1</v>
      </c>
      <c r="C122" t="s">
        <v>1122</v>
      </c>
      <c r="D122" s="3">
        <v>45366</v>
      </c>
      <c r="E122" t="str">
        <f t="shared" si="33"/>
        <v>2024/03/15</v>
      </c>
      <c r="F122" t="str">
        <f t="shared" si="43"/>
        <v>March</v>
      </c>
      <c r="G122">
        <f t="shared" si="44"/>
        <v>2024</v>
      </c>
      <c r="H122" t="s">
        <v>1123</v>
      </c>
      <c r="I122" s="4">
        <v>45369</v>
      </c>
      <c r="J122" s="8">
        <f t="shared" si="34"/>
        <v>3</v>
      </c>
      <c r="K122" s="8" t="str">
        <f t="shared" si="45"/>
        <v>OK</v>
      </c>
      <c r="L122" t="s">
        <v>1124</v>
      </c>
      <c r="M122" t="s">
        <v>365</v>
      </c>
      <c r="N122" t="str">
        <f t="shared" si="35"/>
        <v>Kabir Singh</v>
      </c>
      <c r="O122" t="s">
        <v>114</v>
      </c>
      <c r="P122" t="str">
        <f t="shared" si="59"/>
        <v>Home Office</v>
      </c>
      <c r="Q122" t="s">
        <v>61</v>
      </c>
      <c r="R122" t="str">
        <f t="shared" si="62"/>
        <v>South</v>
      </c>
      <c r="S122" t="str">
        <f t="shared" si="46"/>
        <v>OK</v>
      </c>
      <c r="T122" t="s">
        <v>228</v>
      </c>
      <c r="U122" t="str">
        <f t="shared" si="37"/>
        <v>Karnataka</v>
      </c>
      <c r="V122" t="s">
        <v>229</v>
      </c>
      <c r="W122" t="str">
        <f t="shared" si="38"/>
        <v>Bengaluru</v>
      </c>
      <c r="X122" t="str">
        <f t="shared" si="39"/>
        <v>Technology</v>
      </c>
      <c r="Y122" t="s">
        <v>85</v>
      </c>
      <c r="Z122" t="s">
        <v>381</v>
      </c>
      <c r="AA122" t="str">
        <f t="shared" si="40"/>
        <v>Machines</v>
      </c>
      <c r="AB122" t="s">
        <v>1125</v>
      </c>
      <c r="AC122" t="s">
        <v>32</v>
      </c>
      <c r="AD122" t="str">
        <f t="shared" si="63"/>
        <v>Second Class</v>
      </c>
      <c r="AE122" t="str">
        <f t="shared" si="47"/>
        <v>OK</v>
      </c>
      <c r="AF122">
        <v>1</v>
      </c>
      <c r="AG122">
        <v>4131.3599999999997</v>
      </c>
      <c r="AH122">
        <v>0</v>
      </c>
      <c r="AI122">
        <f t="shared" si="48"/>
        <v>0</v>
      </c>
      <c r="AJ122" t="str">
        <f t="shared" si="49"/>
        <v>OK</v>
      </c>
      <c r="AK122">
        <v>4131.3599999999997</v>
      </c>
      <c r="AL122">
        <v>2937.07</v>
      </c>
      <c r="AM122">
        <v>1194.29</v>
      </c>
      <c r="AN122" t="s">
        <v>199</v>
      </c>
      <c r="AO122" t="str">
        <f t="shared" si="41"/>
        <v>FAILED</v>
      </c>
      <c r="AP122" t="str">
        <f t="shared" si="50"/>
        <v>EXCLUDE_FROM_SALES</v>
      </c>
      <c r="AQ122" t="s">
        <v>124</v>
      </c>
      <c r="AR122" t="str">
        <f t="shared" si="42"/>
        <v>RETURNED</v>
      </c>
      <c r="AS122" t="str">
        <f t="shared" si="51"/>
        <v>RETURNED_ORDER</v>
      </c>
      <c r="AT122">
        <f t="shared" si="52"/>
        <v>4131.3599999999997</v>
      </c>
      <c r="AU122">
        <f t="shared" si="53"/>
        <v>1194.2899999999995</v>
      </c>
      <c r="AV122" s="6">
        <f t="shared" si="54"/>
        <v>0.5011570039890012</v>
      </c>
      <c r="AW122" t="str">
        <f t="shared" si="55"/>
        <v>CLEAN</v>
      </c>
      <c r="AX122" s="10" t="str">
        <f t="shared" si="56"/>
        <v>MATCH</v>
      </c>
      <c r="AY122" t="str">
        <f t="shared" si="57"/>
        <v>MATCH</v>
      </c>
    </row>
    <row r="123" spans="1:51">
      <c r="A123" t="s">
        <v>1126</v>
      </c>
      <c r="B123">
        <f t="shared" si="32"/>
        <v>1</v>
      </c>
      <c r="C123" t="s">
        <v>1127</v>
      </c>
      <c r="D123" s="3">
        <v>45428</v>
      </c>
      <c r="E123" t="str">
        <f t="shared" si="33"/>
        <v>2024/05/16</v>
      </c>
      <c r="F123" t="str">
        <f t="shared" si="43"/>
        <v>May</v>
      </c>
      <c r="G123">
        <f t="shared" si="44"/>
        <v>2024</v>
      </c>
      <c r="H123" t="s">
        <v>1128</v>
      </c>
      <c r="I123" s="4">
        <v>45429</v>
      </c>
      <c r="J123" s="8">
        <f t="shared" si="34"/>
        <v>1</v>
      </c>
      <c r="K123" s="8" t="str">
        <f t="shared" si="45"/>
        <v>OK</v>
      </c>
      <c r="L123" t="s">
        <v>1129</v>
      </c>
      <c r="M123" t="s">
        <v>179</v>
      </c>
      <c r="N123" t="str">
        <f t="shared" si="35"/>
        <v>Rohan Mehta</v>
      </c>
      <c r="O123" t="s">
        <v>107</v>
      </c>
      <c r="P123" t="str">
        <f t="shared" si="59"/>
        <v>Corporate</v>
      </c>
      <c r="Q123" t="s">
        <v>1130</v>
      </c>
      <c r="R123" t="str">
        <f t="shared" si="62"/>
        <v>East</v>
      </c>
      <c r="S123" t="str">
        <f t="shared" si="46"/>
        <v>OK</v>
      </c>
      <c r="T123" t="s">
        <v>120</v>
      </c>
      <c r="U123" t="str">
        <f t="shared" si="37"/>
        <v>West Bengal</v>
      </c>
      <c r="V123" t="s">
        <v>121</v>
      </c>
      <c r="W123" t="str">
        <f t="shared" si="38"/>
        <v>Kolkata</v>
      </c>
      <c r="X123" t="str">
        <f t="shared" si="39"/>
        <v>Technology</v>
      </c>
      <c r="Y123" t="s">
        <v>85</v>
      </c>
      <c r="Z123" t="s">
        <v>93</v>
      </c>
      <c r="AA123" t="str">
        <f t="shared" si="40"/>
        <v>Copiers</v>
      </c>
      <c r="AB123" t="s">
        <v>1131</v>
      </c>
      <c r="AC123" t="s">
        <v>32</v>
      </c>
      <c r="AD123" t="str">
        <f t="shared" si="63"/>
        <v>Second Class</v>
      </c>
      <c r="AE123" t="str">
        <f t="shared" si="47"/>
        <v>OK</v>
      </c>
      <c r="AF123">
        <v>8</v>
      </c>
      <c r="AG123">
        <v>4221.95</v>
      </c>
      <c r="AH123">
        <v>0.2</v>
      </c>
      <c r="AI123">
        <f t="shared" si="48"/>
        <v>0.2</v>
      </c>
      <c r="AJ123" t="str">
        <f t="shared" si="49"/>
        <v>OK</v>
      </c>
      <c r="AK123">
        <v>27020.48</v>
      </c>
      <c r="AL123">
        <v>22885.24</v>
      </c>
      <c r="AM123">
        <v>4135.24</v>
      </c>
      <c r="AN123" t="s">
        <v>33</v>
      </c>
      <c r="AO123" t="str">
        <f t="shared" si="41"/>
        <v>PAID</v>
      </c>
      <c r="AP123" t="str">
        <f t="shared" si="50"/>
        <v>OK</v>
      </c>
      <c r="AQ123" t="s">
        <v>34</v>
      </c>
      <c r="AR123" t="str">
        <f t="shared" si="42"/>
        <v>COMPLETED</v>
      </c>
      <c r="AS123" t="str">
        <f t="shared" si="51"/>
        <v>OK</v>
      </c>
      <c r="AT123">
        <f t="shared" si="52"/>
        <v>27020.48</v>
      </c>
      <c r="AU123">
        <f t="shared" si="53"/>
        <v>4135.239999999998</v>
      </c>
      <c r="AV123" s="6">
        <f t="shared" si="54"/>
        <v>0.16097086358199408</v>
      </c>
      <c r="AW123" t="str">
        <f t="shared" si="55"/>
        <v>CLEAN</v>
      </c>
      <c r="AX123" s="10" t="str">
        <f t="shared" si="56"/>
        <v>MATCH</v>
      </c>
      <c r="AY123" t="str">
        <f t="shared" si="57"/>
        <v>MATCH</v>
      </c>
    </row>
    <row r="124" spans="1:51">
      <c r="A124" t="s">
        <v>1132</v>
      </c>
      <c r="B124">
        <f t="shared" si="32"/>
        <v>1</v>
      </c>
      <c r="C124" t="s">
        <v>1133</v>
      </c>
      <c r="D124" s="3">
        <v>45556</v>
      </c>
      <c r="E124" t="str">
        <f t="shared" si="33"/>
        <v>2024/09/21</v>
      </c>
      <c r="F124" t="str">
        <f t="shared" si="43"/>
        <v>September</v>
      </c>
      <c r="G124">
        <f t="shared" si="44"/>
        <v>2024</v>
      </c>
      <c r="H124" t="s">
        <v>1134</v>
      </c>
      <c r="I124" s="4">
        <v>45556</v>
      </c>
      <c r="J124" s="8">
        <f t="shared" si="34"/>
        <v>0</v>
      </c>
      <c r="K124" s="8" t="str">
        <f t="shared" si="45"/>
        <v>OK</v>
      </c>
      <c r="L124" t="s">
        <v>1135</v>
      </c>
      <c r="M124" t="s">
        <v>71</v>
      </c>
      <c r="N124" t="str">
        <f t="shared" si="35"/>
        <v>Ananya Rao</v>
      </c>
      <c r="O124" t="s">
        <v>40</v>
      </c>
      <c r="P124" t="str">
        <f t="shared" si="59"/>
        <v>Small Business</v>
      </c>
      <c r="Q124" t="s">
        <v>41</v>
      </c>
      <c r="R124" t="str">
        <f t="shared" si="62"/>
        <v>East</v>
      </c>
      <c r="S124" t="str">
        <f t="shared" si="46"/>
        <v>OK</v>
      </c>
      <c r="T124" t="s">
        <v>42</v>
      </c>
      <c r="U124" t="str">
        <f t="shared" si="37"/>
        <v>Odisha</v>
      </c>
      <c r="V124" t="s">
        <v>43</v>
      </c>
      <c r="W124" t="str">
        <f t="shared" si="38"/>
        <v>Bhubaneswar</v>
      </c>
      <c r="X124" t="str">
        <f t="shared" si="39"/>
        <v>Technology</v>
      </c>
      <c r="Y124" t="s">
        <v>85</v>
      </c>
      <c r="Z124" t="s">
        <v>222</v>
      </c>
      <c r="AA124" t="str">
        <f t="shared" si="40"/>
        <v>Phones</v>
      </c>
      <c r="AB124" t="s">
        <v>1136</v>
      </c>
      <c r="AC124" t="s">
        <v>47</v>
      </c>
      <c r="AD124" t="str">
        <f t="shared" si="63"/>
        <v>Same Day</v>
      </c>
      <c r="AE124" t="str">
        <f t="shared" si="47"/>
        <v>OK</v>
      </c>
      <c r="AF124">
        <v>2</v>
      </c>
      <c r="AG124">
        <v>214.5</v>
      </c>
      <c r="AH124">
        <v>0.15</v>
      </c>
      <c r="AI124">
        <f t="shared" si="48"/>
        <v>0.15</v>
      </c>
      <c r="AJ124" t="str">
        <f t="shared" si="49"/>
        <v>OK</v>
      </c>
      <c r="AK124">
        <v>364.65</v>
      </c>
      <c r="AL124">
        <v>280.74</v>
      </c>
      <c r="AM124">
        <v>83.91</v>
      </c>
      <c r="AN124" t="s">
        <v>33</v>
      </c>
      <c r="AO124" t="str">
        <f t="shared" si="41"/>
        <v>PAID</v>
      </c>
      <c r="AP124" t="str">
        <f t="shared" si="50"/>
        <v>OK</v>
      </c>
      <c r="AQ124" t="s">
        <v>34</v>
      </c>
      <c r="AR124" t="str">
        <f t="shared" si="42"/>
        <v>COMPLETED</v>
      </c>
      <c r="AS124" t="str">
        <f t="shared" si="51"/>
        <v>OK</v>
      </c>
      <c r="AT124">
        <f t="shared" si="52"/>
        <v>364.65</v>
      </c>
      <c r="AU124">
        <f t="shared" si="53"/>
        <v>83.909999999999968</v>
      </c>
      <c r="AV124" s="6">
        <f t="shared" si="54"/>
        <v>0.21216920334567382</v>
      </c>
      <c r="AW124" t="str">
        <f t="shared" si="55"/>
        <v>CLEAN</v>
      </c>
      <c r="AX124" s="10" t="str">
        <f t="shared" si="56"/>
        <v>MATCH</v>
      </c>
      <c r="AY124" t="str">
        <f t="shared" si="57"/>
        <v>MATCH</v>
      </c>
    </row>
    <row r="125" spans="1:51">
      <c r="A125" t="s">
        <v>1137</v>
      </c>
      <c r="B125">
        <f t="shared" si="32"/>
        <v>1</v>
      </c>
      <c r="C125" t="s">
        <v>1138</v>
      </c>
      <c r="D125" s="2">
        <v>45427</v>
      </c>
      <c r="E125" t="str">
        <f t="shared" si="33"/>
        <v>2024/05/15</v>
      </c>
      <c r="F125" t="str">
        <f t="shared" si="43"/>
        <v>May</v>
      </c>
      <c r="G125">
        <f t="shared" si="44"/>
        <v>2024</v>
      </c>
      <c r="H125" t="s">
        <v>1139</v>
      </c>
      <c r="I125" s="4">
        <v>45433</v>
      </c>
      <c r="J125" s="8">
        <f t="shared" si="34"/>
        <v>6</v>
      </c>
      <c r="K125" s="8" t="str">
        <f t="shared" si="45"/>
        <v>OK</v>
      </c>
      <c r="L125" t="s">
        <v>1140</v>
      </c>
      <c r="M125" t="s">
        <v>52</v>
      </c>
      <c r="N125" t="str">
        <f t="shared" si="35"/>
        <v>Isha Nair</v>
      </c>
      <c r="O125" t="s">
        <v>40</v>
      </c>
      <c r="P125" t="str">
        <f t="shared" si="59"/>
        <v>Small Business</v>
      </c>
      <c r="Q125" t="s">
        <v>41</v>
      </c>
      <c r="R125" t="str">
        <f t="shared" si="62"/>
        <v>East</v>
      </c>
      <c r="S125" t="str">
        <f t="shared" si="46"/>
        <v>OK</v>
      </c>
      <c r="T125" t="s">
        <v>185</v>
      </c>
      <c r="U125" t="str">
        <f t="shared" si="37"/>
        <v>Bihar</v>
      </c>
      <c r="V125" t="s">
        <v>186</v>
      </c>
      <c r="W125" t="str">
        <f t="shared" si="38"/>
        <v>Patna</v>
      </c>
      <c r="X125" t="str">
        <f t="shared" si="39"/>
        <v>Technology</v>
      </c>
      <c r="Y125" t="s">
        <v>85</v>
      </c>
      <c r="Z125" t="s">
        <v>86</v>
      </c>
      <c r="AA125" t="str">
        <f t="shared" si="40"/>
        <v>Accessories</v>
      </c>
      <c r="AB125" t="s">
        <v>1141</v>
      </c>
      <c r="AC125" t="s">
        <v>32</v>
      </c>
      <c r="AD125" t="str">
        <f t="shared" si="63"/>
        <v>Second Class</v>
      </c>
      <c r="AE125" t="str">
        <f t="shared" si="47"/>
        <v>OK</v>
      </c>
      <c r="AF125">
        <v>4</v>
      </c>
      <c r="AG125">
        <v>4332.7299999999996</v>
      </c>
      <c r="AH125">
        <v>0.2</v>
      </c>
      <c r="AI125">
        <f t="shared" si="48"/>
        <v>0.2</v>
      </c>
      <c r="AJ125" t="str">
        <f t="shared" si="49"/>
        <v>OK</v>
      </c>
      <c r="AK125">
        <v>13864.74</v>
      </c>
      <c r="AL125">
        <v>11294.06</v>
      </c>
      <c r="AM125">
        <v>2570.6799999999998</v>
      </c>
      <c r="AN125" t="s">
        <v>33</v>
      </c>
      <c r="AO125" t="str">
        <f t="shared" si="41"/>
        <v>PAID</v>
      </c>
      <c r="AP125" t="str">
        <f t="shared" si="50"/>
        <v>OK</v>
      </c>
      <c r="AQ125" t="s">
        <v>34</v>
      </c>
      <c r="AR125" t="str">
        <f t="shared" si="42"/>
        <v>COMPLETED</v>
      </c>
      <c r="AS125" t="str">
        <f t="shared" si="51"/>
        <v>OK</v>
      </c>
      <c r="AT125">
        <f t="shared" si="52"/>
        <v>13864.735999999999</v>
      </c>
      <c r="AU125">
        <f t="shared" si="53"/>
        <v>2570.6759999999995</v>
      </c>
      <c r="AV125" s="6">
        <f t="shared" si="54"/>
        <v>0.17739681447955458</v>
      </c>
      <c r="AW125" t="str">
        <f t="shared" si="55"/>
        <v>CLEAN</v>
      </c>
      <c r="AX125" s="10" t="str">
        <f t="shared" si="56"/>
        <v>MATCH</v>
      </c>
      <c r="AY125" t="str">
        <f t="shared" si="57"/>
        <v>MATCH</v>
      </c>
    </row>
    <row r="126" spans="1:51">
      <c r="A126" t="s">
        <v>1142</v>
      </c>
      <c r="B126">
        <f t="shared" si="32"/>
        <v>1</v>
      </c>
      <c r="C126" t="s">
        <v>1143</v>
      </c>
      <c r="D126" s="2">
        <v>45368</v>
      </c>
      <c r="E126" t="str">
        <f t="shared" si="33"/>
        <v>2024/03/17</v>
      </c>
      <c r="F126" t="str">
        <f t="shared" si="43"/>
        <v>March</v>
      </c>
      <c r="G126">
        <f t="shared" si="44"/>
        <v>2024</v>
      </c>
      <c r="H126" t="s">
        <v>1144</v>
      </c>
      <c r="I126" s="4">
        <v>45374</v>
      </c>
      <c r="J126" s="8">
        <f t="shared" si="34"/>
        <v>6</v>
      </c>
      <c r="K126" s="8" t="str">
        <f t="shared" si="45"/>
        <v>OK</v>
      </c>
      <c r="L126" t="s">
        <v>1145</v>
      </c>
      <c r="M126" t="s">
        <v>147</v>
      </c>
      <c r="N126" t="str">
        <f t="shared" si="35"/>
        <v>Rahul Verma</v>
      </c>
      <c r="O126" t="s">
        <v>25</v>
      </c>
      <c r="P126" t="str">
        <f t="shared" si="59"/>
        <v>Consumer</v>
      </c>
      <c r="Q126" t="s">
        <v>26</v>
      </c>
      <c r="R126" t="str">
        <f t="shared" si="62"/>
        <v>North</v>
      </c>
      <c r="S126" t="str">
        <f t="shared" si="46"/>
        <v>OK</v>
      </c>
      <c r="T126" t="s">
        <v>322</v>
      </c>
      <c r="U126" t="str">
        <f t="shared" si="37"/>
        <v>Haryana</v>
      </c>
      <c r="V126" t="s">
        <v>323</v>
      </c>
      <c r="W126" t="str">
        <f t="shared" si="38"/>
        <v>Gurugram</v>
      </c>
      <c r="X126" t="str">
        <f t="shared" si="39"/>
        <v>Technology</v>
      </c>
      <c r="Y126" t="s">
        <v>85</v>
      </c>
      <c r="Z126" t="s">
        <v>86</v>
      </c>
      <c r="AA126" t="str">
        <f t="shared" si="40"/>
        <v>Accessories</v>
      </c>
      <c r="AB126" t="s">
        <v>1146</v>
      </c>
      <c r="AC126" t="s">
        <v>55</v>
      </c>
      <c r="AD126" t="str">
        <f t="shared" si="63"/>
        <v>First Class</v>
      </c>
      <c r="AE126" t="str">
        <f t="shared" si="47"/>
        <v>OK</v>
      </c>
      <c r="AF126">
        <v>3</v>
      </c>
      <c r="AG126">
        <v>248.18</v>
      </c>
      <c r="AH126">
        <v>0.05</v>
      </c>
      <c r="AI126">
        <f t="shared" si="48"/>
        <v>0.05</v>
      </c>
      <c r="AJ126" t="str">
        <f t="shared" si="49"/>
        <v>OK</v>
      </c>
      <c r="AK126">
        <v>707.31</v>
      </c>
      <c r="AL126">
        <v>569</v>
      </c>
      <c r="AM126">
        <v>138.31</v>
      </c>
      <c r="AN126" t="s">
        <v>33</v>
      </c>
      <c r="AO126" t="str">
        <f t="shared" si="41"/>
        <v>PAID</v>
      </c>
      <c r="AP126" t="str">
        <f t="shared" si="50"/>
        <v>OK</v>
      </c>
      <c r="AQ126" t="s">
        <v>34</v>
      </c>
      <c r="AR126" t="str">
        <f t="shared" si="42"/>
        <v>COMPLETED</v>
      </c>
      <c r="AS126" t="str">
        <f t="shared" si="51"/>
        <v>OK</v>
      </c>
      <c r="AT126">
        <f t="shared" si="52"/>
        <v>707.31299999999999</v>
      </c>
      <c r="AU126">
        <f t="shared" si="53"/>
        <v>138.31299999999999</v>
      </c>
      <c r="AV126" s="6">
        <f t="shared" si="54"/>
        <v>1.6169524665883419</v>
      </c>
      <c r="AW126" t="str">
        <f t="shared" si="55"/>
        <v>CLEAN</v>
      </c>
      <c r="AX126" s="10" t="str">
        <f t="shared" si="56"/>
        <v>MATCH</v>
      </c>
      <c r="AY126" t="str">
        <f t="shared" si="57"/>
        <v>MATCH</v>
      </c>
    </row>
    <row r="127" spans="1:51">
      <c r="A127" t="s">
        <v>1147</v>
      </c>
      <c r="B127">
        <f t="shared" si="32"/>
        <v>1</v>
      </c>
      <c r="C127" t="s">
        <v>1148</v>
      </c>
      <c r="D127" s="3">
        <v>45352</v>
      </c>
      <c r="E127" t="str">
        <f t="shared" si="33"/>
        <v>2024/03/01</v>
      </c>
      <c r="F127" t="str">
        <f t="shared" si="43"/>
        <v>March</v>
      </c>
      <c r="G127">
        <f t="shared" si="44"/>
        <v>2024</v>
      </c>
      <c r="H127" t="s">
        <v>206</v>
      </c>
      <c r="I127" s="4">
        <v>45355</v>
      </c>
      <c r="J127" s="8">
        <f t="shared" si="34"/>
        <v>3</v>
      </c>
      <c r="K127" s="8" t="str">
        <f t="shared" si="45"/>
        <v>OK</v>
      </c>
      <c r="L127" t="s">
        <v>1149</v>
      </c>
      <c r="M127" t="s">
        <v>39</v>
      </c>
      <c r="N127" t="str">
        <f t="shared" si="35"/>
        <v>Mira Das</v>
      </c>
      <c r="O127" t="s">
        <v>25</v>
      </c>
      <c r="P127" t="str">
        <f t="shared" si="59"/>
        <v>Consumer</v>
      </c>
      <c r="Q127" t="s">
        <v>72</v>
      </c>
      <c r="R127" t="str">
        <f t="shared" si="62"/>
        <v>West</v>
      </c>
      <c r="S127" t="str">
        <f t="shared" si="46"/>
        <v>OK</v>
      </c>
      <c r="T127" t="s">
        <v>83</v>
      </c>
      <c r="U127" t="str">
        <f t="shared" si="37"/>
        <v>Madhya Pradesh</v>
      </c>
      <c r="V127" t="s">
        <v>84</v>
      </c>
      <c r="W127" t="str">
        <f t="shared" si="38"/>
        <v>Indore</v>
      </c>
      <c r="X127" t="str">
        <f t="shared" si="39"/>
        <v>Office Supplies</v>
      </c>
      <c r="Y127" t="s">
        <v>29</v>
      </c>
      <c r="Z127" t="s">
        <v>30</v>
      </c>
      <c r="AA127" t="str">
        <f t="shared" si="40"/>
        <v>Paper</v>
      </c>
      <c r="AB127" t="s">
        <v>1150</v>
      </c>
      <c r="AC127" t="s">
        <v>55</v>
      </c>
      <c r="AD127" t="str">
        <f t="shared" si="63"/>
        <v>First Class</v>
      </c>
      <c r="AE127" t="str">
        <f t="shared" si="47"/>
        <v>OK</v>
      </c>
      <c r="AF127">
        <v>8</v>
      </c>
      <c r="AG127">
        <v>3202.4</v>
      </c>
      <c r="AH127">
        <v>0.25</v>
      </c>
      <c r="AI127">
        <f t="shared" si="48"/>
        <v>0.25</v>
      </c>
      <c r="AJ127" t="str">
        <f t="shared" si="49"/>
        <v>OK</v>
      </c>
      <c r="AK127">
        <v>19214.400000000001</v>
      </c>
      <c r="AL127">
        <v>10916.01</v>
      </c>
      <c r="AM127">
        <v>8298.39</v>
      </c>
      <c r="AN127" t="s">
        <v>33</v>
      </c>
      <c r="AO127" t="str">
        <f t="shared" si="41"/>
        <v>PAID</v>
      </c>
      <c r="AP127" t="str">
        <f t="shared" si="50"/>
        <v>OK</v>
      </c>
      <c r="AQ127" t="s">
        <v>34</v>
      </c>
      <c r="AR127" t="str">
        <f t="shared" si="42"/>
        <v>COMPLETED</v>
      </c>
      <c r="AS127" t="str">
        <f t="shared" si="51"/>
        <v>OK</v>
      </c>
      <c r="AT127">
        <f t="shared" si="52"/>
        <v>19214.400000000001</v>
      </c>
      <c r="AU127">
        <f t="shared" si="53"/>
        <v>8298.3900000000012</v>
      </c>
      <c r="AV127" s="6">
        <f t="shared" si="54"/>
        <v>0.12705340786077104</v>
      </c>
      <c r="AW127" t="str">
        <f t="shared" si="55"/>
        <v>CLEAN</v>
      </c>
      <c r="AX127" s="10" t="str">
        <f t="shared" si="56"/>
        <v>MATCH</v>
      </c>
      <c r="AY127" t="str">
        <f t="shared" si="57"/>
        <v>MATCH</v>
      </c>
    </row>
    <row r="128" spans="1:51">
      <c r="A128" t="s">
        <v>1165</v>
      </c>
      <c r="B128">
        <f t="shared" si="32"/>
        <v>1</v>
      </c>
      <c r="C128" t="s">
        <v>683</v>
      </c>
      <c r="D128" s="3">
        <v>45461</v>
      </c>
      <c r="E128" t="str">
        <f t="shared" si="33"/>
        <v>2024/06/18</v>
      </c>
      <c r="F128" t="str">
        <f t="shared" si="43"/>
        <v>June</v>
      </c>
      <c r="G128">
        <f t="shared" si="44"/>
        <v>2024</v>
      </c>
      <c r="H128" t="s">
        <v>1166</v>
      </c>
      <c r="I128" s="4">
        <v>45462</v>
      </c>
      <c r="J128" s="8">
        <f t="shared" si="34"/>
        <v>1</v>
      </c>
      <c r="K128" s="8" t="str">
        <f t="shared" si="45"/>
        <v>OK</v>
      </c>
      <c r="L128" t="s">
        <v>1167</v>
      </c>
      <c r="M128" t="s">
        <v>147</v>
      </c>
      <c r="N128" t="str">
        <f t="shared" si="35"/>
        <v>Rahul Verma</v>
      </c>
      <c r="O128" t="s">
        <v>25</v>
      </c>
      <c r="P128" t="str">
        <f t="shared" si="59"/>
        <v>Consumer</v>
      </c>
      <c r="Q128" t="s">
        <v>41</v>
      </c>
      <c r="R128" t="str">
        <f t="shared" si="62"/>
        <v>East</v>
      </c>
      <c r="S128" t="str">
        <f t="shared" si="46"/>
        <v>OK</v>
      </c>
      <c r="T128" t="s">
        <v>185</v>
      </c>
      <c r="U128" t="str">
        <f t="shared" si="37"/>
        <v>Bihar</v>
      </c>
      <c r="V128" t="s">
        <v>186</v>
      </c>
      <c r="W128" t="str">
        <f t="shared" si="38"/>
        <v>Patna</v>
      </c>
      <c r="X128" t="str">
        <f t="shared" si="39"/>
        <v>Technology</v>
      </c>
      <c r="Y128" t="s">
        <v>85</v>
      </c>
      <c r="Z128" t="s">
        <v>381</v>
      </c>
      <c r="AA128" t="str">
        <f t="shared" si="40"/>
        <v>Machines</v>
      </c>
      <c r="AB128" t="s">
        <v>1168</v>
      </c>
      <c r="AC128" t="s">
        <v>55</v>
      </c>
      <c r="AD128" t="str">
        <f t="shared" si="63"/>
        <v>First Class</v>
      </c>
      <c r="AE128" t="str">
        <f t="shared" si="47"/>
        <v>OK</v>
      </c>
      <c r="AF128">
        <v>2</v>
      </c>
      <c r="AG128">
        <v>121.49</v>
      </c>
      <c r="AH128" t="s">
        <v>1169</v>
      </c>
      <c r="AI128">
        <f t="shared" si="48"/>
        <v>0.85</v>
      </c>
      <c r="AJ128" t="str">
        <f t="shared" si="49"/>
        <v>OK</v>
      </c>
      <c r="AK128">
        <v>242.98</v>
      </c>
      <c r="AL128">
        <v>161.41999999999999</v>
      </c>
      <c r="AM128">
        <v>81.56</v>
      </c>
      <c r="AN128" t="s">
        <v>33</v>
      </c>
      <c r="AO128" t="str">
        <f t="shared" si="41"/>
        <v>PAID</v>
      </c>
      <c r="AP128" t="str">
        <f t="shared" si="50"/>
        <v>OK</v>
      </c>
      <c r="AQ128" t="s">
        <v>34</v>
      </c>
      <c r="AR128" t="str">
        <f t="shared" si="42"/>
        <v>COMPLETED</v>
      </c>
      <c r="AS128" t="str">
        <f t="shared" si="51"/>
        <v>OK</v>
      </c>
      <c r="AT128">
        <f t="shared" si="52"/>
        <v>36.447000000000003</v>
      </c>
      <c r="AU128">
        <f t="shared" si="53"/>
        <v>-124.97299999999998</v>
      </c>
      <c r="AV128" s="6">
        <f t="shared" si="54"/>
        <v>66.980958652289601</v>
      </c>
      <c r="AW128" t="str">
        <f t="shared" si="55"/>
        <v>CLEAN</v>
      </c>
      <c r="AX128" s="10" t="str">
        <f t="shared" si="56"/>
        <v>MISMATCH</v>
      </c>
      <c r="AY128" t="str">
        <f t="shared" si="57"/>
        <v>MISMATCH</v>
      </c>
    </row>
    <row r="129" spans="1:51">
      <c r="A129" t="s">
        <v>1170</v>
      </c>
      <c r="B129">
        <f t="shared" si="32"/>
        <v>1</v>
      </c>
      <c r="C129" t="s">
        <v>1171</v>
      </c>
      <c r="D129" s="3">
        <v>45360</v>
      </c>
      <c r="E129" t="str">
        <f t="shared" si="33"/>
        <v>2024/03/09</v>
      </c>
      <c r="F129" t="str">
        <f t="shared" si="43"/>
        <v>March</v>
      </c>
      <c r="G129">
        <f t="shared" si="44"/>
        <v>2024</v>
      </c>
      <c r="H129" t="s">
        <v>1171</v>
      </c>
      <c r="I129" s="4">
        <v>45538</v>
      </c>
      <c r="J129" s="8">
        <f t="shared" si="34"/>
        <v>178</v>
      </c>
      <c r="K129" s="8" t="str">
        <f t="shared" si="45"/>
        <v>OK</v>
      </c>
      <c r="L129" t="s">
        <v>1172</v>
      </c>
      <c r="M129" t="s">
        <v>167</v>
      </c>
      <c r="N129" t="str">
        <f t="shared" si="35"/>
        <v>Sneha Kapoor</v>
      </c>
      <c r="O129" t="s">
        <v>25</v>
      </c>
      <c r="P129" t="str">
        <f t="shared" si="59"/>
        <v>Consumer</v>
      </c>
      <c r="Q129" t="s">
        <v>61</v>
      </c>
      <c r="R129" t="str">
        <f t="shared" si="62"/>
        <v>South</v>
      </c>
      <c r="S129" t="str">
        <f t="shared" si="46"/>
        <v>OK</v>
      </c>
      <c r="T129" t="s">
        <v>241</v>
      </c>
      <c r="U129" t="str">
        <f t="shared" si="37"/>
        <v>Kerala</v>
      </c>
      <c r="V129" t="s">
        <v>242</v>
      </c>
      <c r="W129" t="str">
        <f t="shared" si="38"/>
        <v>Kochi</v>
      </c>
      <c r="X129" t="str">
        <f t="shared" si="39"/>
        <v>Office Supplies</v>
      </c>
      <c r="Y129" t="s">
        <v>29</v>
      </c>
      <c r="Z129" t="s">
        <v>155</v>
      </c>
      <c r="AA129" t="str">
        <f t="shared" si="40"/>
        <v>Storage</v>
      </c>
      <c r="AB129" t="s">
        <v>1173</v>
      </c>
      <c r="AC129" t="s">
        <v>55</v>
      </c>
      <c r="AD129" t="str">
        <f t="shared" si="63"/>
        <v>First Class</v>
      </c>
      <c r="AE129" t="str">
        <f t="shared" si="47"/>
        <v>OK</v>
      </c>
      <c r="AF129">
        <v>4</v>
      </c>
      <c r="AG129">
        <v>2810.17</v>
      </c>
      <c r="AH129">
        <v>0.15</v>
      </c>
      <c r="AI129">
        <f t="shared" si="48"/>
        <v>0.15</v>
      </c>
      <c r="AJ129" t="str">
        <f t="shared" si="49"/>
        <v>OK</v>
      </c>
      <c r="AK129">
        <v>9554.58</v>
      </c>
      <c r="AL129">
        <v>6068.47</v>
      </c>
      <c r="AM129">
        <v>3486.11</v>
      </c>
      <c r="AN129" t="s">
        <v>123</v>
      </c>
      <c r="AO129" t="str">
        <f t="shared" si="41"/>
        <v>REFUNDED</v>
      </c>
      <c r="AP129" t="str">
        <f t="shared" si="50"/>
        <v>REFUNDED_PAYMENT</v>
      </c>
      <c r="AQ129" t="s">
        <v>77</v>
      </c>
      <c r="AR129" t="str">
        <f t="shared" si="42"/>
        <v>CANCELLED</v>
      </c>
      <c r="AS129" t="str">
        <f t="shared" si="51"/>
        <v>EXCLUDE_FROM_SALES</v>
      </c>
      <c r="AT129">
        <f t="shared" si="52"/>
        <v>9554.5779999999995</v>
      </c>
      <c r="AU129">
        <f t="shared" si="53"/>
        <v>3486.1079999999993</v>
      </c>
      <c r="AV129" s="6">
        <f t="shared" si="54"/>
        <v>0.20111019031923746</v>
      </c>
      <c r="AW129" t="str">
        <f t="shared" si="55"/>
        <v>CLEAN</v>
      </c>
      <c r="AX129" s="10" t="str">
        <f t="shared" si="56"/>
        <v>MATCH</v>
      </c>
      <c r="AY129" t="str">
        <f t="shared" si="57"/>
        <v>MATCH</v>
      </c>
    </row>
    <row r="130" spans="1:51">
      <c r="A130" t="s">
        <v>1193</v>
      </c>
      <c r="B130">
        <f t="shared" ref="B130:B193" si="64">COUNTIF($A:$A,A130)</f>
        <v>1</v>
      </c>
      <c r="C130" t="s">
        <v>1194</v>
      </c>
      <c r="D130" s="2">
        <v>45331</v>
      </c>
      <c r="E130" t="str">
        <f t="shared" ref="E130:E193" si="65">IFERROR(
TEXT(
  IF(ISNUMBER(SEARCH("/",D130)),
     DATE(RIGHT(D130,4),LEFT(D130,FIND("/",D130)-1),
          MID(D130,FIND("/",D130)+1,FIND("/",D130,FIND("/",D130)+1)-FIND("/",D130)-1)),
     IF(ISNUMBER(SEARCH("-",D130)),
        DATEVALUE(SUBSTITUTE(D130,"-","/")),
        DATEVALUE(TEXT(D130,"dd mmm yyyy"))
     )
  ),
"yyyy/mm/dd"
),
"")</f>
        <v>2024/02/09</v>
      </c>
      <c r="F130" t="str">
        <f t="shared" si="43"/>
        <v>February</v>
      </c>
      <c r="G130">
        <f t="shared" si="44"/>
        <v>2024</v>
      </c>
      <c r="H130" t="s">
        <v>1195</v>
      </c>
      <c r="I130" s="4">
        <v>45545</v>
      </c>
      <c r="J130" s="8">
        <f t="shared" ref="J130:J193" si="66">I130-E130</f>
        <v>214</v>
      </c>
      <c r="K130" s="8" t="str">
        <f t="shared" si="45"/>
        <v>OK</v>
      </c>
      <c r="L130" t="s">
        <v>1196</v>
      </c>
      <c r="M130" t="s">
        <v>39</v>
      </c>
      <c r="N130" t="str">
        <f t="shared" ref="N130:N193" si="67">PROPER(TRIM(SUBSTITUTE(M130,CHAR(160)," ")))</f>
        <v>Mira Das</v>
      </c>
      <c r="O130" t="s">
        <v>107</v>
      </c>
      <c r="P130" t="str">
        <f t="shared" si="59"/>
        <v>Corporate</v>
      </c>
      <c r="Q130" t="s">
        <v>72</v>
      </c>
      <c r="R130" t="str">
        <f t="shared" si="62"/>
        <v>West</v>
      </c>
      <c r="S130" t="str">
        <f t="shared" si="46"/>
        <v>OK</v>
      </c>
      <c r="T130" t="s">
        <v>248</v>
      </c>
      <c r="U130" t="str">
        <f t="shared" ref="U130:U193" si="68">PROPER(TRIM(SUBSTITUTE(T130,CHAR(160)," ")))</f>
        <v>Goa</v>
      </c>
      <c r="V130" t="s">
        <v>249</v>
      </c>
      <c r="W130" t="str">
        <f t="shared" ref="W130:W193" si="69">PROPER(TRIM(SUBSTITUTE(V130,CHAR(160)," ")))</f>
        <v>Panaji</v>
      </c>
      <c r="X130" t="str">
        <f t="shared" ref="X130:X193" si="70">PROPER(TRIM(SUBSTITUTE(Y130,CHAR(160)," ")))</f>
        <v>Technology</v>
      </c>
      <c r="Y130" t="s">
        <v>85</v>
      </c>
      <c r="Z130" t="s">
        <v>222</v>
      </c>
      <c r="AA130" t="str">
        <f t="shared" ref="AA130:AA193" si="71">PROPER(TRIM(SUBSTITUTE(Z130,CHAR(160)," ")))</f>
        <v>Phones</v>
      </c>
      <c r="AB130" t="s">
        <v>1197</v>
      </c>
      <c r="AC130" t="s">
        <v>66</v>
      </c>
      <c r="AD130" t="str">
        <f t="shared" si="63"/>
        <v>Standard Class</v>
      </c>
      <c r="AE130" t="str">
        <f t="shared" si="47"/>
        <v>OK</v>
      </c>
      <c r="AF130">
        <v>6</v>
      </c>
      <c r="AG130">
        <v>1032.47</v>
      </c>
      <c r="AH130">
        <v>0.15</v>
      </c>
      <c r="AI130">
        <f t="shared" si="48"/>
        <v>0.15</v>
      </c>
      <c r="AJ130" t="str">
        <f t="shared" si="49"/>
        <v>OK</v>
      </c>
      <c r="AK130">
        <v>5265.6</v>
      </c>
      <c r="AL130">
        <v>4293.1099999999997</v>
      </c>
      <c r="AM130">
        <v>787.57</v>
      </c>
      <c r="AN130" t="s">
        <v>33</v>
      </c>
      <c r="AO130" t="str">
        <f t="shared" ref="AO130:AO193" si="72">UPPER(TRIM(SUBSTITUTE(AN130,CHAR(160)," ")))</f>
        <v>PAID</v>
      </c>
      <c r="AP130" t="str">
        <f t="shared" si="50"/>
        <v>OK</v>
      </c>
      <c r="AQ130" t="s">
        <v>34</v>
      </c>
      <c r="AR130" t="str">
        <f t="shared" ref="AR130:AR193" si="73">UPPER(TRIM(SUBSTITUTE(AQ130,CHAR(160)," ")))</f>
        <v>COMPLETED</v>
      </c>
      <c r="AS130" t="str">
        <f t="shared" si="51"/>
        <v>OK</v>
      </c>
      <c r="AT130">
        <f t="shared" si="52"/>
        <v>5265.5969999999998</v>
      </c>
      <c r="AU130">
        <f t="shared" si="53"/>
        <v>972.48700000000008</v>
      </c>
      <c r="AV130" s="6">
        <f t="shared" si="54"/>
        <v>1.3842144584935008</v>
      </c>
      <c r="AW130" t="str">
        <f t="shared" si="55"/>
        <v>CLEAN</v>
      </c>
      <c r="AX130" s="10" t="str">
        <f t="shared" si="56"/>
        <v>MATCH</v>
      </c>
      <c r="AY130" t="str">
        <f t="shared" si="57"/>
        <v>MISMATCH</v>
      </c>
    </row>
    <row r="131" spans="1:51">
      <c r="A131" t="s">
        <v>1202</v>
      </c>
      <c r="B131">
        <f t="shared" si="64"/>
        <v>1</v>
      </c>
      <c r="C131" t="s">
        <v>1203</v>
      </c>
      <c r="D131" s="3">
        <v>45419</v>
      </c>
      <c r="E131" t="str">
        <f t="shared" si="65"/>
        <v>2024/05/07</v>
      </c>
      <c r="F131" t="str">
        <f t="shared" ref="F131:F194" si="74">TEXT(E131,"MMMM")</f>
        <v>May</v>
      </c>
      <c r="G131">
        <f t="shared" ref="G131:G194" si="75">YEAR(E131)</f>
        <v>2024</v>
      </c>
      <c r="H131" t="s">
        <v>1204</v>
      </c>
      <c r="I131" s="4">
        <v>45485</v>
      </c>
      <c r="J131" s="8">
        <f t="shared" si="66"/>
        <v>66</v>
      </c>
      <c r="K131" s="8" t="str">
        <f t="shared" ref="K131:K194" si="76">IF(J131&lt;0,"INVAILD_SHIPPING","OK")</f>
        <v>OK</v>
      </c>
      <c r="L131" t="s">
        <v>1205</v>
      </c>
      <c r="M131" t="s">
        <v>71</v>
      </c>
      <c r="N131" t="str">
        <f t="shared" si="67"/>
        <v>Ananya Rao</v>
      </c>
      <c r="O131" t="s">
        <v>1206</v>
      </c>
      <c r="P131" t="str">
        <f t="shared" si="59"/>
        <v>Small Business</v>
      </c>
      <c r="Q131" t="s">
        <v>72</v>
      </c>
      <c r="R131" t="str">
        <f t="shared" si="62"/>
        <v>West</v>
      </c>
      <c r="S131" t="str">
        <f t="shared" ref="S131:S194" si="77">IF(R131="Unknown","MISSING_REGION","OK")</f>
        <v>OK</v>
      </c>
      <c r="T131" t="s">
        <v>248</v>
      </c>
      <c r="U131" t="str">
        <f t="shared" si="68"/>
        <v>Goa</v>
      </c>
      <c r="V131" t="s">
        <v>249</v>
      </c>
      <c r="W131" t="str">
        <f t="shared" si="69"/>
        <v>Panaji</v>
      </c>
      <c r="X131" t="str">
        <f t="shared" si="70"/>
        <v>Office Supplies</v>
      </c>
      <c r="Y131" t="s">
        <v>29</v>
      </c>
      <c r="Z131" t="s">
        <v>197</v>
      </c>
      <c r="AA131" t="str">
        <f t="shared" si="71"/>
        <v>Binders</v>
      </c>
      <c r="AB131" t="s">
        <v>1207</v>
      </c>
      <c r="AC131" t="s">
        <v>55</v>
      </c>
      <c r="AD131" t="str">
        <f t="shared" si="63"/>
        <v>First Class</v>
      </c>
      <c r="AE131" t="str">
        <f t="shared" ref="AE131:AE194" si="78">IF(AD131="Unknown","MISSING_SHIP_MODE","OK")</f>
        <v>OK</v>
      </c>
      <c r="AF131">
        <v>3</v>
      </c>
      <c r="AG131">
        <v>577.75</v>
      </c>
      <c r="AH131">
        <v>0.15</v>
      </c>
      <c r="AI131">
        <f t="shared" ref="AI131:AI194" si="79">IF(RIGHT(AH131,1)="%",VALUE(SUBSTITUTE(AH131,"%",""))/100,AH131)</f>
        <v>0.15</v>
      </c>
      <c r="AJ131" t="str">
        <f t="shared" ref="AJ131:AJ194" si="80">IF(AH131="","Missing Discount",
IF(AH131&lt;0,"Invalid Negative Discount",
"OK"))</f>
        <v>OK</v>
      </c>
      <c r="AK131">
        <v>1473.26</v>
      </c>
      <c r="AL131">
        <v>899.86</v>
      </c>
      <c r="AM131">
        <v>573.4</v>
      </c>
      <c r="AN131" t="s">
        <v>33</v>
      </c>
      <c r="AO131" t="str">
        <f t="shared" si="72"/>
        <v>PAID</v>
      </c>
      <c r="AP131" t="str">
        <f t="shared" ref="AP131:AP194" si="81">IF(AO131="Failed","EXCLUDE_FROM_SALES",
IF(AO131="Refunded","REFUNDED_PAYMENT",
"OK"))</f>
        <v>OK</v>
      </c>
      <c r="AQ131" t="s">
        <v>34</v>
      </c>
      <c r="AR131" t="str">
        <f t="shared" si="73"/>
        <v>COMPLETED</v>
      </c>
      <c r="AS131" t="str">
        <f t="shared" ref="AS131:AS194" si="82">IF(AR131="Cancelled","EXCLUDE_FROM_SALES",
IF(AR131="Returned","RETURNED_ORDER",
"OK"))</f>
        <v>OK</v>
      </c>
      <c r="AT131">
        <f t="shared" ref="AT131:AT194" si="83">IF(AI131&lt;0,"INVAILD",AF131*AG131*(1-AI131))</f>
        <v>1473.2625</v>
      </c>
      <c r="AU131">
        <f t="shared" ref="AU131:AU194" si="84">IF(AT131="INVAILD","INVAILD",AT131-AL131)</f>
        <v>573.40250000000003</v>
      </c>
      <c r="AV131" s="6">
        <f t="shared" ref="AV131:AV194" si="85">IF(OR(AT131="INVALID",AU131="INVALID"),"",AU152/AT131)</f>
        <v>0.86413317382340227</v>
      </c>
      <c r="AW131" t="str">
        <f t="shared" ref="AW131:AW194" si="86">IF(OR(AJ131&lt;&gt;"OK",K131="INVALID_SHIPPING"),
"INVALID",
IF(OR(S131&lt;&gt;"OK",AE131&lt;&gt;"OK"),
"WARNING",
"CLEAN"))</f>
        <v>CLEAN</v>
      </c>
      <c r="AX131" s="10" t="str">
        <f t="shared" ref="AX131:AX194" si="87">IF(AT131="INVALID","INVALID",
IF(ROUND(AK131,2)=ROUND(AT131,2),"MATCH","MISMATCH"))</f>
        <v>MATCH</v>
      </c>
      <c r="AY131" t="str">
        <f t="shared" ref="AY131:AY194" si="88">IF(AU131="INVALID","INVALID",IF(ROUND(AM131,2)=ROUND(AU131,2),"MATCH","MISMATCH"))</f>
        <v>MATCH</v>
      </c>
    </row>
    <row r="132" spans="1:51">
      <c r="A132" t="s">
        <v>1208</v>
      </c>
      <c r="B132">
        <f t="shared" si="64"/>
        <v>1</v>
      </c>
      <c r="C132" t="s">
        <v>1209</v>
      </c>
      <c r="D132" s="3">
        <v>45406</v>
      </c>
      <c r="E132" t="str">
        <f t="shared" si="65"/>
        <v>2024/04/24</v>
      </c>
      <c r="F132" t="str">
        <f t="shared" si="74"/>
        <v>April</v>
      </c>
      <c r="G132">
        <f t="shared" si="75"/>
        <v>2024</v>
      </c>
      <c r="H132" t="s">
        <v>1210</v>
      </c>
      <c r="I132" s="4">
        <v>45410</v>
      </c>
      <c r="J132" s="8">
        <f t="shared" si="66"/>
        <v>4</v>
      </c>
      <c r="K132" s="8" t="str">
        <f t="shared" si="76"/>
        <v>OK</v>
      </c>
      <c r="L132" t="s">
        <v>1211</v>
      </c>
      <c r="M132" t="s">
        <v>24</v>
      </c>
      <c r="N132" t="str">
        <f t="shared" si="67"/>
        <v>Karan Malhotra</v>
      </c>
      <c r="O132" t="s">
        <v>40</v>
      </c>
      <c r="P132" t="str">
        <f t="shared" si="59"/>
        <v>Small Business</v>
      </c>
      <c r="Q132" t="s">
        <v>61</v>
      </c>
      <c r="R132" t="str">
        <f t="shared" si="62"/>
        <v>South</v>
      </c>
      <c r="S132" t="str">
        <f t="shared" si="77"/>
        <v>OK</v>
      </c>
      <c r="T132" t="s">
        <v>62</v>
      </c>
      <c r="U132" t="str">
        <f t="shared" si="68"/>
        <v>Telangana</v>
      </c>
      <c r="V132" t="s">
        <v>63</v>
      </c>
      <c r="W132" t="str">
        <f t="shared" si="69"/>
        <v>Hyderabad</v>
      </c>
      <c r="X132" t="str">
        <f t="shared" si="70"/>
        <v>Office Supplies</v>
      </c>
      <c r="Y132" t="s">
        <v>29</v>
      </c>
      <c r="Z132" t="s">
        <v>108</v>
      </c>
      <c r="AA132" t="str">
        <f t="shared" si="71"/>
        <v>Labels</v>
      </c>
      <c r="AB132" t="s">
        <v>1212</v>
      </c>
      <c r="AC132" t="s">
        <v>32</v>
      </c>
      <c r="AD132" t="str">
        <f t="shared" si="63"/>
        <v>Second Class</v>
      </c>
      <c r="AE132" t="str">
        <f t="shared" si="78"/>
        <v>OK</v>
      </c>
      <c r="AF132">
        <v>1</v>
      </c>
      <c r="AG132">
        <v>3194.37</v>
      </c>
      <c r="AH132">
        <v>0.15</v>
      </c>
      <c r="AI132">
        <f t="shared" si="79"/>
        <v>0.15</v>
      </c>
      <c r="AJ132" t="str">
        <f t="shared" si="80"/>
        <v>OK</v>
      </c>
      <c r="AK132">
        <v>2715.21</v>
      </c>
      <c r="AL132">
        <v>1551.55</v>
      </c>
      <c r="AM132">
        <v>1163.6600000000001</v>
      </c>
      <c r="AN132" t="s">
        <v>33</v>
      </c>
      <c r="AO132" t="str">
        <f t="shared" si="72"/>
        <v>PAID</v>
      </c>
      <c r="AP132" t="str">
        <f t="shared" si="81"/>
        <v>OK</v>
      </c>
      <c r="AQ132" t="s">
        <v>34</v>
      </c>
      <c r="AR132" t="str">
        <f t="shared" si="73"/>
        <v>COMPLETED</v>
      </c>
      <c r="AS132" t="str">
        <f t="shared" si="82"/>
        <v>OK</v>
      </c>
      <c r="AT132">
        <f t="shared" si="83"/>
        <v>2715.2145</v>
      </c>
      <c r="AU132">
        <f t="shared" si="84"/>
        <v>1163.6645000000001</v>
      </c>
      <c r="AV132" s="6">
        <f t="shared" si="85"/>
        <v>2.882994326967538</v>
      </c>
      <c r="AW132" t="str">
        <f t="shared" si="86"/>
        <v>CLEAN</v>
      </c>
      <c r="AX132" s="10" t="str">
        <f t="shared" si="87"/>
        <v>MATCH</v>
      </c>
      <c r="AY132" t="str">
        <f t="shared" si="88"/>
        <v>MATCH</v>
      </c>
    </row>
    <row r="133" spans="1:51">
      <c r="A133" t="s">
        <v>1218</v>
      </c>
      <c r="B133">
        <f t="shared" si="64"/>
        <v>1</v>
      </c>
      <c r="C133" t="s">
        <v>80</v>
      </c>
      <c r="D133" s="3">
        <v>45440</v>
      </c>
      <c r="E133" t="str">
        <f t="shared" si="65"/>
        <v>2024/05/28</v>
      </c>
      <c r="F133" t="str">
        <f t="shared" si="74"/>
        <v>May</v>
      </c>
      <c r="G133">
        <f t="shared" si="75"/>
        <v>2024</v>
      </c>
      <c r="H133" t="s">
        <v>1219</v>
      </c>
      <c r="I133" s="4">
        <v>45357</v>
      </c>
      <c r="J133" s="8">
        <f t="shared" si="66"/>
        <v>-83</v>
      </c>
      <c r="K133" s="8" t="str">
        <f t="shared" si="76"/>
        <v>INVAILD_SHIPPING</v>
      </c>
      <c r="L133" t="s">
        <v>1220</v>
      </c>
      <c r="M133" t="s">
        <v>92</v>
      </c>
      <c r="N133" t="str">
        <f t="shared" si="67"/>
        <v>Neha Gupta</v>
      </c>
      <c r="O133" t="s">
        <v>40</v>
      </c>
      <c r="P133" t="str">
        <f t="shared" si="59"/>
        <v>Small Business</v>
      </c>
      <c r="Q133" t="s">
        <v>26</v>
      </c>
      <c r="R133" t="str">
        <f t="shared" si="62"/>
        <v>North</v>
      </c>
      <c r="S133" t="str">
        <f t="shared" si="77"/>
        <v>OK</v>
      </c>
      <c r="T133" t="s">
        <v>27</v>
      </c>
      <c r="U133" t="str">
        <f t="shared" si="68"/>
        <v>Rajasthan</v>
      </c>
      <c r="V133" t="s">
        <v>28</v>
      </c>
      <c r="W133" t="str">
        <f t="shared" si="69"/>
        <v>Jaipur</v>
      </c>
      <c r="X133" t="str">
        <f t="shared" si="70"/>
        <v>Office Supplies</v>
      </c>
      <c r="Y133" t="s">
        <v>29</v>
      </c>
      <c r="Z133" t="s">
        <v>30</v>
      </c>
      <c r="AA133" t="str">
        <f t="shared" si="71"/>
        <v>Paper</v>
      </c>
      <c r="AB133" t="s">
        <v>1221</v>
      </c>
      <c r="AC133" t="s">
        <v>66</v>
      </c>
      <c r="AD133" t="str">
        <f t="shared" si="63"/>
        <v>Standard Class</v>
      </c>
      <c r="AE133" t="str">
        <f t="shared" si="78"/>
        <v>OK</v>
      </c>
      <c r="AF133">
        <v>8</v>
      </c>
      <c r="AG133">
        <v>1540.33</v>
      </c>
      <c r="AH133">
        <v>0.1</v>
      </c>
      <c r="AI133">
        <f t="shared" si="79"/>
        <v>0.1</v>
      </c>
      <c r="AJ133" t="str">
        <f t="shared" si="80"/>
        <v>OK</v>
      </c>
      <c r="AK133">
        <v>11090.38</v>
      </c>
      <c r="AL133">
        <v>8840.9500000000007</v>
      </c>
      <c r="AM133">
        <v>2249.4299999999998</v>
      </c>
      <c r="AN133" t="s">
        <v>33</v>
      </c>
      <c r="AO133" t="str">
        <f t="shared" si="72"/>
        <v>PAID</v>
      </c>
      <c r="AP133" t="str">
        <f t="shared" si="81"/>
        <v>OK</v>
      </c>
      <c r="AQ133" t="s">
        <v>34</v>
      </c>
      <c r="AR133" t="str">
        <f t="shared" si="73"/>
        <v>COMPLETED</v>
      </c>
      <c r="AS133" t="str">
        <f t="shared" si="82"/>
        <v>OK</v>
      </c>
      <c r="AT133">
        <f t="shared" si="83"/>
        <v>11090.376</v>
      </c>
      <c r="AU133">
        <f t="shared" si="84"/>
        <v>2249.4259999999995</v>
      </c>
      <c r="AV133" s="6">
        <f t="shared" si="85"/>
        <v>0.1879683790702858</v>
      </c>
      <c r="AW133" t="str">
        <f t="shared" si="86"/>
        <v>CLEAN</v>
      </c>
      <c r="AX133" s="10" t="str">
        <f t="shared" si="87"/>
        <v>MATCH</v>
      </c>
      <c r="AY133" t="str">
        <f t="shared" si="88"/>
        <v>MATCH</v>
      </c>
    </row>
    <row r="134" spans="1:51">
      <c r="A134" t="s">
        <v>1222</v>
      </c>
      <c r="B134">
        <f t="shared" si="64"/>
        <v>1</v>
      </c>
      <c r="C134" t="s">
        <v>1223</v>
      </c>
      <c r="D134" s="3">
        <v>45327</v>
      </c>
      <c r="E134" t="str">
        <f t="shared" si="65"/>
        <v>2024/02/05</v>
      </c>
      <c r="F134" t="str">
        <f t="shared" si="74"/>
        <v>February</v>
      </c>
      <c r="G134">
        <f t="shared" si="75"/>
        <v>2024</v>
      </c>
      <c r="H134" t="s">
        <v>1224</v>
      </c>
      <c r="I134" s="4">
        <v>45414</v>
      </c>
      <c r="J134" s="8">
        <f t="shared" si="66"/>
        <v>87</v>
      </c>
      <c r="K134" s="8" t="str">
        <f t="shared" si="76"/>
        <v>OK</v>
      </c>
      <c r="L134" t="s">
        <v>1225</v>
      </c>
      <c r="M134" t="s">
        <v>71</v>
      </c>
      <c r="N134" t="str">
        <f t="shared" si="67"/>
        <v>Ananya Rao</v>
      </c>
      <c r="O134" t="s">
        <v>107</v>
      </c>
      <c r="P134" t="str">
        <f t="shared" si="59"/>
        <v>Corporate</v>
      </c>
      <c r="Q134" t="s">
        <v>26</v>
      </c>
      <c r="R134" t="str">
        <f t="shared" si="62"/>
        <v>North</v>
      </c>
      <c r="S134" t="str">
        <f t="shared" si="77"/>
        <v>OK</v>
      </c>
      <c r="T134" t="s">
        <v>27</v>
      </c>
      <c r="U134" t="str">
        <f t="shared" si="68"/>
        <v>Rajasthan</v>
      </c>
      <c r="V134" t="s">
        <v>28</v>
      </c>
      <c r="W134" t="str">
        <f t="shared" si="69"/>
        <v>Jaipur</v>
      </c>
      <c r="X134" t="str">
        <f t="shared" si="70"/>
        <v>Office Supplies</v>
      </c>
      <c r="Y134" t="s">
        <v>1226</v>
      </c>
      <c r="Z134" t="s">
        <v>108</v>
      </c>
      <c r="AA134" t="str">
        <f t="shared" si="71"/>
        <v>Labels</v>
      </c>
      <c r="AB134" t="s">
        <v>1227</v>
      </c>
      <c r="AC134" t="s">
        <v>55</v>
      </c>
      <c r="AD134" t="str">
        <f t="shared" si="63"/>
        <v>First Class</v>
      </c>
      <c r="AE134" t="str">
        <f t="shared" si="78"/>
        <v>OK</v>
      </c>
      <c r="AF134">
        <v>7</v>
      </c>
      <c r="AG134">
        <v>2183.38</v>
      </c>
      <c r="AH134">
        <v>0.25</v>
      </c>
      <c r="AI134">
        <f t="shared" si="79"/>
        <v>0.25</v>
      </c>
      <c r="AJ134" t="str">
        <f t="shared" si="80"/>
        <v>OK</v>
      </c>
      <c r="AK134">
        <v>11462.74</v>
      </c>
      <c r="AL134">
        <v>7163.54</v>
      </c>
      <c r="AM134">
        <v>4299.2</v>
      </c>
      <c r="AN134" t="s">
        <v>123</v>
      </c>
      <c r="AO134" t="str">
        <f t="shared" si="72"/>
        <v>REFUNDED</v>
      </c>
      <c r="AP134" t="str">
        <f t="shared" si="81"/>
        <v>REFUNDED_PAYMENT</v>
      </c>
      <c r="AQ134" t="s">
        <v>77</v>
      </c>
      <c r="AR134" t="str">
        <f t="shared" si="73"/>
        <v>CANCELLED</v>
      </c>
      <c r="AS134" t="str">
        <f t="shared" si="82"/>
        <v>EXCLUDE_FROM_SALES</v>
      </c>
      <c r="AT134">
        <f t="shared" si="83"/>
        <v>11462.744999999999</v>
      </c>
      <c r="AU134">
        <f t="shared" si="84"/>
        <v>4299.204999999999</v>
      </c>
      <c r="AV134" s="6">
        <f t="shared" si="85"/>
        <v>1.8310142989310153E-2</v>
      </c>
      <c r="AW134" t="str">
        <f t="shared" si="86"/>
        <v>CLEAN</v>
      </c>
      <c r="AX134" s="10" t="str">
        <f t="shared" si="87"/>
        <v>MISMATCH</v>
      </c>
      <c r="AY134" t="str">
        <f t="shared" si="88"/>
        <v>MISMATCH</v>
      </c>
    </row>
    <row r="135" spans="1:51">
      <c r="A135" t="s">
        <v>1233</v>
      </c>
      <c r="B135">
        <f t="shared" si="64"/>
        <v>1</v>
      </c>
      <c r="C135" t="s">
        <v>1234</v>
      </c>
      <c r="D135" s="3">
        <v>45579</v>
      </c>
      <c r="E135" t="str">
        <f t="shared" si="65"/>
        <v>2024/10/14</v>
      </c>
      <c r="F135" t="str">
        <f t="shared" si="74"/>
        <v>October</v>
      </c>
      <c r="G135">
        <f t="shared" si="75"/>
        <v>2024</v>
      </c>
      <c r="H135" t="s">
        <v>1235</v>
      </c>
      <c r="I135" s="4">
        <v>45579</v>
      </c>
      <c r="J135" s="8">
        <f t="shared" si="66"/>
        <v>0</v>
      </c>
      <c r="K135" s="8" t="str">
        <f t="shared" si="76"/>
        <v>OK</v>
      </c>
      <c r="L135" t="s">
        <v>1236</v>
      </c>
      <c r="M135" t="s">
        <v>82</v>
      </c>
      <c r="N135" t="str">
        <f t="shared" si="67"/>
        <v>Vikram Iyer</v>
      </c>
      <c r="O135" t="s">
        <v>107</v>
      </c>
      <c r="P135" t="str">
        <f t="shared" si="59"/>
        <v>Corporate</v>
      </c>
      <c r="Q135" t="s">
        <v>61</v>
      </c>
      <c r="R135" t="str">
        <f t="shared" si="62"/>
        <v>South</v>
      </c>
      <c r="S135" t="str">
        <f t="shared" si="77"/>
        <v>OK</v>
      </c>
      <c r="T135" t="s">
        <v>228</v>
      </c>
      <c r="U135" t="str">
        <f t="shared" si="68"/>
        <v>Karnataka</v>
      </c>
      <c r="V135" t="s">
        <v>229</v>
      </c>
      <c r="W135" t="str">
        <f t="shared" si="69"/>
        <v>Bengaluru</v>
      </c>
      <c r="X135" t="str">
        <f t="shared" si="70"/>
        <v>Furniture</v>
      </c>
      <c r="Y135" t="s">
        <v>44</v>
      </c>
      <c r="Z135" t="s">
        <v>203</v>
      </c>
      <c r="AA135" t="str">
        <f t="shared" si="71"/>
        <v>Bookcases</v>
      </c>
      <c r="AB135" t="s">
        <v>1237</v>
      </c>
      <c r="AD135" t="s">
        <v>4109</v>
      </c>
      <c r="AE135" t="str">
        <f t="shared" si="78"/>
        <v>MISSING_SHIP_MODE</v>
      </c>
      <c r="AF135">
        <v>8</v>
      </c>
      <c r="AG135">
        <v>3904.59</v>
      </c>
      <c r="AH135">
        <v>0</v>
      </c>
      <c r="AI135">
        <f t="shared" si="79"/>
        <v>0</v>
      </c>
      <c r="AJ135" t="str">
        <f t="shared" si="80"/>
        <v>OK</v>
      </c>
      <c r="AK135">
        <v>31236.720000000001</v>
      </c>
      <c r="AL135">
        <v>26377.7</v>
      </c>
      <c r="AM135">
        <v>4859.0200000000004</v>
      </c>
      <c r="AN135" t="s">
        <v>33</v>
      </c>
      <c r="AO135" t="str">
        <f t="shared" si="72"/>
        <v>PAID</v>
      </c>
      <c r="AP135" t="str">
        <f t="shared" si="81"/>
        <v>OK</v>
      </c>
      <c r="AQ135" t="s">
        <v>34</v>
      </c>
      <c r="AR135" t="str">
        <f t="shared" si="73"/>
        <v>COMPLETED</v>
      </c>
      <c r="AS135" t="str">
        <f t="shared" si="82"/>
        <v>OK</v>
      </c>
      <c r="AT135">
        <f t="shared" si="83"/>
        <v>31236.720000000001</v>
      </c>
      <c r="AU135">
        <f t="shared" si="84"/>
        <v>4859.0200000000004</v>
      </c>
      <c r="AV135" s="6">
        <f t="shared" si="85"/>
        <v>3.0800609026812038E-2</v>
      </c>
      <c r="AW135" t="str">
        <f t="shared" si="86"/>
        <v>WARNING</v>
      </c>
      <c r="AX135" s="10" t="str">
        <f t="shared" si="87"/>
        <v>MATCH</v>
      </c>
      <c r="AY135" t="str">
        <f t="shared" si="88"/>
        <v>MATCH</v>
      </c>
    </row>
    <row r="136" spans="1:51">
      <c r="A136" t="s">
        <v>1238</v>
      </c>
      <c r="B136">
        <f t="shared" si="64"/>
        <v>1</v>
      </c>
      <c r="C136" t="s">
        <v>1239</v>
      </c>
      <c r="D136" s="3">
        <v>45331</v>
      </c>
      <c r="E136" t="str">
        <f t="shared" si="65"/>
        <v>2024/02/09</v>
      </c>
      <c r="F136" t="str">
        <f t="shared" si="74"/>
        <v>February</v>
      </c>
      <c r="G136">
        <f t="shared" si="75"/>
        <v>2024</v>
      </c>
      <c r="H136" t="s">
        <v>1240</v>
      </c>
      <c r="I136" s="4">
        <v>45538</v>
      </c>
      <c r="J136" s="8">
        <f t="shared" si="66"/>
        <v>207</v>
      </c>
      <c r="K136" s="8" t="str">
        <f t="shared" si="76"/>
        <v>OK</v>
      </c>
      <c r="L136" t="s">
        <v>1241</v>
      </c>
      <c r="M136" t="s">
        <v>365</v>
      </c>
      <c r="N136" t="str">
        <f t="shared" si="67"/>
        <v>Kabir Singh</v>
      </c>
      <c r="O136" t="s">
        <v>114</v>
      </c>
      <c r="P136" t="str">
        <f t="shared" si="59"/>
        <v>Home Office</v>
      </c>
      <c r="Q136" t="s">
        <v>26</v>
      </c>
      <c r="R136" t="str">
        <f t="shared" si="62"/>
        <v>North</v>
      </c>
      <c r="S136" t="str">
        <f t="shared" si="77"/>
        <v>OK</v>
      </c>
      <c r="T136" t="s">
        <v>505</v>
      </c>
      <c r="U136" t="str">
        <f t="shared" si="68"/>
        <v>Delhi</v>
      </c>
      <c r="V136" t="s">
        <v>506</v>
      </c>
      <c r="W136" t="str">
        <f t="shared" si="69"/>
        <v>New Delhi</v>
      </c>
      <c r="X136" t="str">
        <f t="shared" si="70"/>
        <v>Furniture</v>
      </c>
      <c r="Y136" t="s">
        <v>44</v>
      </c>
      <c r="Z136" t="s">
        <v>64</v>
      </c>
      <c r="AA136" t="str">
        <f t="shared" si="71"/>
        <v>Furnishings</v>
      </c>
      <c r="AB136" t="s">
        <v>1242</v>
      </c>
      <c r="AC136" t="s">
        <v>55</v>
      </c>
      <c r="AD136" t="str">
        <f t="shared" ref="AD136:AD167" si="89">PROPER(TRIM(SUBSTITUTE(AC136,CHAR(160)," ")))</f>
        <v>First Class</v>
      </c>
      <c r="AE136" t="str">
        <f t="shared" si="78"/>
        <v>OK</v>
      </c>
      <c r="AF136">
        <v>9</v>
      </c>
      <c r="AG136">
        <v>1353.61</v>
      </c>
      <c r="AH136">
        <v>0.1</v>
      </c>
      <c r="AI136">
        <f t="shared" si="79"/>
        <v>0.1</v>
      </c>
      <c r="AJ136" t="str">
        <f t="shared" si="80"/>
        <v>OK</v>
      </c>
      <c r="AK136">
        <v>10964.24</v>
      </c>
      <c r="AL136">
        <v>9262.4699999999993</v>
      </c>
      <c r="AM136">
        <v>1701.77</v>
      </c>
      <c r="AN136" t="s">
        <v>33</v>
      </c>
      <c r="AO136" t="str">
        <f t="shared" si="72"/>
        <v>PAID</v>
      </c>
      <c r="AP136" t="str">
        <f t="shared" si="81"/>
        <v>OK</v>
      </c>
      <c r="AQ136" t="s">
        <v>34</v>
      </c>
      <c r="AR136" t="str">
        <f t="shared" si="73"/>
        <v>COMPLETED</v>
      </c>
      <c r="AS136" t="str">
        <f t="shared" si="82"/>
        <v>OK</v>
      </c>
      <c r="AT136">
        <f t="shared" si="83"/>
        <v>10964.241</v>
      </c>
      <c r="AU136">
        <f t="shared" si="84"/>
        <v>1701.7710000000006</v>
      </c>
      <c r="AV136" s="6">
        <f t="shared" si="85"/>
        <v>0.1872505356275915</v>
      </c>
      <c r="AW136" t="str">
        <f t="shared" si="86"/>
        <v>CLEAN</v>
      </c>
      <c r="AX136" s="10" t="str">
        <f t="shared" si="87"/>
        <v>MATCH</v>
      </c>
      <c r="AY136" t="str">
        <f t="shared" si="88"/>
        <v>MATCH</v>
      </c>
    </row>
    <row r="137" spans="1:51">
      <c r="A137" t="s">
        <v>1243</v>
      </c>
      <c r="B137">
        <f t="shared" si="64"/>
        <v>1</v>
      </c>
      <c r="C137" t="s">
        <v>1244</v>
      </c>
      <c r="D137" s="3">
        <v>45333</v>
      </c>
      <c r="E137" t="str">
        <f t="shared" si="65"/>
        <v>2024/02/11</v>
      </c>
      <c r="F137" t="str">
        <f t="shared" si="74"/>
        <v>February</v>
      </c>
      <c r="G137">
        <f t="shared" si="75"/>
        <v>2024</v>
      </c>
      <c r="H137" t="s">
        <v>1245</v>
      </c>
      <c r="I137" s="4">
        <v>45599</v>
      </c>
      <c r="J137" s="8">
        <f t="shared" si="66"/>
        <v>266</v>
      </c>
      <c r="K137" s="8" t="str">
        <f t="shared" si="76"/>
        <v>OK</v>
      </c>
      <c r="L137" t="s">
        <v>1246</v>
      </c>
      <c r="M137" t="s">
        <v>147</v>
      </c>
      <c r="N137" t="str">
        <f t="shared" si="67"/>
        <v>Rahul Verma</v>
      </c>
      <c r="O137" t="s">
        <v>40</v>
      </c>
      <c r="P137" t="str">
        <f t="shared" ref="P137:P200" si="90">PROPER(TRIM(SUBSTITUTE(O137,CHAR(160)," ")))</f>
        <v>Small Business</v>
      </c>
      <c r="Q137" t="s">
        <v>72</v>
      </c>
      <c r="R137" t="str">
        <f t="shared" si="62"/>
        <v>West</v>
      </c>
      <c r="S137" t="str">
        <f t="shared" si="77"/>
        <v>OK</v>
      </c>
      <c r="T137" t="s">
        <v>27</v>
      </c>
      <c r="U137" t="str">
        <f t="shared" si="68"/>
        <v>Rajasthan</v>
      </c>
      <c r="V137" t="s">
        <v>134</v>
      </c>
      <c r="W137" t="str">
        <f t="shared" si="69"/>
        <v>Udaipur</v>
      </c>
      <c r="X137" t="str">
        <f t="shared" si="70"/>
        <v>Office Supplies</v>
      </c>
      <c r="Y137" t="s">
        <v>29</v>
      </c>
      <c r="Z137" t="s">
        <v>155</v>
      </c>
      <c r="AA137" t="str">
        <f t="shared" si="71"/>
        <v>Storage</v>
      </c>
      <c r="AB137" t="s">
        <v>1247</v>
      </c>
      <c r="AC137" t="s">
        <v>66</v>
      </c>
      <c r="AD137" t="str">
        <f t="shared" si="89"/>
        <v>Standard Class</v>
      </c>
      <c r="AE137" t="str">
        <f t="shared" si="78"/>
        <v>OK</v>
      </c>
      <c r="AF137">
        <v>6</v>
      </c>
      <c r="AG137">
        <v>2671.29</v>
      </c>
      <c r="AH137">
        <v>0.05</v>
      </c>
      <c r="AI137">
        <f t="shared" si="79"/>
        <v>0.05</v>
      </c>
      <c r="AJ137" t="str">
        <f t="shared" si="80"/>
        <v>OK</v>
      </c>
      <c r="AK137">
        <v>15226.35</v>
      </c>
      <c r="AL137">
        <v>11145.28</v>
      </c>
      <c r="AM137">
        <v>4081.07</v>
      </c>
      <c r="AN137" t="s">
        <v>33</v>
      </c>
      <c r="AO137" t="str">
        <f t="shared" si="72"/>
        <v>PAID</v>
      </c>
      <c r="AP137" t="str">
        <f t="shared" si="81"/>
        <v>OK</v>
      </c>
      <c r="AQ137" t="s">
        <v>34</v>
      </c>
      <c r="AR137" t="str">
        <f t="shared" si="73"/>
        <v>COMPLETED</v>
      </c>
      <c r="AS137" t="str">
        <f t="shared" si="82"/>
        <v>OK</v>
      </c>
      <c r="AT137">
        <f t="shared" si="83"/>
        <v>15226.352999999999</v>
      </c>
      <c r="AU137">
        <f t="shared" si="84"/>
        <v>4081.0729999999985</v>
      </c>
      <c r="AV137" s="6">
        <f t="shared" si="85"/>
        <v>8.6621070718641571E-2</v>
      </c>
      <c r="AW137" t="str">
        <f t="shared" si="86"/>
        <v>CLEAN</v>
      </c>
      <c r="AX137" s="10" t="str">
        <f t="shared" si="87"/>
        <v>MATCH</v>
      </c>
      <c r="AY137" t="str">
        <f t="shared" si="88"/>
        <v>MATCH</v>
      </c>
    </row>
    <row r="138" spans="1:51">
      <c r="A138" t="s">
        <v>1248</v>
      </c>
      <c r="B138">
        <f t="shared" si="64"/>
        <v>1</v>
      </c>
      <c r="C138" t="s">
        <v>1235</v>
      </c>
      <c r="D138" s="3">
        <v>45579</v>
      </c>
      <c r="E138" t="str">
        <f t="shared" si="65"/>
        <v>2024/10/14</v>
      </c>
      <c r="F138" t="str">
        <f t="shared" si="74"/>
        <v>October</v>
      </c>
      <c r="G138">
        <f t="shared" si="75"/>
        <v>2024</v>
      </c>
      <c r="H138" t="s">
        <v>1249</v>
      </c>
      <c r="I138" s="4">
        <v>45586</v>
      </c>
      <c r="J138" s="8">
        <f t="shared" si="66"/>
        <v>7</v>
      </c>
      <c r="K138" s="8" t="str">
        <f t="shared" si="76"/>
        <v>OK</v>
      </c>
      <c r="L138" t="s">
        <v>1250</v>
      </c>
      <c r="M138" t="s">
        <v>141</v>
      </c>
      <c r="N138" t="str">
        <f t="shared" si="67"/>
        <v>Priya Menon</v>
      </c>
      <c r="O138" t="s">
        <v>107</v>
      </c>
      <c r="P138" t="str">
        <f t="shared" si="90"/>
        <v>Corporate</v>
      </c>
      <c r="Q138" t="s">
        <v>26</v>
      </c>
      <c r="R138" t="str">
        <f t="shared" si="62"/>
        <v>North</v>
      </c>
      <c r="S138" t="str">
        <f t="shared" si="77"/>
        <v>OK</v>
      </c>
      <c r="T138" t="s">
        <v>173</v>
      </c>
      <c r="U138" t="str">
        <f t="shared" si="68"/>
        <v>Uttar Pradesh</v>
      </c>
      <c r="V138" t="s">
        <v>174</v>
      </c>
      <c r="W138" t="str">
        <f t="shared" si="69"/>
        <v>Noida</v>
      </c>
      <c r="X138" t="str">
        <f t="shared" si="70"/>
        <v>Furniture</v>
      </c>
      <c r="Y138" t="s">
        <v>44</v>
      </c>
      <c r="Z138" t="s">
        <v>203</v>
      </c>
      <c r="AA138" t="str">
        <f t="shared" si="71"/>
        <v>Bookcases</v>
      </c>
      <c r="AB138" t="s">
        <v>1251</v>
      </c>
      <c r="AC138" t="s">
        <v>55</v>
      </c>
      <c r="AD138" t="str">
        <f t="shared" si="89"/>
        <v>First Class</v>
      </c>
      <c r="AE138" t="str">
        <f t="shared" si="78"/>
        <v>OK</v>
      </c>
      <c r="AF138">
        <v>6</v>
      </c>
      <c r="AG138">
        <v>4062.78</v>
      </c>
      <c r="AH138">
        <v>0</v>
      </c>
      <c r="AI138">
        <f t="shared" si="79"/>
        <v>0</v>
      </c>
      <c r="AJ138" t="str">
        <f t="shared" si="80"/>
        <v>OK</v>
      </c>
      <c r="AK138">
        <v>24376.68</v>
      </c>
      <c r="AL138">
        <v>18533.39</v>
      </c>
      <c r="AM138">
        <v>5843.29</v>
      </c>
      <c r="AN138" t="s">
        <v>33</v>
      </c>
      <c r="AO138" t="str">
        <f t="shared" si="72"/>
        <v>PAID</v>
      </c>
      <c r="AP138" t="str">
        <f t="shared" si="81"/>
        <v>OK</v>
      </c>
      <c r="AQ138" t="s">
        <v>34</v>
      </c>
      <c r="AR138" t="str">
        <f t="shared" si="73"/>
        <v>COMPLETED</v>
      </c>
      <c r="AS138" t="str">
        <f t="shared" si="82"/>
        <v>OK</v>
      </c>
      <c r="AT138">
        <f t="shared" si="83"/>
        <v>24376.68</v>
      </c>
      <c r="AU138">
        <f t="shared" si="84"/>
        <v>5843.2900000000009</v>
      </c>
      <c r="AV138" s="6">
        <f t="shared" si="85"/>
        <v>5.410593239112136E-2</v>
      </c>
      <c r="AW138" t="str">
        <f t="shared" si="86"/>
        <v>CLEAN</v>
      </c>
      <c r="AX138" s="10" t="str">
        <f t="shared" si="87"/>
        <v>MATCH</v>
      </c>
      <c r="AY138" t="str">
        <f t="shared" si="88"/>
        <v>MATCH</v>
      </c>
    </row>
    <row r="139" spans="1:51">
      <c r="A139" t="s">
        <v>1252</v>
      </c>
      <c r="B139">
        <f t="shared" si="64"/>
        <v>1</v>
      </c>
      <c r="C139" t="s">
        <v>1253</v>
      </c>
      <c r="D139" s="3">
        <v>45531</v>
      </c>
      <c r="E139" t="str">
        <f t="shared" si="65"/>
        <v>2024/08/27</v>
      </c>
      <c r="F139" t="str">
        <f t="shared" si="74"/>
        <v>August</v>
      </c>
      <c r="G139">
        <f t="shared" si="75"/>
        <v>2024</v>
      </c>
      <c r="H139" t="s">
        <v>1253</v>
      </c>
      <c r="I139" s="4">
        <v>45531</v>
      </c>
      <c r="J139" s="8">
        <f t="shared" si="66"/>
        <v>0</v>
      </c>
      <c r="K139" s="8" t="str">
        <f t="shared" si="76"/>
        <v>OK</v>
      </c>
      <c r="L139" t="s">
        <v>1254</v>
      </c>
      <c r="M139" t="s">
        <v>39</v>
      </c>
      <c r="N139" t="str">
        <f t="shared" si="67"/>
        <v>Mira Das</v>
      </c>
      <c r="O139" t="s">
        <v>25</v>
      </c>
      <c r="P139" t="str">
        <f t="shared" si="90"/>
        <v>Consumer</v>
      </c>
      <c r="Q139" t="s">
        <v>26</v>
      </c>
      <c r="R139" t="str">
        <f t="shared" si="62"/>
        <v>North</v>
      </c>
      <c r="S139" t="str">
        <f t="shared" si="77"/>
        <v>OK</v>
      </c>
      <c r="T139" t="s">
        <v>322</v>
      </c>
      <c r="U139" t="str">
        <f t="shared" si="68"/>
        <v>Haryana</v>
      </c>
      <c r="V139" t="s">
        <v>323</v>
      </c>
      <c r="W139" t="str">
        <f t="shared" si="69"/>
        <v>Gurugram</v>
      </c>
      <c r="X139" t="str">
        <f t="shared" si="70"/>
        <v>Technology</v>
      </c>
      <c r="Y139" t="s">
        <v>85</v>
      </c>
      <c r="Z139" t="s">
        <v>93</v>
      </c>
      <c r="AA139" t="str">
        <f t="shared" si="71"/>
        <v>Copiers</v>
      </c>
      <c r="AB139" t="s">
        <v>1255</v>
      </c>
      <c r="AC139" t="s">
        <v>66</v>
      </c>
      <c r="AD139" t="str">
        <f t="shared" si="89"/>
        <v>Standard Class</v>
      </c>
      <c r="AE139" t="str">
        <f t="shared" si="78"/>
        <v>OK</v>
      </c>
      <c r="AF139">
        <v>9</v>
      </c>
      <c r="AG139">
        <v>2330.3000000000002</v>
      </c>
      <c r="AH139">
        <v>0</v>
      </c>
      <c r="AI139">
        <f t="shared" si="79"/>
        <v>0</v>
      </c>
      <c r="AJ139" t="str">
        <f t="shared" si="80"/>
        <v>OK</v>
      </c>
      <c r="AK139">
        <v>20972.7</v>
      </c>
      <c r="AL139">
        <v>13504.88</v>
      </c>
      <c r="AM139">
        <v>7467.82</v>
      </c>
      <c r="AN139" t="s">
        <v>33</v>
      </c>
      <c r="AO139" t="str">
        <f t="shared" si="72"/>
        <v>PAID</v>
      </c>
      <c r="AP139" t="str">
        <f t="shared" si="81"/>
        <v>OK</v>
      </c>
      <c r="AQ139" t="s">
        <v>34</v>
      </c>
      <c r="AR139" t="str">
        <f t="shared" si="73"/>
        <v>COMPLETED</v>
      </c>
      <c r="AS139" t="str">
        <f t="shared" si="82"/>
        <v>OK</v>
      </c>
      <c r="AT139">
        <f t="shared" si="83"/>
        <v>20972.7</v>
      </c>
      <c r="AU139">
        <f t="shared" si="84"/>
        <v>7467.8200000000015</v>
      </c>
      <c r="AV139" s="6">
        <f t="shared" si="85"/>
        <v>0.29407424890452832</v>
      </c>
      <c r="AW139" t="str">
        <f t="shared" si="86"/>
        <v>CLEAN</v>
      </c>
      <c r="AX139" s="10" t="str">
        <f t="shared" si="87"/>
        <v>MATCH</v>
      </c>
      <c r="AY139" t="str">
        <f t="shared" si="88"/>
        <v>MATCH</v>
      </c>
    </row>
    <row r="140" spans="1:51">
      <c r="A140" t="s">
        <v>1256</v>
      </c>
      <c r="B140">
        <f t="shared" si="64"/>
        <v>1</v>
      </c>
      <c r="C140" t="s">
        <v>1257</v>
      </c>
      <c r="D140" s="3">
        <v>45627</v>
      </c>
      <c r="E140" t="str">
        <f t="shared" si="65"/>
        <v>2024/12/01</v>
      </c>
      <c r="F140" t="str">
        <f t="shared" si="74"/>
        <v>December</v>
      </c>
      <c r="G140">
        <f t="shared" si="75"/>
        <v>2024</v>
      </c>
      <c r="H140" t="s">
        <v>1258</v>
      </c>
      <c r="I140" s="4">
        <v>45308</v>
      </c>
      <c r="J140" s="8">
        <f t="shared" si="66"/>
        <v>-319</v>
      </c>
      <c r="K140" s="8" t="str">
        <f t="shared" si="76"/>
        <v>INVAILD_SHIPPING</v>
      </c>
      <c r="L140" t="s">
        <v>1259</v>
      </c>
      <c r="M140" t="s">
        <v>60</v>
      </c>
      <c r="N140" t="str">
        <f t="shared" si="67"/>
        <v>Arjun Bose</v>
      </c>
      <c r="O140" t="s">
        <v>25</v>
      </c>
      <c r="P140" t="str">
        <f t="shared" si="90"/>
        <v>Consumer</v>
      </c>
      <c r="Q140" t="s">
        <v>61</v>
      </c>
      <c r="R140" t="str">
        <f t="shared" si="62"/>
        <v>South</v>
      </c>
      <c r="S140" t="str">
        <f t="shared" si="77"/>
        <v>OK</v>
      </c>
      <c r="T140" t="s">
        <v>99</v>
      </c>
      <c r="U140" t="str">
        <f t="shared" si="68"/>
        <v>Andhra Pradesh</v>
      </c>
      <c r="V140" t="s">
        <v>100</v>
      </c>
      <c r="W140" t="str">
        <f t="shared" si="69"/>
        <v>Vijayawada</v>
      </c>
      <c r="X140" t="str">
        <f t="shared" si="70"/>
        <v>Office Supplies</v>
      </c>
      <c r="Y140" t="s">
        <v>29</v>
      </c>
      <c r="Z140" t="s">
        <v>155</v>
      </c>
      <c r="AA140" t="str">
        <f t="shared" si="71"/>
        <v>Storage</v>
      </c>
      <c r="AB140" t="s">
        <v>1260</v>
      </c>
      <c r="AC140" t="s">
        <v>55</v>
      </c>
      <c r="AD140" t="str">
        <f t="shared" si="89"/>
        <v>First Class</v>
      </c>
      <c r="AE140" t="str">
        <f t="shared" si="78"/>
        <v>OK</v>
      </c>
      <c r="AF140">
        <v>7</v>
      </c>
      <c r="AG140">
        <v>4005.05</v>
      </c>
      <c r="AH140">
        <v>0.55000000000000004</v>
      </c>
      <c r="AI140">
        <f t="shared" si="79"/>
        <v>0.55000000000000004</v>
      </c>
      <c r="AJ140" t="str">
        <f t="shared" si="80"/>
        <v>OK</v>
      </c>
      <c r="AK140">
        <v>26633.58</v>
      </c>
      <c r="AL140">
        <v>18838.75</v>
      </c>
      <c r="AM140">
        <v>7794.83</v>
      </c>
      <c r="AN140" t="s">
        <v>33</v>
      </c>
      <c r="AO140" t="str">
        <f t="shared" si="72"/>
        <v>PAID</v>
      </c>
      <c r="AP140" t="str">
        <f t="shared" si="81"/>
        <v>OK</v>
      </c>
      <c r="AQ140" t="s">
        <v>34</v>
      </c>
      <c r="AR140" t="str">
        <f t="shared" si="73"/>
        <v>COMPLETED</v>
      </c>
      <c r="AS140" t="str">
        <f t="shared" si="82"/>
        <v>OK</v>
      </c>
      <c r="AT140">
        <f t="shared" si="83"/>
        <v>12615.907499999999</v>
      </c>
      <c r="AU140">
        <f t="shared" si="84"/>
        <v>-6222.8425000000007</v>
      </c>
      <c r="AV140" s="6">
        <f t="shared" si="85"/>
        <v>2.5332303680888596E-2</v>
      </c>
      <c r="AW140" t="str">
        <f t="shared" si="86"/>
        <v>CLEAN</v>
      </c>
      <c r="AX140" s="10" t="str">
        <f t="shared" si="87"/>
        <v>MISMATCH</v>
      </c>
      <c r="AY140" t="str">
        <f t="shared" si="88"/>
        <v>MISMATCH</v>
      </c>
    </row>
    <row r="141" spans="1:51">
      <c r="A141" t="s">
        <v>1261</v>
      </c>
      <c r="B141">
        <f t="shared" si="64"/>
        <v>1</v>
      </c>
      <c r="C141" t="s">
        <v>1262</v>
      </c>
      <c r="D141" s="3">
        <v>45556</v>
      </c>
      <c r="E141" t="str">
        <f t="shared" si="65"/>
        <v>2024/09/21</v>
      </c>
      <c r="F141" t="str">
        <f t="shared" si="74"/>
        <v>September</v>
      </c>
      <c r="G141">
        <f t="shared" si="75"/>
        <v>2024</v>
      </c>
      <c r="H141" t="s">
        <v>1133</v>
      </c>
      <c r="I141" s="4">
        <v>45556</v>
      </c>
      <c r="J141" s="8">
        <f t="shared" si="66"/>
        <v>0</v>
      </c>
      <c r="K141" s="8" t="str">
        <f t="shared" si="76"/>
        <v>OK</v>
      </c>
      <c r="L141" t="s">
        <v>1263</v>
      </c>
      <c r="M141" t="s">
        <v>365</v>
      </c>
      <c r="N141" t="str">
        <f t="shared" si="67"/>
        <v>Kabir Singh</v>
      </c>
      <c r="O141" t="s">
        <v>107</v>
      </c>
      <c r="P141" t="str">
        <f t="shared" si="90"/>
        <v>Corporate</v>
      </c>
      <c r="Q141" t="s">
        <v>61</v>
      </c>
      <c r="R141" t="str">
        <f t="shared" si="62"/>
        <v>South</v>
      </c>
      <c r="S141" t="str">
        <f t="shared" si="77"/>
        <v>OK</v>
      </c>
      <c r="T141" t="s">
        <v>228</v>
      </c>
      <c r="U141" t="str">
        <f t="shared" si="68"/>
        <v>Karnataka</v>
      </c>
      <c r="V141" t="s">
        <v>229</v>
      </c>
      <c r="W141" t="str">
        <f t="shared" si="69"/>
        <v>Bengaluru</v>
      </c>
      <c r="X141" t="str">
        <f t="shared" si="70"/>
        <v>Technology</v>
      </c>
      <c r="Y141" t="s">
        <v>85</v>
      </c>
      <c r="Z141" t="s">
        <v>381</v>
      </c>
      <c r="AA141" t="str">
        <f t="shared" si="71"/>
        <v>Machines</v>
      </c>
      <c r="AB141" t="s">
        <v>1264</v>
      </c>
      <c r="AC141" t="s">
        <v>55</v>
      </c>
      <c r="AD141" t="str">
        <f t="shared" si="89"/>
        <v>First Class</v>
      </c>
      <c r="AE141" t="str">
        <f t="shared" si="78"/>
        <v>OK</v>
      </c>
      <c r="AF141">
        <v>2</v>
      </c>
      <c r="AG141">
        <v>1960.06</v>
      </c>
      <c r="AH141">
        <v>0.2</v>
      </c>
      <c r="AI141">
        <f t="shared" si="79"/>
        <v>0.2</v>
      </c>
      <c r="AJ141" t="str">
        <f t="shared" si="80"/>
        <v>OK</v>
      </c>
      <c r="AK141">
        <v>3136.1</v>
      </c>
      <c r="AL141">
        <v>2279.4899999999998</v>
      </c>
      <c r="AM141">
        <v>856.61</v>
      </c>
      <c r="AN141" t="s">
        <v>33</v>
      </c>
      <c r="AO141" t="str">
        <f t="shared" si="72"/>
        <v>PAID</v>
      </c>
      <c r="AP141" t="str">
        <f t="shared" si="81"/>
        <v>OK</v>
      </c>
      <c r="AQ141" t="s">
        <v>34</v>
      </c>
      <c r="AR141" t="str">
        <f t="shared" si="73"/>
        <v>COMPLETED</v>
      </c>
      <c r="AS141" t="str">
        <f t="shared" si="82"/>
        <v>OK</v>
      </c>
      <c r="AT141">
        <f t="shared" si="83"/>
        <v>3136.096</v>
      </c>
      <c r="AU141">
        <f t="shared" si="84"/>
        <v>856.60600000000022</v>
      </c>
      <c r="AW141" t="str">
        <f t="shared" si="86"/>
        <v>CLEAN</v>
      </c>
      <c r="AX141" s="10" t="str">
        <f t="shared" si="87"/>
        <v>MATCH</v>
      </c>
      <c r="AY141" t="str">
        <f t="shared" si="88"/>
        <v>MATCH</v>
      </c>
    </row>
    <row r="142" spans="1:51">
      <c r="A142" t="s">
        <v>1265</v>
      </c>
      <c r="B142">
        <f t="shared" si="64"/>
        <v>1</v>
      </c>
      <c r="C142" t="s">
        <v>1266</v>
      </c>
      <c r="D142" s="2">
        <v>45643</v>
      </c>
      <c r="E142" t="str">
        <f t="shared" si="65"/>
        <v>2024/12/17</v>
      </c>
      <c r="F142" t="str">
        <f t="shared" si="74"/>
        <v>December</v>
      </c>
      <c r="G142">
        <f t="shared" si="75"/>
        <v>2024</v>
      </c>
      <c r="H142" t="s">
        <v>823</v>
      </c>
      <c r="I142" s="4">
        <v>45649</v>
      </c>
      <c r="J142" s="8">
        <f t="shared" si="66"/>
        <v>6</v>
      </c>
      <c r="K142" s="8" t="str">
        <f t="shared" si="76"/>
        <v>OK</v>
      </c>
      <c r="L142" t="s">
        <v>1267</v>
      </c>
      <c r="M142" t="s">
        <v>161</v>
      </c>
      <c r="N142" t="str">
        <f t="shared" si="67"/>
        <v>Aarav Sharma</v>
      </c>
      <c r="O142" t="s">
        <v>107</v>
      </c>
      <c r="P142" t="str">
        <f t="shared" si="90"/>
        <v>Corporate</v>
      </c>
      <c r="Q142" t="s">
        <v>61</v>
      </c>
      <c r="R142" t="str">
        <f t="shared" si="62"/>
        <v>South</v>
      </c>
      <c r="S142" t="str">
        <f t="shared" si="77"/>
        <v>OK</v>
      </c>
      <c r="T142" t="s">
        <v>62</v>
      </c>
      <c r="U142" t="str">
        <f t="shared" si="68"/>
        <v>Telangana</v>
      </c>
      <c r="V142" t="s">
        <v>63</v>
      </c>
      <c r="W142" t="str">
        <f t="shared" si="69"/>
        <v>Hyderabad</v>
      </c>
      <c r="X142" t="str">
        <f t="shared" si="70"/>
        <v>Office Supplies</v>
      </c>
      <c r="Y142" t="s">
        <v>29</v>
      </c>
      <c r="Z142" t="s">
        <v>197</v>
      </c>
      <c r="AA142" t="str">
        <f t="shared" si="71"/>
        <v>Binders</v>
      </c>
      <c r="AB142" t="s">
        <v>1268</v>
      </c>
      <c r="AC142" t="s">
        <v>55</v>
      </c>
      <c r="AD142" t="str">
        <f t="shared" si="89"/>
        <v>First Class</v>
      </c>
      <c r="AE142" t="str">
        <f t="shared" si="78"/>
        <v>OK</v>
      </c>
      <c r="AF142">
        <v>9</v>
      </c>
      <c r="AG142">
        <v>2315.1</v>
      </c>
      <c r="AH142">
        <v>0</v>
      </c>
      <c r="AI142">
        <f t="shared" si="79"/>
        <v>0</v>
      </c>
      <c r="AJ142" t="str">
        <f t="shared" si="80"/>
        <v>OK</v>
      </c>
      <c r="AK142">
        <v>20835.900000000001</v>
      </c>
      <c r="AL142">
        <v>13928.19</v>
      </c>
      <c r="AM142">
        <v>6907.71</v>
      </c>
      <c r="AN142" t="s">
        <v>33</v>
      </c>
      <c r="AO142" t="str">
        <f t="shared" si="72"/>
        <v>PAID</v>
      </c>
      <c r="AP142" t="str">
        <f t="shared" si="81"/>
        <v>OK</v>
      </c>
      <c r="AQ142" t="s">
        <v>34</v>
      </c>
      <c r="AR142" t="str">
        <f t="shared" si="73"/>
        <v>COMPLETED</v>
      </c>
      <c r="AS142" t="str">
        <f t="shared" si="82"/>
        <v>OK</v>
      </c>
      <c r="AT142">
        <f t="shared" si="83"/>
        <v>20835.899999999998</v>
      </c>
      <c r="AU142">
        <f t="shared" si="84"/>
        <v>6907.7099999999973</v>
      </c>
      <c r="AW142" t="str">
        <f t="shared" si="86"/>
        <v>CLEAN</v>
      </c>
      <c r="AX142" s="10" t="str">
        <f t="shared" si="87"/>
        <v>MATCH</v>
      </c>
      <c r="AY142" t="str">
        <f t="shared" si="88"/>
        <v>MATCH</v>
      </c>
    </row>
    <row r="143" spans="1:51">
      <c r="A143" t="s">
        <v>1283</v>
      </c>
      <c r="B143">
        <f t="shared" si="64"/>
        <v>1</v>
      </c>
      <c r="C143" t="s">
        <v>635</v>
      </c>
      <c r="D143" s="3">
        <v>45527</v>
      </c>
      <c r="E143" t="str">
        <f t="shared" si="65"/>
        <v>2024/08/23</v>
      </c>
      <c r="F143" t="str">
        <f t="shared" si="74"/>
        <v>August</v>
      </c>
      <c r="G143">
        <f t="shared" si="75"/>
        <v>2024</v>
      </c>
      <c r="H143" t="s">
        <v>1284</v>
      </c>
      <c r="I143" s="4">
        <v>45528</v>
      </c>
      <c r="J143" s="8">
        <f t="shared" si="66"/>
        <v>1</v>
      </c>
      <c r="K143" s="8" t="str">
        <f t="shared" si="76"/>
        <v>OK</v>
      </c>
      <c r="L143" t="s">
        <v>1285</v>
      </c>
      <c r="M143" t="s">
        <v>92</v>
      </c>
      <c r="N143" t="str">
        <f t="shared" si="67"/>
        <v>Neha Gupta</v>
      </c>
      <c r="O143" t="s">
        <v>25</v>
      </c>
      <c r="P143" t="str">
        <f t="shared" si="90"/>
        <v>Consumer</v>
      </c>
      <c r="Q143" t="s">
        <v>61</v>
      </c>
      <c r="R143" t="str">
        <f t="shared" si="62"/>
        <v>South</v>
      </c>
      <c r="S143" t="str">
        <f t="shared" si="77"/>
        <v>OK</v>
      </c>
      <c r="T143" t="s">
        <v>62</v>
      </c>
      <c r="U143" t="str">
        <f t="shared" si="68"/>
        <v>Telangana</v>
      </c>
      <c r="V143" t="s">
        <v>63</v>
      </c>
      <c r="W143" t="str">
        <f t="shared" si="69"/>
        <v>Hyderabad</v>
      </c>
      <c r="X143" t="str">
        <f t="shared" si="70"/>
        <v>Furniture</v>
      </c>
      <c r="Y143" t="s">
        <v>44</v>
      </c>
      <c r="Z143" t="s">
        <v>203</v>
      </c>
      <c r="AA143" t="str">
        <f t="shared" si="71"/>
        <v>Bookcases</v>
      </c>
      <c r="AB143" t="s">
        <v>1286</v>
      </c>
      <c r="AC143" t="s">
        <v>47</v>
      </c>
      <c r="AD143" t="str">
        <f t="shared" si="89"/>
        <v>Same Day</v>
      </c>
      <c r="AE143" t="str">
        <f t="shared" si="78"/>
        <v>OK</v>
      </c>
      <c r="AF143">
        <v>6</v>
      </c>
      <c r="AG143">
        <v>1021.89</v>
      </c>
      <c r="AH143">
        <v>0</v>
      </c>
      <c r="AI143">
        <f t="shared" si="79"/>
        <v>0</v>
      </c>
      <c r="AJ143" t="str">
        <f t="shared" si="80"/>
        <v>OK</v>
      </c>
      <c r="AK143">
        <v>6131.34</v>
      </c>
      <c r="AL143">
        <v>4060.88</v>
      </c>
      <c r="AM143">
        <v>2070.46</v>
      </c>
      <c r="AN143" t="s">
        <v>33</v>
      </c>
      <c r="AO143" t="str">
        <f t="shared" si="72"/>
        <v>PAID</v>
      </c>
      <c r="AP143" t="str">
        <f t="shared" si="81"/>
        <v>OK</v>
      </c>
      <c r="AQ143" t="s">
        <v>34</v>
      </c>
      <c r="AR143" t="str">
        <f t="shared" si="73"/>
        <v>COMPLETED</v>
      </c>
      <c r="AS143" t="str">
        <f t="shared" si="82"/>
        <v>OK</v>
      </c>
      <c r="AT143">
        <f t="shared" si="83"/>
        <v>6131.34</v>
      </c>
      <c r="AU143">
        <f t="shared" si="84"/>
        <v>2070.46</v>
      </c>
      <c r="AV143" s="6">
        <f t="shared" si="85"/>
        <v>0.22621384558677216</v>
      </c>
      <c r="AW143" t="str">
        <f t="shared" si="86"/>
        <v>CLEAN</v>
      </c>
      <c r="AX143" s="10" t="str">
        <f t="shared" si="87"/>
        <v>MATCH</v>
      </c>
      <c r="AY143" t="str">
        <f t="shared" si="88"/>
        <v>MATCH</v>
      </c>
    </row>
    <row r="144" spans="1:51">
      <c r="A144" t="s">
        <v>1287</v>
      </c>
      <c r="B144">
        <f t="shared" si="64"/>
        <v>1</v>
      </c>
      <c r="C144" t="s">
        <v>643</v>
      </c>
      <c r="D144" s="3">
        <v>45583</v>
      </c>
      <c r="E144" t="str">
        <f t="shared" si="65"/>
        <v>2024/10/18</v>
      </c>
      <c r="F144" t="str">
        <f t="shared" si="74"/>
        <v>October</v>
      </c>
      <c r="G144">
        <f t="shared" si="75"/>
        <v>2024</v>
      </c>
      <c r="H144" t="s">
        <v>871</v>
      </c>
      <c r="I144" s="4">
        <v>45589</v>
      </c>
      <c r="J144" s="8">
        <f t="shared" si="66"/>
        <v>6</v>
      </c>
      <c r="K144" s="8" t="str">
        <f t="shared" si="76"/>
        <v>OK</v>
      </c>
      <c r="L144" t="s">
        <v>1288</v>
      </c>
      <c r="M144" t="s">
        <v>92</v>
      </c>
      <c r="N144" t="str">
        <f t="shared" si="67"/>
        <v>Neha Gupta</v>
      </c>
      <c r="O144" t="s">
        <v>114</v>
      </c>
      <c r="P144" t="str">
        <f t="shared" si="90"/>
        <v>Home Office</v>
      </c>
      <c r="Q144" t="s">
        <v>61</v>
      </c>
      <c r="R144" t="str">
        <f t="shared" si="62"/>
        <v>South</v>
      </c>
      <c r="S144" t="str">
        <f t="shared" si="77"/>
        <v>OK</v>
      </c>
      <c r="T144" t="s">
        <v>241</v>
      </c>
      <c r="U144" t="str">
        <f t="shared" si="68"/>
        <v>Kerala</v>
      </c>
      <c r="V144" t="s">
        <v>242</v>
      </c>
      <c r="W144" t="str">
        <f t="shared" si="69"/>
        <v>Kochi</v>
      </c>
      <c r="X144" t="str">
        <f t="shared" si="70"/>
        <v>Furniture</v>
      </c>
      <c r="Y144" t="s">
        <v>1289</v>
      </c>
      <c r="Z144" t="s">
        <v>75</v>
      </c>
      <c r="AA144" t="str">
        <f t="shared" si="71"/>
        <v>Chairs</v>
      </c>
      <c r="AB144" t="s">
        <v>1290</v>
      </c>
      <c r="AC144" t="s">
        <v>32</v>
      </c>
      <c r="AD144" t="str">
        <f t="shared" si="89"/>
        <v>Second Class</v>
      </c>
      <c r="AE144" t="str">
        <f t="shared" si="78"/>
        <v>OK</v>
      </c>
      <c r="AF144">
        <v>3</v>
      </c>
      <c r="AG144">
        <v>3275.93</v>
      </c>
      <c r="AH144">
        <v>0</v>
      </c>
      <c r="AI144">
        <f t="shared" si="79"/>
        <v>0</v>
      </c>
      <c r="AJ144" t="str">
        <f t="shared" si="80"/>
        <v>OK</v>
      </c>
      <c r="AK144">
        <v>9827.7900000000009</v>
      </c>
      <c r="AL144">
        <v>5478.28</v>
      </c>
      <c r="AM144">
        <v>4349.51</v>
      </c>
      <c r="AN144" t="s">
        <v>33</v>
      </c>
      <c r="AO144" t="str">
        <f t="shared" si="72"/>
        <v>PAID</v>
      </c>
      <c r="AP144" t="str">
        <f t="shared" si="81"/>
        <v>OK</v>
      </c>
      <c r="AQ144" t="s">
        <v>34</v>
      </c>
      <c r="AR144" t="str">
        <f t="shared" si="73"/>
        <v>COMPLETED</v>
      </c>
      <c r="AS144" t="str">
        <f t="shared" si="82"/>
        <v>OK</v>
      </c>
      <c r="AT144">
        <f t="shared" si="83"/>
        <v>9827.7899999999991</v>
      </c>
      <c r="AU144">
        <f t="shared" si="84"/>
        <v>4349.5099999999993</v>
      </c>
      <c r="AV144" s="6">
        <f t="shared" si="85"/>
        <v>0.38438448521997304</v>
      </c>
      <c r="AW144" t="str">
        <f t="shared" si="86"/>
        <v>CLEAN</v>
      </c>
      <c r="AX144" s="10" t="str">
        <f t="shared" si="87"/>
        <v>MATCH</v>
      </c>
      <c r="AY144" t="str">
        <f t="shared" si="88"/>
        <v>MATCH</v>
      </c>
    </row>
    <row r="145" spans="1:51">
      <c r="A145" t="s">
        <v>1291</v>
      </c>
      <c r="B145">
        <f t="shared" si="64"/>
        <v>1</v>
      </c>
      <c r="C145" t="s">
        <v>1292</v>
      </c>
      <c r="D145" s="2">
        <v>45387</v>
      </c>
      <c r="E145" t="str">
        <f t="shared" si="65"/>
        <v>2024/04/05</v>
      </c>
      <c r="F145" t="str">
        <f t="shared" si="74"/>
        <v>April</v>
      </c>
      <c r="G145">
        <f t="shared" si="75"/>
        <v>2024</v>
      </c>
      <c r="H145" t="s">
        <v>1293</v>
      </c>
      <c r="I145" s="4">
        <v>45421</v>
      </c>
      <c r="J145" s="8">
        <f t="shared" si="66"/>
        <v>34</v>
      </c>
      <c r="K145" s="8" t="str">
        <f t="shared" si="76"/>
        <v>OK</v>
      </c>
      <c r="L145" t="s">
        <v>1294</v>
      </c>
      <c r="M145" t="s">
        <v>71</v>
      </c>
      <c r="N145" t="str">
        <f t="shared" si="67"/>
        <v>Ananya Rao</v>
      </c>
      <c r="O145" t="s">
        <v>107</v>
      </c>
      <c r="P145" t="str">
        <f t="shared" si="90"/>
        <v>Corporate</v>
      </c>
      <c r="Q145" t="s">
        <v>26</v>
      </c>
      <c r="R145" t="str">
        <f t="shared" ref="R145:R161" si="91">PROPER(TRIM(SUBSTITUTE(Q145,CHAR(160)," ")))</f>
        <v>North</v>
      </c>
      <c r="S145" t="str">
        <f t="shared" si="77"/>
        <v>OK</v>
      </c>
      <c r="T145" t="s">
        <v>153</v>
      </c>
      <c r="U145" t="str">
        <f t="shared" si="68"/>
        <v>Punjab</v>
      </c>
      <c r="V145" t="s">
        <v>154</v>
      </c>
      <c r="W145" t="str">
        <f t="shared" si="69"/>
        <v>Ludhiana</v>
      </c>
      <c r="X145" t="str">
        <f t="shared" si="70"/>
        <v>Technology</v>
      </c>
      <c r="Y145" t="s">
        <v>85</v>
      </c>
      <c r="Z145" t="s">
        <v>381</v>
      </c>
      <c r="AA145" t="str">
        <f t="shared" si="71"/>
        <v>Machines</v>
      </c>
      <c r="AB145" t="s">
        <v>1295</v>
      </c>
      <c r="AC145" t="s">
        <v>47</v>
      </c>
      <c r="AD145" t="str">
        <f t="shared" si="89"/>
        <v>Same Day</v>
      </c>
      <c r="AE145" t="str">
        <f t="shared" si="78"/>
        <v>OK</v>
      </c>
      <c r="AF145">
        <v>3</v>
      </c>
      <c r="AG145">
        <v>231.95</v>
      </c>
      <c r="AH145">
        <v>0.25</v>
      </c>
      <c r="AI145">
        <f t="shared" si="79"/>
        <v>0.25</v>
      </c>
      <c r="AJ145" t="str">
        <f t="shared" si="80"/>
        <v>OK</v>
      </c>
      <c r="AK145">
        <v>521.89</v>
      </c>
      <c r="AL145">
        <v>444.52</v>
      </c>
      <c r="AM145">
        <v>77.37</v>
      </c>
      <c r="AN145" t="s">
        <v>123</v>
      </c>
      <c r="AO145" t="str">
        <f t="shared" si="72"/>
        <v>REFUNDED</v>
      </c>
      <c r="AP145" t="str">
        <f t="shared" si="81"/>
        <v>REFUNDED_PAYMENT</v>
      </c>
      <c r="AQ145" t="s">
        <v>77</v>
      </c>
      <c r="AR145" t="str">
        <f t="shared" si="73"/>
        <v>CANCELLED</v>
      </c>
      <c r="AS145" t="str">
        <f t="shared" si="82"/>
        <v>EXCLUDE_FROM_SALES</v>
      </c>
      <c r="AT145">
        <f t="shared" si="83"/>
        <v>521.88749999999993</v>
      </c>
      <c r="AU145">
        <f t="shared" si="84"/>
        <v>77.36749999999995</v>
      </c>
      <c r="AV145" s="6">
        <f t="shared" si="85"/>
        <v>7.23843740269694</v>
      </c>
      <c r="AW145" t="str">
        <f t="shared" si="86"/>
        <v>CLEAN</v>
      </c>
      <c r="AX145" s="10" t="str">
        <f t="shared" si="87"/>
        <v>MATCH</v>
      </c>
      <c r="AY145" t="str">
        <f t="shared" si="88"/>
        <v>MATCH</v>
      </c>
    </row>
    <row r="146" spans="1:51">
      <c r="A146" t="s">
        <v>1296</v>
      </c>
      <c r="B146">
        <f t="shared" si="64"/>
        <v>1</v>
      </c>
      <c r="C146" t="s">
        <v>1297</v>
      </c>
      <c r="D146" s="3">
        <v>45498</v>
      </c>
      <c r="E146" t="str">
        <f t="shared" si="65"/>
        <v>2024/07/25</v>
      </c>
      <c r="F146" t="str">
        <f t="shared" si="74"/>
        <v>July</v>
      </c>
      <c r="G146">
        <f t="shared" si="75"/>
        <v>2024</v>
      </c>
      <c r="H146" t="s">
        <v>1298</v>
      </c>
      <c r="I146" s="4">
        <v>45505</v>
      </c>
      <c r="J146" s="8">
        <f t="shared" si="66"/>
        <v>7</v>
      </c>
      <c r="K146" s="8" t="str">
        <f t="shared" si="76"/>
        <v>OK</v>
      </c>
      <c r="L146" t="s">
        <v>1299</v>
      </c>
      <c r="M146" t="s">
        <v>147</v>
      </c>
      <c r="N146" t="str">
        <f t="shared" si="67"/>
        <v>Rahul Verma</v>
      </c>
      <c r="O146" t="s">
        <v>107</v>
      </c>
      <c r="P146" t="str">
        <f t="shared" si="90"/>
        <v>Corporate</v>
      </c>
      <c r="Q146" t="s">
        <v>26</v>
      </c>
      <c r="R146" t="str">
        <f t="shared" si="91"/>
        <v>North</v>
      </c>
      <c r="S146" t="str">
        <f t="shared" si="77"/>
        <v>OK</v>
      </c>
      <c r="T146" t="s">
        <v>27</v>
      </c>
      <c r="U146" t="str">
        <f t="shared" si="68"/>
        <v>Rajasthan</v>
      </c>
      <c r="V146" t="s">
        <v>28</v>
      </c>
      <c r="W146" t="str">
        <f t="shared" si="69"/>
        <v>Jaipur</v>
      </c>
      <c r="X146" t="str">
        <f t="shared" si="70"/>
        <v>Technology</v>
      </c>
      <c r="Y146" t="s">
        <v>85</v>
      </c>
      <c r="Z146" t="s">
        <v>86</v>
      </c>
      <c r="AA146" t="str">
        <f t="shared" si="71"/>
        <v>Accessories</v>
      </c>
      <c r="AB146" t="s">
        <v>1300</v>
      </c>
      <c r="AC146" t="s">
        <v>32</v>
      </c>
      <c r="AD146" t="str">
        <f t="shared" si="89"/>
        <v>Second Class</v>
      </c>
      <c r="AE146" t="str">
        <f t="shared" si="78"/>
        <v>OK</v>
      </c>
      <c r="AF146">
        <v>8</v>
      </c>
      <c r="AG146">
        <v>2493.4</v>
      </c>
      <c r="AH146">
        <v>0.25</v>
      </c>
      <c r="AI146">
        <f t="shared" si="79"/>
        <v>0.25</v>
      </c>
      <c r="AJ146" t="str">
        <f t="shared" si="80"/>
        <v>OK</v>
      </c>
      <c r="AK146">
        <v>14960.4</v>
      </c>
      <c r="AL146">
        <v>12500.84</v>
      </c>
      <c r="AM146">
        <v>2459.56</v>
      </c>
      <c r="AN146" t="s">
        <v>33</v>
      </c>
      <c r="AO146" t="str">
        <f t="shared" si="72"/>
        <v>PAID</v>
      </c>
      <c r="AP146" t="str">
        <f t="shared" si="81"/>
        <v>OK</v>
      </c>
      <c r="AQ146" t="s">
        <v>34</v>
      </c>
      <c r="AR146" t="str">
        <f t="shared" si="73"/>
        <v>COMPLETED</v>
      </c>
      <c r="AS146" t="str">
        <f t="shared" si="82"/>
        <v>OK</v>
      </c>
      <c r="AT146">
        <f t="shared" si="83"/>
        <v>14960.400000000001</v>
      </c>
      <c r="AU146">
        <f t="shared" si="84"/>
        <v>2459.5600000000013</v>
      </c>
      <c r="AV146" s="6">
        <f t="shared" si="85"/>
        <v>9.1954092136573878E-2</v>
      </c>
      <c r="AW146" t="str">
        <f t="shared" si="86"/>
        <v>CLEAN</v>
      </c>
      <c r="AX146" s="10" t="str">
        <f t="shared" si="87"/>
        <v>MATCH</v>
      </c>
      <c r="AY146" t="str">
        <f t="shared" si="88"/>
        <v>MATCH</v>
      </c>
    </row>
    <row r="147" spans="1:51">
      <c r="A147" t="s">
        <v>1301</v>
      </c>
      <c r="B147">
        <f t="shared" si="64"/>
        <v>1</v>
      </c>
      <c r="C147" t="s">
        <v>1302</v>
      </c>
      <c r="D147" s="3">
        <v>45328</v>
      </c>
      <c r="E147" t="str">
        <f t="shared" si="65"/>
        <v>2024/02/06</v>
      </c>
      <c r="F147" t="str">
        <f t="shared" si="74"/>
        <v>February</v>
      </c>
      <c r="G147">
        <f t="shared" si="75"/>
        <v>2024</v>
      </c>
      <c r="H147" t="s">
        <v>577</v>
      </c>
      <c r="I147" s="4">
        <v>45479</v>
      </c>
      <c r="J147" s="8">
        <f t="shared" si="66"/>
        <v>151</v>
      </c>
      <c r="K147" s="8" t="str">
        <f t="shared" si="76"/>
        <v>OK</v>
      </c>
      <c r="L147" t="s">
        <v>1303</v>
      </c>
      <c r="M147" t="s">
        <v>179</v>
      </c>
      <c r="N147" t="str">
        <f t="shared" si="67"/>
        <v>Rohan Mehta</v>
      </c>
      <c r="O147" t="s">
        <v>114</v>
      </c>
      <c r="P147" t="str">
        <f t="shared" si="90"/>
        <v>Home Office</v>
      </c>
      <c r="Q147" t="s">
        <v>41</v>
      </c>
      <c r="R147" t="str">
        <f t="shared" si="91"/>
        <v>East</v>
      </c>
      <c r="S147" t="str">
        <f t="shared" si="77"/>
        <v>OK</v>
      </c>
      <c r="T147" t="s">
        <v>42</v>
      </c>
      <c r="U147" t="str">
        <f t="shared" si="68"/>
        <v>Odisha</v>
      </c>
      <c r="V147" t="s">
        <v>43</v>
      </c>
      <c r="W147" t="str">
        <f t="shared" si="69"/>
        <v>Bhubaneswar</v>
      </c>
      <c r="X147" t="str">
        <f t="shared" si="70"/>
        <v>Office Supplies</v>
      </c>
      <c r="Y147" t="s">
        <v>29</v>
      </c>
      <c r="Z147" t="s">
        <v>108</v>
      </c>
      <c r="AA147" t="str">
        <f t="shared" si="71"/>
        <v>Labels</v>
      </c>
      <c r="AB147" t="s">
        <v>1304</v>
      </c>
      <c r="AC147" t="s">
        <v>32</v>
      </c>
      <c r="AD147" t="str">
        <f t="shared" si="89"/>
        <v>Second Class</v>
      </c>
      <c r="AE147" t="str">
        <f t="shared" si="78"/>
        <v>OK</v>
      </c>
      <c r="AF147">
        <v>9</v>
      </c>
      <c r="AG147">
        <v>787.91</v>
      </c>
      <c r="AH147">
        <v>0.15</v>
      </c>
      <c r="AI147">
        <f t="shared" si="79"/>
        <v>0.15</v>
      </c>
      <c r="AJ147" t="str">
        <f t="shared" si="80"/>
        <v>OK</v>
      </c>
      <c r="AK147">
        <v>6027.51</v>
      </c>
      <c r="AL147">
        <v>4883.82</v>
      </c>
      <c r="AM147">
        <v>1143.69</v>
      </c>
      <c r="AN147" t="s">
        <v>33</v>
      </c>
      <c r="AO147" t="str">
        <f t="shared" si="72"/>
        <v>PAID</v>
      </c>
      <c r="AP147" t="str">
        <f t="shared" si="81"/>
        <v>OK</v>
      </c>
      <c r="AQ147" t="s">
        <v>34</v>
      </c>
      <c r="AR147" t="str">
        <f t="shared" si="73"/>
        <v>COMPLETED</v>
      </c>
      <c r="AS147" t="str">
        <f t="shared" si="82"/>
        <v>OK</v>
      </c>
      <c r="AT147">
        <f t="shared" si="83"/>
        <v>6027.5114999999996</v>
      </c>
      <c r="AU147">
        <f t="shared" si="84"/>
        <v>1143.6914999999999</v>
      </c>
      <c r="AV147" s="6">
        <f t="shared" si="85"/>
        <v>0.26396133794186877</v>
      </c>
      <c r="AW147" t="str">
        <f t="shared" si="86"/>
        <v>CLEAN</v>
      </c>
      <c r="AX147" s="10" t="str">
        <f t="shared" si="87"/>
        <v>MATCH</v>
      </c>
      <c r="AY147" t="str">
        <f t="shared" si="88"/>
        <v>MATCH</v>
      </c>
    </row>
    <row r="148" spans="1:51">
      <c r="A148" t="s">
        <v>1309</v>
      </c>
      <c r="B148">
        <f t="shared" si="64"/>
        <v>2</v>
      </c>
      <c r="C148" t="s">
        <v>1310</v>
      </c>
      <c r="D148" s="3">
        <v>45343</v>
      </c>
      <c r="E148" t="str">
        <f t="shared" si="65"/>
        <v>2024/02/21</v>
      </c>
      <c r="F148" t="str">
        <f t="shared" si="74"/>
        <v>February</v>
      </c>
      <c r="G148">
        <f t="shared" si="75"/>
        <v>2024</v>
      </c>
      <c r="H148" t="s">
        <v>1311</v>
      </c>
      <c r="I148" s="4">
        <v>45349</v>
      </c>
      <c r="J148" s="8">
        <f t="shared" si="66"/>
        <v>6</v>
      </c>
      <c r="K148" s="8" t="str">
        <f t="shared" si="76"/>
        <v>OK</v>
      </c>
      <c r="L148" t="s">
        <v>1312</v>
      </c>
      <c r="M148" t="s">
        <v>60</v>
      </c>
      <c r="N148" t="str">
        <f t="shared" si="67"/>
        <v>Arjun Bose</v>
      </c>
      <c r="O148" t="s">
        <v>40</v>
      </c>
      <c r="P148" t="str">
        <f t="shared" si="90"/>
        <v>Small Business</v>
      </c>
      <c r="Q148" t="s">
        <v>41</v>
      </c>
      <c r="R148" t="str">
        <f t="shared" si="91"/>
        <v>East</v>
      </c>
      <c r="S148" t="str">
        <f t="shared" si="77"/>
        <v>OK</v>
      </c>
      <c r="T148" t="s">
        <v>120</v>
      </c>
      <c r="U148" t="str">
        <f t="shared" si="68"/>
        <v>West Bengal</v>
      </c>
      <c r="V148" t="s">
        <v>121</v>
      </c>
      <c r="W148" t="str">
        <f t="shared" si="69"/>
        <v>Kolkata</v>
      </c>
      <c r="X148" t="str">
        <f t="shared" si="70"/>
        <v>Furniture</v>
      </c>
      <c r="Y148" t="s">
        <v>44</v>
      </c>
      <c r="Z148" t="s">
        <v>64</v>
      </c>
      <c r="AA148" t="str">
        <f t="shared" si="71"/>
        <v>Furnishings</v>
      </c>
      <c r="AB148" t="s">
        <v>1313</v>
      </c>
      <c r="AC148" t="s">
        <v>66</v>
      </c>
      <c r="AD148" t="str">
        <f t="shared" si="89"/>
        <v>Standard Class</v>
      </c>
      <c r="AE148" t="str">
        <f t="shared" si="78"/>
        <v>OK</v>
      </c>
      <c r="AF148">
        <v>5</v>
      </c>
      <c r="AG148">
        <v>3373.86</v>
      </c>
      <c r="AH148">
        <v>0.15</v>
      </c>
      <c r="AI148">
        <f t="shared" si="79"/>
        <v>0.15</v>
      </c>
      <c r="AJ148" t="str">
        <f t="shared" si="80"/>
        <v>OK</v>
      </c>
      <c r="AK148">
        <v>14338.9</v>
      </c>
      <c r="AL148">
        <v>11897.65</v>
      </c>
      <c r="AM148">
        <v>2441.25</v>
      </c>
      <c r="AN148" t="s">
        <v>136</v>
      </c>
      <c r="AO148" t="str">
        <f t="shared" si="72"/>
        <v>PENDING</v>
      </c>
      <c r="AP148" t="str">
        <f t="shared" si="81"/>
        <v>OK</v>
      </c>
      <c r="AQ148" t="s">
        <v>124</v>
      </c>
      <c r="AR148" t="str">
        <f t="shared" si="73"/>
        <v>RETURNED</v>
      </c>
      <c r="AS148" t="str">
        <f t="shared" si="82"/>
        <v>RETURNED_ORDER</v>
      </c>
      <c r="AT148">
        <f t="shared" si="83"/>
        <v>14338.904999999999</v>
      </c>
      <c r="AU148">
        <f t="shared" si="84"/>
        <v>2441.2549999999992</v>
      </c>
      <c r="AV148" s="6">
        <f t="shared" si="85"/>
        <v>0.13469368825583261</v>
      </c>
      <c r="AW148" t="str">
        <f t="shared" si="86"/>
        <v>CLEAN</v>
      </c>
      <c r="AX148" s="10" t="str">
        <f t="shared" si="87"/>
        <v>MISMATCH</v>
      </c>
      <c r="AY148" t="str">
        <f t="shared" si="88"/>
        <v>MISMATCH</v>
      </c>
    </row>
    <row r="149" spans="1:51">
      <c r="A149" t="s">
        <v>1309</v>
      </c>
      <c r="B149">
        <f t="shared" si="64"/>
        <v>2</v>
      </c>
      <c r="C149" t="s">
        <v>1310</v>
      </c>
      <c r="D149" s="3">
        <v>45343</v>
      </c>
      <c r="E149" t="str">
        <f t="shared" si="65"/>
        <v>2024/02/21</v>
      </c>
      <c r="F149" t="str">
        <f t="shared" si="74"/>
        <v>February</v>
      </c>
      <c r="G149">
        <f t="shared" si="75"/>
        <v>2024</v>
      </c>
      <c r="H149" t="s">
        <v>1311</v>
      </c>
      <c r="I149" s="4">
        <v>45349</v>
      </c>
      <c r="J149" s="8">
        <f t="shared" si="66"/>
        <v>6</v>
      </c>
      <c r="K149" s="8" t="str">
        <f t="shared" si="76"/>
        <v>OK</v>
      </c>
      <c r="L149" t="s">
        <v>1312</v>
      </c>
      <c r="M149" t="s">
        <v>60</v>
      </c>
      <c r="N149" t="str">
        <f t="shared" si="67"/>
        <v>Arjun Bose</v>
      </c>
      <c r="O149" t="s">
        <v>40</v>
      </c>
      <c r="P149" t="str">
        <f t="shared" si="90"/>
        <v>Small Business</v>
      </c>
      <c r="Q149" t="s">
        <v>41</v>
      </c>
      <c r="R149" t="str">
        <f t="shared" si="91"/>
        <v>East</v>
      </c>
      <c r="S149" t="str">
        <f t="shared" si="77"/>
        <v>OK</v>
      </c>
      <c r="T149" t="s">
        <v>120</v>
      </c>
      <c r="U149" t="str">
        <f t="shared" si="68"/>
        <v>West Bengal</v>
      </c>
      <c r="V149" t="s">
        <v>121</v>
      </c>
      <c r="W149" t="str">
        <f t="shared" si="69"/>
        <v>Kolkata</v>
      </c>
      <c r="X149" t="str">
        <f t="shared" si="70"/>
        <v>Furniture</v>
      </c>
      <c r="Y149" t="s">
        <v>44</v>
      </c>
      <c r="Z149" t="s">
        <v>64</v>
      </c>
      <c r="AA149" t="str">
        <f t="shared" si="71"/>
        <v>Furnishings</v>
      </c>
      <c r="AB149" t="s">
        <v>1313</v>
      </c>
      <c r="AC149" t="s">
        <v>66</v>
      </c>
      <c r="AD149" t="str">
        <f t="shared" si="89"/>
        <v>Standard Class</v>
      </c>
      <c r="AE149" t="str">
        <f t="shared" si="78"/>
        <v>OK</v>
      </c>
      <c r="AF149">
        <v>5</v>
      </c>
      <c r="AG149">
        <v>3373.86</v>
      </c>
      <c r="AH149">
        <v>0.15</v>
      </c>
      <c r="AI149">
        <f t="shared" si="79"/>
        <v>0.15</v>
      </c>
      <c r="AJ149" t="str">
        <f t="shared" si="80"/>
        <v>OK</v>
      </c>
      <c r="AK149">
        <v>14338.9</v>
      </c>
      <c r="AL149">
        <v>11897.65</v>
      </c>
      <c r="AM149">
        <v>2441.25</v>
      </c>
      <c r="AN149" t="s">
        <v>136</v>
      </c>
      <c r="AO149" t="str">
        <f t="shared" si="72"/>
        <v>PENDING</v>
      </c>
      <c r="AP149" t="str">
        <f t="shared" si="81"/>
        <v>OK</v>
      </c>
      <c r="AQ149" t="s">
        <v>124</v>
      </c>
      <c r="AR149" t="str">
        <f t="shared" si="73"/>
        <v>RETURNED</v>
      </c>
      <c r="AS149" t="str">
        <f t="shared" si="82"/>
        <v>RETURNED_ORDER</v>
      </c>
      <c r="AT149">
        <f t="shared" si="83"/>
        <v>14338.904999999999</v>
      </c>
      <c r="AU149">
        <f t="shared" si="84"/>
        <v>2441.2549999999992</v>
      </c>
      <c r="AV149" s="6">
        <f t="shared" si="85"/>
        <v>0.13985677427948642</v>
      </c>
      <c r="AW149" t="str">
        <f t="shared" si="86"/>
        <v>CLEAN</v>
      </c>
      <c r="AX149" s="10" t="str">
        <f t="shared" si="87"/>
        <v>MISMATCH</v>
      </c>
      <c r="AY149" t="str">
        <f t="shared" si="88"/>
        <v>MISMATCH</v>
      </c>
    </row>
    <row r="150" spans="1:51">
      <c r="A150" t="s">
        <v>1322</v>
      </c>
      <c r="B150">
        <f t="shared" si="64"/>
        <v>1</v>
      </c>
      <c r="C150" t="s">
        <v>1323</v>
      </c>
      <c r="D150" s="3">
        <v>45635</v>
      </c>
      <c r="E150" t="str">
        <f t="shared" si="65"/>
        <v>2024/12/09</v>
      </c>
      <c r="F150" t="str">
        <f t="shared" si="74"/>
        <v>December</v>
      </c>
      <c r="G150">
        <f t="shared" si="75"/>
        <v>2024</v>
      </c>
      <c r="H150" t="s">
        <v>1324</v>
      </c>
      <c r="I150" s="4">
        <v>45548</v>
      </c>
      <c r="J150" s="8">
        <f t="shared" si="66"/>
        <v>-87</v>
      </c>
      <c r="K150" s="8" t="str">
        <f t="shared" si="76"/>
        <v>INVAILD_SHIPPING</v>
      </c>
      <c r="L150" t="s">
        <v>1325</v>
      </c>
      <c r="M150" t="s">
        <v>141</v>
      </c>
      <c r="N150" t="str">
        <f t="shared" si="67"/>
        <v>Priya Menon</v>
      </c>
      <c r="O150" t="s">
        <v>40</v>
      </c>
      <c r="P150" t="str">
        <f t="shared" si="90"/>
        <v>Small Business</v>
      </c>
      <c r="Q150" t="s">
        <v>26</v>
      </c>
      <c r="R150" t="str">
        <f t="shared" si="91"/>
        <v>North</v>
      </c>
      <c r="S150" t="str">
        <f t="shared" si="77"/>
        <v>OK</v>
      </c>
      <c r="T150" t="s">
        <v>27</v>
      </c>
      <c r="U150" t="str">
        <f t="shared" si="68"/>
        <v>Rajasthan</v>
      </c>
      <c r="V150" t="s">
        <v>28</v>
      </c>
      <c r="W150" t="str">
        <f t="shared" si="69"/>
        <v>Jaipur</v>
      </c>
      <c r="X150" t="str">
        <f t="shared" si="70"/>
        <v>Technology</v>
      </c>
      <c r="Y150" t="s">
        <v>85</v>
      </c>
      <c r="Z150" t="s">
        <v>222</v>
      </c>
      <c r="AA150" t="str">
        <f t="shared" si="71"/>
        <v>Phones</v>
      </c>
      <c r="AB150" t="s">
        <v>1326</v>
      </c>
      <c r="AC150" t="s">
        <v>47</v>
      </c>
      <c r="AD150" t="str">
        <f t="shared" si="89"/>
        <v>Same Day</v>
      </c>
      <c r="AE150" t="str">
        <f t="shared" si="78"/>
        <v>OK</v>
      </c>
      <c r="AF150">
        <v>6</v>
      </c>
      <c r="AG150">
        <v>832.79</v>
      </c>
      <c r="AH150">
        <v>0.05</v>
      </c>
      <c r="AI150">
        <f t="shared" si="79"/>
        <v>0.05</v>
      </c>
      <c r="AJ150" t="str">
        <f t="shared" si="80"/>
        <v>OK</v>
      </c>
      <c r="AK150">
        <v>4746.8999999999996</v>
      </c>
      <c r="AL150">
        <v>2825.38</v>
      </c>
      <c r="AM150">
        <v>1472.89</v>
      </c>
      <c r="AN150" t="s">
        <v>123</v>
      </c>
      <c r="AO150" t="str">
        <f t="shared" si="72"/>
        <v>REFUNDED</v>
      </c>
      <c r="AP150" t="str">
        <f t="shared" si="81"/>
        <v>REFUNDED_PAYMENT</v>
      </c>
      <c r="AQ150" t="s">
        <v>77</v>
      </c>
      <c r="AR150" t="str">
        <f t="shared" si="73"/>
        <v>CANCELLED</v>
      </c>
      <c r="AS150" t="str">
        <f t="shared" si="82"/>
        <v>EXCLUDE_FROM_SALES</v>
      </c>
      <c r="AT150">
        <f t="shared" si="83"/>
        <v>4746.9029999999993</v>
      </c>
      <c r="AU150">
        <f t="shared" si="84"/>
        <v>1921.5229999999992</v>
      </c>
      <c r="AV150" s="6">
        <f t="shared" si="85"/>
        <v>0.5281759496665509</v>
      </c>
      <c r="AW150" t="str">
        <f t="shared" si="86"/>
        <v>CLEAN</v>
      </c>
      <c r="AX150" s="10" t="str">
        <f t="shared" si="87"/>
        <v>MATCH</v>
      </c>
      <c r="AY150" t="str">
        <f t="shared" si="88"/>
        <v>MISMATCH</v>
      </c>
    </row>
    <row r="151" spans="1:51">
      <c r="A151" t="s">
        <v>1337</v>
      </c>
      <c r="B151">
        <f t="shared" si="64"/>
        <v>1</v>
      </c>
      <c r="C151" t="s">
        <v>1338</v>
      </c>
      <c r="D151" s="3">
        <v>45423</v>
      </c>
      <c r="E151" t="str">
        <f t="shared" si="65"/>
        <v>2024/05/11</v>
      </c>
      <c r="F151" t="str">
        <f t="shared" si="74"/>
        <v>May</v>
      </c>
      <c r="G151">
        <f t="shared" si="75"/>
        <v>2024</v>
      </c>
      <c r="H151" t="s">
        <v>482</v>
      </c>
      <c r="I151" s="4">
        <v>45599</v>
      </c>
      <c r="J151" s="8">
        <f t="shared" si="66"/>
        <v>176</v>
      </c>
      <c r="K151" s="8" t="str">
        <f t="shared" si="76"/>
        <v>OK</v>
      </c>
      <c r="L151" t="s">
        <v>1339</v>
      </c>
      <c r="M151" t="s">
        <v>71</v>
      </c>
      <c r="N151" t="str">
        <f t="shared" si="67"/>
        <v>Ananya Rao</v>
      </c>
      <c r="O151" t="s">
        <v>25</v>
      </c>
      <c r="P151" t="str">
        <f t="shared" si="90"/>
        <v>Consumer</v>
      </c>
      <c r="Q151" t="s">
        <v>41</v>
      </c>
      <c r="R151" t="str">
        <f t="shared" si="91"/>
        <v>East</v>
      </c>
      <c r="S151" t="str">
        <f t="shared" si="77"/>
        <v>OK</v>
      </c>
      <c r="T151" t="s">
        <v>120</v>
      </c>
      <c r="U151" t="str">
        <f t="shared" si="68"/>
        <v>West Bengal</v>
      </c>
      <c r="V151" t="s">
        <v>121</v>
      </c>
      <c r="W151" t="str">
        <f t="shared" si="69"/>
        <v>Kolkata</v>
      </c>
      <c r="X151" t="str">
        <f t="shared" si="70"/>
        <v>Furniture</v>
      </c>
      <c r="Y151" t="s">
        <v>44</v>
      </c>
      <c r="Z151" t="s">
        <v>45</v>
      </c>
      <c r="AA151" t="str">
        <f t="shared" si="71"/>
        <v>Tables</v>
      </c>
      <c r="AB151" t="s">
        <v>1340</v>
      </c>
      <c r="AC151" t="s">
        <v>55</v>
      </c>
      <c r="AD151" t="str">
        <f t="shared" si="89"/>
        <v>First Class</v>
      </c>
      <c r="AE151" t="str">
        <f t="shared" si="78"/>
        <v>OK</v>
      </c>
      <c r="AF151">
        <v>9</v>
      </c>
      <c r="AG151">
        <v>2260.61</v>
      </c>
      <c r="AH151">
        <v>0.05</v>
      </c>
      <c r="AI151">
        <f t="shared" si="79"/>
        <v>0.05</v>
      </c>
      <c r="AJ151" t="str">
        <f t="shared" si="80"/>
        <v>OK</v>
      </c>
      <c r="AK151">
        <v>19328.22</v>
      </c>
      <c r="AL151">
        <v>12039.5</v>
      </c>
      <c r="AM151">
        <v>7288.72</v>
      </c>
      <c r="AN151" t="s">
        <v>33</v>
      </c>
      <c r="AO151" t="str">
        <f t="shared" si="72"/>
        <v>PAID</v>
      </c>
      <c r="AP151" t="str">
        <f t="shared" si="81"/>
        <v>OK</v>
      </c>
      <c r="AQ151" t="s">
        <v>34</v>
      </c>
      <c r="AR151" t="str">
        <f t="shared" si="73"/>
        <v>COMPLETED</v>
      </c>
      <c r="AS151" t="str">
        <f t="shared" si="82"/>
        <v>OK</v>
      </c>
      <c r="AT151">
        <f t="shared" si="83"/>
        <v>19328.215500000002</v>
      </c>
      <c r="AU151">
        <f t="shared" si="84"/>
        <v>7288.7155000000021</v>
      </c>
      <c r="AV151" s="6">
        <f t="shared" si="85"/>
        <v>0.10119609852239071</v>
      </c>
      <c r="AW151" t="str">
        <f t="shared" si="86"/>
        <v>CLEAN</v>
      </c>
      <c r="AX151" s="10" t="str">
        <f t="shared" si="87"/>
        <v>MATCH</v>
      </c>
      <c r="AY151" t="str">
        <f t="shared" si="88"/>
        <v>MATCH</v>
      </c>
    </row>
    <row r="152" spans="1:51">
      <c r="A152" t="s">
        <v>1346</v>
      </c>
      <c r="B152">
        <f t="shared" si="64"/>
        <v>1</v>
      </c>
      <c r="C152" t="s">
        <v>824</v>
      </c>
      <c r="D152" s="3">
        <v>45656</v>
      </c>
      <c r="E152" t="str">
        <f t="shared" si="65"/>
        <v>2024/12/30</v>
      </c>
      <c r="F152" t="str">
        <f t="shared" si="74"/>
        <v>December</v>
      </c>
      <c r="G152">
        <f t="shared" si="75"/>
        <v>2024</v>
      </c>
      <c r="H152" t="s">
        <v>1347</v>
      </c>
      <c r="I152" s="4">
        <v>45661</v>
      </c>
      <c r="J152" s="8">
        <f t="shared" si="66"/>
        <v>5</v>
      </c>
      <c r="K152" s="8" t="str">
        <f t="shared" si="76"/>
        <v>OK</v>
      </c>
      <c r="L152" t="s">
        <v>1348</v>
      </c>
      <c r="M152" t="s">
        <v>167</v>
      </c>
      <c r="N152" t="str">
        <f t="shared" si="67"/>
        <v>Sneha Kapoor</v>
      </c>
      <c r="O152" t="s">
        <v>107</v>
      </c>
      <c r="P152" t="str">
        <f t="shared" si="90"/>
        <v>Corporate</v>
      </c>
      <c r="Q152" t="s">
        <v>61</v>
      </c>
      <c r="R152" t="str">
        <f t="shared" si="91"/>
        <v>South</v>
      </c>
      <c r="S152" t="str">
        <f t="shared" si="77"/>
        <v>OK</v>
      </c>
      <c r="T152" t="s">
        <v>338</v>
      </c>
      <c r="U152" t="str">
        <f t="shared" si="68"/>
        <v>Tamil Nadu</v>
      </c>
      <c r="V152" t="s">
        <v>339</v>
      </c>
      <c r="W152" t="str">
        <f t="shared" si="69"/>
        <v>Chennai</v>
      </c>
      <c r="X152" t="str">
        <f t="shared" si="70"/>
        <v>Furniture</v>
      </c>
      <c r="Y152" t="s">
        <v>44</v>
      </c>
      <c r="Z152" t="s">
        <v>45</v>
      </c>
      <c r="AA152" t="str">
        <f t="shared" si="71"/>
        <v>Tables</v>
      </c>
      <c r="AB152" t="s">
        <v>1349</v>
      </c>
      <c r="AC152" t="s">
        <v>47</v>
      </c>
      <c r="AD152" t="str">
        <f t="shared" si="89"/>
        <v>Same Day</v>
      </c>
      <c r="AE152" t="str">
        <f t="shared" si="78"/>
        <v>OK</v>
      </c>
      <c r="AF152">
        <v>2</v>
      </c>
      <c r="AG152">
        <v>3720.07</v>
      </c>
      <c r="AH152">
        <v>0.25</v>
      </c>
      <c r="AI152">
        <f t="shared" si="79"/>
        <v>0.25</v>
      </c>
      <c r="AJ152" t="str">
        <f t="shared" si="80"/>
        <v>OK</v>
      </c>
      <c r="AK152">
        <v>5580.11</v>
      </c>
      <c r="AL152">
        <v>4307.01</v>
      </c>
      <c r="AM152">
        <v>1273.0999999999999</v>
      </c>
      <c r="AN152" t="s">
        <v>33</v>
      </c>
      <c r="AO152" t="str">
        <f t="shared" si="72"/>
        <v>PAID</v>
      </c>
      <c r="AP152" t="str">
        <f t="shared" si="81"/>
        <v>OK</v>
      </c>
      <c r="AQ152" t="s">
        <v>34</v>
      </c>
      <c r="AR152" t="str">
        <f t="shared" si="73"/>
        <v>COMPLETED</v>
      </c>
      <c r="AS152" t="str">
        <f t="shared" si="82"/>
        <v>OK</v>
      </c>
      <c r="AT152">
        <f t="shared" si="83"/>
        <v>5580.1050000000005</v>
      </c>
      <c r="AU152">
        <f t="shared" si="84"/>
        <v>1273.0950000000003</v>
      </c>
      <c r="AV152" s="6">
        <f t="shared" si="85"/>
        <v>-0.62005697025414397</v>
      </c>
      <c r="AW152" t="str">
        <f t="shared" si="86"/>
        <v>CLEAN</v>
      </c>
      <c r="AX152" s="10" t="str">
        <f t="shared" si="87"/>
        <v>MATCH</v>
      </c>
      <c r="AY152" t="str">
        <f t="shared" si="88"/>
        <v>MATCH</v>
      </c>
    </row>
    <row r="153" spans="1:51">
      <c r="A153" t="s">
        <v>1350</v>
      </c>
      <c r="B153">
        <f t="shared" si="64"/>
        <v>1</v>
      </c>
      <c r="C153" t="s">
        <v>1351</v>
      </c>
      <c r="D153" s="3">
        <v>45464</v>
      </c>
      <c r="E153" t="str">
        <f t="shared" si="65"/>
        <v>2024/06/21</v>
      </c>
      <c r="F153" t="str">
        <f t="shared" si="74"/>
        <v>June</v>
      </c>
      <c r="G153">
        <f t="shared" si="75"/>
        <v>2024</v>
      </c>
      <c r="H153" t="s">
        <v>1352</v>
      </c>
      <c r="I153" s="4">
        <v>45472</v>
      </c>
      <c r="J153" s="8">
        <f t="shared" si="66"/>
        <v>8</v>
      </c>
      <c r="K153" s="8" t="str">
        <f t="shared" si="76"/>
        <v>OK</v>
      </c>
      <c r="L153" t="s">
        <v>1353</v>
      </c>
      <c r="M153" t="s">
        <v>92</v>
      </c>
      <c r="N153" t="str">
        <f t="shared" si="67"/>
        <v>Neha Gupta</v>
      </c>
      <c r="O153" t="s">
        <v>25</v>
      </c>
      <c r="P153" t="str">
        <f t="shared" si="90"/>
        <v>Consumer</v>
      </c>
      <c r="Q153" t="s">
        <v>61</v>
      </c>
      <c r="R153" t="str">
        <f t="shared" si="91"/>
        <v>South</v>
      </c>
      <c r="S153" t="str">
        <f t="shared" si="77"/>
        <v>OK</v>
      </c>
      <c r="T153" t="s">
        <v>338</v>
      </c>
      <c r="U153" t="str">
        <f t="shared" si="68"/>
        <v>Tamil Nadu</v>
      </c>
      <c r="V153" t="s">
        <v>339</v>
      </c>
      <c r="W153" t="str">
        <f t="shared" si="69"/>
        <v>Chennai</v>
      </c>
      <c r="X153" t="str">
        <f t="shared" si="70"/>
        <v>Technology</v>
      </c>
      <c r="Y153" t="s">
        <v>85</v>
      </c>
      <c r="Z153" t="s">
        <v>381</v>
      </c>
      <c r="AA153" t="str">
        <f t="shared" si="71"/>
        <v>Machines</v>
      </c>
      <c r="AB153" t="s">
        <v>1354</v>
      </c>
      <c r="AC153" t="s">
        <v>66</v>
      </c>
      <c r="AD153" t="str">
        <f t="shared" si="89"/>
        <v>Standard Class</v>
      </c>
      <c r="AE153" t="str">
        <f t="shared" si="78"/>
        <v>OK</v>
      </c>
      <c r="AF153">
        <v>8</v>
      </c>
      <c r="AG153">
        <v>2853.92</v>
      </c>
      <c r="AH153">
        <v>0.2</v>
      </c>
      <c r="AI153">
        <f t="shared" si="79"/>
        <v>0.2</v>
      </c>
      <c r="AJ153" t="str">
        <f t="shared" si="80"/>
        <v>OK</v>
      </c>
      <c r="AK153">
        <v>18265.09</v>
      </c>
      <c r="AL153">
        <v>10437.14</v>
      </c>
      <c r="AM153">
        <v>7827.95</v>
      </c>
      <c r="AN153" t="s">
        <v>33</v>
      </c>
      <c r="AO153" t="str">
        <f t="shared" si="72"/>
        <v>PAID</v>
      </c>
      <c r="AP153" t="str">
        <f t="shared" si="81"/>
        <v>OK</v>
      </c>
      <c r="AQ153" t="s">
        <v>34</v>
      </c>
      <c r="AR153" t="str">
        <f t="shared" si="73"/>
        <v>COMPLETED</v>
      </c>
      <c r="AS153" t="str">
        <f t="shared" si="82"/>
        <v>OK</v>
      </c>
      <c r="AT153">
        <f t="shared" si="83"/>
        <v>18265.088</v>
      </c>
      <c r="AU153">
        <f t="shared" si="84"/>
        <v>7827.9480000000003</v>
      </c>
      <c r="AV153" s="6">
        <f t="shared" si="85"/>
        <v>0.10795852721870274</v>
      </c>
      <c r="AW153" t="str">
        <f t="shared" si="86"/>
        <v>CLEAN</v>
      </c>
      <c r="AX153" s="10" t="str">
        <f t="shared" si="87"/>
        <v>MATCH</v>
      </c>
      <c r="AY153" t="str">
        <f t="shared" si="88"/>
        <v>MATCH</v>
      </c>
    </row>
    <row r="154" spans="1:51">
      <c r="A154" t="s">
        <v>1373</v>
      </c>
      <c r="B154">
        <f t="shared" si="64"/>
        <v>1</v>
      </c>
      <c r="C154" t="s">
        <v>1374</v>
      </c>
      <c r="D154" s="3">
        <v>45428</v>
      </c>
      <c r="E154" t="str">
        <f t="shared" si="65"/>
        <v>2024/05/16</v>
      </c>
      <c r="F154" t="str">
        <f t="shared" si="74"/>
        <v>May</v>
      </c>
      <c r="G154">
        <f t="shared" si="75"/>
        <v>2024</v>
      </c>
      <c r="H154" t="s">
        <v>1375</v>
      </c>
      <c r="I154" s="4">
        <v>45433</v>
      </c>
      <c r="J154" s="8">
        <f t="shared" si="66"/>
        <v>5</v>
      </c>
      <c r="K154" s="8" t="str">
        <f t="shared" si="76"/>
        <v>OK</v>
      </c>
      <c r="L154" t="s">
        <v>1376</v>
      </c>
      <c r="M154" t="s">
        <v>209</v>
      </c>
      <c r="N154" t="str">
        <f t="shared" si="67"/>
        <v>Diya Patel</v>
      </c>
      <c r="O154" t="s">
        <v>40</v>
      </c>
      <c r="P154" t="str">
        <f t="shared" si="90"/>
        <v>Small Business</v>
      </c>
      <c r="Q154" t="s">
        <v>41</v>
      </c>
      <c r="R154" t="str">
        <f t="shared" si="91"/>
        <v>East</v>
      </c>
      <c r="S154" t="str">
        <f t="shared" si="77"/>
        <v>OK</v>
      </c>
      <c r="T154" t="s">
        <v>185</v>
      </c>
      <c r="U154" t="str">
        <f t="shared" si="68"/>
        <v>Bihar</v>
      </c>
      <c r="V154" t="s">
        <v>186</v>
      </c>
      <c r="W154" t="str">
        <f t="shared" si="69"/>
        <v>Patna</v>
      </c>
      <c r="X154" t="str">
        <f t="shared" si="70"/>
        <v>Technology</v>
      </c>
      <c r="Y154" t="s">
        <v>85</v>
      </c>
      <c r="Z154" t="s">
        <v>93</v>
      </c>
      <c r="AA154" t="str">
        <f t="shared" si="71"/>
        <v>Copiers</v>
      </c>
      <c r="AB154" t="s">
        <v>1377</v>
      </c>
      <c r="AC154" t="s">
        <v>66</v>
      </c>
      <c r="AD154" t="str">
        <f t="shared" si="89"/>
        <v>Standard Class</v>
      </c>
      <c r="AE154" t="str">
        <f t="shared" si="78"/>
        <v>OK</v>
      </c>
      <c r="AF154">
        <v>4</v>
      </c>
      <c r="AG154">
        <v>1503.07</v>
      </c>
      <c r="AH154">
        <v>0</v>
      </c>
      <c r="AI154">
        <f t="shared" si="79"/>
        <v>0</v>
      </c>
      <c r="AJ154" t="str">
        <f t="shared" si="80"/>
        <v>OK</v>
      </c>
      <c r="AK154">
        <v>6012.28</v>
      </c>
      <c r="AL154">
        <v>3927.64</v>
      </c>
      <c r="AM154">
        <v>2084.64</v>
      </c>
      <c r="AN154" t="s">
        <v>33</v>
      </c>
      <c r="AO154" t="str">
        <f t="shared" si="72"/>
        <v>PAID</v>
      </c>
      <c r="AP154" t="str">
        <f t="shared" si="81"/>
        <v>OK</v>
      </c>
      <c r="AQ154" t="s">
        <v>34</v>
      </c>
      <c r="AR154" t="str">
        <f t="shared" si="73"/>
        <v>COMPLETED</v>
      </c>
      <c r="AS154" t="str">
        <f t="shared" si="82"/>
        <v>OK</v>
      </c>
      <c r="AT154">
        <f t="shared" si="83"/>
        <v>6012.28</v>
      </c>
      <c r="AU154">
        <f t="shared" si="84"/>
        <v>2084.64</v>
      </c>
      <c r="AV154" s="6">
        <f t="shared" si="85"/>
        <v>0.62783253607616429</v>
      </c>
      <c r="AW154" t="str">
        <f t="shared" si="86"/>
        <v>CLEAN</v>
      </c>
      <c r="AX154" s="10" t="str">
        <f t="shared" si="87"/>
        <v>MATCH</v>
      </c>
      <c r="AY154" t="str">
        <f t="shared" si="88"/>
        <v>MATCH</v>
      </c>
    </row>
    <row r="155" spans="1:51">
      <c r="A155" t="s">
        <v>1378</v>
      </c>
      <c r="B155">
        <f t="shared" si="64"/>
        <v>1</v>
      </c>
      <c r="C155" t="s">
        <v>1379</v>
      </c>
      <c r="D155" s="2">
        <v>45610</v>
      </c>
      <c r="E155" t="str">
        <f t="shared" si="65"/>
        <v>2024/11/14</v>
      </c>
      <c r="F155" t="str">
        <f t="shared" si="74"/>
        <v>November</v>
      </c>
      <c r="G155">
        <f t="shared" si="75"/>
        <v>2024</v>
      </c>
      <c r="H155" t="s">
        <v>910</v>
      </c>
      <c r="I155" s="4">
        <v>45618</v>
      </c>
      <c r="J155" s="8">
        <f t="shared" si="66"/>
        <v>8</v>
      </c>
      <c r="K155" s="8" t="str">
        <f t="shared" si="76"/>
        <v>OK</v>
      </c>
      <c r="L155" t="s">
        <v>1380</v>
      </c>
      <c r="M155" t="s">
        <v>141</v>
      </c>
      <c r="N155" t="str">
        <f t="shared" si="67"/>
        <v>Priya Menon</v>
      </c>
      <c r="O155" t="s">
        <v>107</v>
      </c>
      <c r="P155" t="str">
        <f t="shared" si="90"/>
        <v>Corporate</v>
      </c>
      <c r="Q155" t="s">
        <v>41</v>
      </c>
      <c r="R155" t="str">
        <f t="shared" si="91"/>
        <v>East</v>
      </c>
      <c r="S155" t="str">
        <f t="shared" si="77"/>
        <v>OK</v>
      </c>
      <c r="T155" t="s">
        <v>185</v>
      </c>
      <c r="U155" t="str">
        <f t="shared" si="68"/>
        <v>Bihar</v>
      </c>
      <c r="V155" t="s">
        <v>186</v>
      </c>
      <c r="W155" t="str">
        <f t="shared" si="69"/>
        <v>Patna</v>
      </c>
      <c r="X155" t="str">
        <f t="shared" si="70"/>
        <v>Furniture</v>
      </c>
      <c r="Y155" t="s">
        <v>44</v>
      </c>
      <c r="Z155" t="s">
        <v>203</v>
      </c>
      <c r="AA155" t="str">
        <f t="shared" si="71"/>
        <v>Bookcases</v>
      </c>
      <c r="AB155" t="s">
        <v>1381</v>
      </c>
      <c r="AC155" t="s">
        <v>47</v>
      </c>
      <c r="AD155" t="str">
        <f t="shared" si="89"/>
        <v>Same Day</v>
      </c>
      <c r="AE155" t="str">
        <f t="shared" si="78"/>
        <v>OK</v>
      </c>
      <c r="AF155">
        <v>1</v>
      </c>
      <c r="AG155">
        <v>582.37</v>
      </c>
      <c r="AH155">
        <v>0.15</v>
      </c>
      <c r="AI155">
        <f t="shared" si="79"/>
        <v>0.15</v>
      </c>
      <c r="AJ155" t="str">
        <f t="shared" si="80"/>
        <v>OK</v>
      </c>
      <c r="AK155">
        <v>495.01</v>
      </c>
      <c r="AL155">
        <v>285.13</v>
      </c>
      <c r="AM155">
        <v>209.88</v>
      </c>
      <c r="AN155" t="s">
        <v>123</v>
      </c>
      <c r="AO155" t="str">
        <f t="shared" si="72"/>
        <v>REFUNDED</v>
      </c>
      <c r="AP155" t="str">
        <f t="shared" si="81"/>
        <v>REFUNDED_PAYMENT</v>
      </c>
      <c r="AQ155" t="s">
        <v>77</v>
      </c>
      <c r="AR155" t="str">
        <f t="shared" si="73"/>
        <v>CANCELLED</v>
      </c>
      <c r="AS155" t="str">
        <f t="shared" si="82"/>
        <v>EXCLUDE_FROM_SALES</v>
      </c>
      <c r="AT155">
        <f t="shared" si="83"/>
        <v>495.0145</v>
      </c>
      <c r="AU155">
        <f t="shared" si="84"/>
        <v>209.8845</v>
      </c>
      <c r="AV155" s="6">
        <f t="shared" si="85"/>
        <v>19.068439409350631</v>
      </c>
      <c r="AW155" t="str">
        <f t="shared" si="86"/>
        <v>CLEAN</v>
      </c>
      <c r="AX155" s="10" t="str">
        <f t="shared" si="87"/>
        <v>MATCH</v>
      </c>
      <c r="AY155" t="str">
        <f t="shared" si="88"/>
        <v>MATCH</v>
      </c>
    </row>
    <row r="156" spans="1:51">
      <c r="A156" t="s">
        <v>1399</v>
      </c>
      <c r="B156">
        <f t="shared" si="64"/>
        <v>1</v>
      </c>
      <c r="C156" t="s">
        <v>1257</v>
      </c>
      <c r="D156" s="3">
        <v>45627</v>
      </c>
      <c r="E156" t="str">
        <f t="shared" si="65"/>
        <v>2024/12/01</v>
      </c>
      <c r="F156" t="str">
        <f t="shared" si="74"/>
        <v>December</v>
      </c>
      <c r="G156">
        <f t="shared" si="75"/>
        <v>2024</v>
      </c>
      <c r="H156" t="s">
        <v>562</v>
      </c>
      <c r="I156" s="4">
        <v>45304</v>
      </c>
      <c r="J156" s="8">
        <f t="shared" si="66"/>
        <v>-323</v>
      </c>
      <c r="K156" s="8" t="str">
        <f t="shared" si="76"/>
        <v>INVAILD_SHIPPING</v>
      </c>
      <c r="L156" t="s">
        <v>1400</v>
      </c>
      <c r="M156" t="s">
        <v>106</v>
      </c>
      <c r="N156" t="str">
        <f t="shared" si="67"/>
        <v>Aditi Sen</v>
      </c>
      <c r="O156" t="s">
        <v>107</v>
      </c>
      <c r="P156" t="str">
        <f t="shared" si="90"/>
        <v>Corporate</v>
      </c>
      <c r="Q156" t="s">
        <v>26</v>
      </c>
      <c r="R156" t="str">
        <f t="shared" si="91"/>
        <v>North</v>
      </c>
      <c r="S156" t="str">
        <f t="shared" si="77"/>
        <v>OK</v>
      </c>
      <c r="T156" t="s">
        <v>173</v>
      </c>
      <c r="U156" t="str">
        <f t="shared" si="68"/>
        <v>Uttar Pradesh</v>
      </c>
      <c r="V156" t="s">
        <v>174</v>
      </c>
      <c r="W156" t="str">
        <f t="shared" si="69"/>
        <v>Noida</v>
      </c>
      <c r="X156" t="str">
        <f t="shared" si="70"/>
        <v>Technology</v>
      </c>
      <c r="Y156" t="s">
        <v>85</v>
      </c>
      <c r="Z156" t="s">
        <v>381</v>
      </c>
      <c r="AA156" t="str">
        <f t="shared" si="71"/>
        <v>Machines</v>
      </c>
      <c r="AB156" t="s">
        <v>1401</v>
      </c>
      <c r="AC156" t="s">
        <v>47</v>
      </c>
      <c r="AD156" t="str">
        <f t="shared" si="89"/>
        <v>Same Day</v>
      </c>
      <c r="AE156" t="str">
        <f t="shared" si="78"/>
        <v>OK</v>
      </c>
      <c r="AF156">
        <v>3</v>
      </c>
      <c r="AG156">
        <v>827.44</v>
      </c>
      <c r="AH156">
        <v>0</v>
      </c>
      <c r="AI156">
        <f t="shared" si="79"/>
        <v>0</v>
      </c>
      <c r="AJ156" t="str">
        <f t="shared" si="80"/>
        <v>OK</v>
      </c>
      <c r="AK156">
        <v>2482.3200000000002</v>
      </c>
      <c r="AL156">
        <v>1520.21</v>
      </c>
      <c r="AM156">
        <v>962.11</v>
      </c>
      <c r="AN156" t="s">
        <v>33</v>
      </c>
      <c r="AO156" t="str">
        <f t="shared" si="72"/>
        <v>PAID</v>
      </c>
      <c r="AP156" t="str">
        <f t="shared" si="81"/>
        <v>OK</v>
      </c>
      <c r="AQ156" t="s">
        <v>34</v>
      </c>
      <c r="AR156" t="str">
        <f t="shared" si="73"/>
        <v>COMPLETED</v>
      </c>
      <c r="AS156" t="str">
        <f t="shared" si="82"/>
        <v>OK</v>
      </c>
      <c r="AT156">
        <f t="shared" si="83"/>
        <v>2482.3200000000002</v>
      </c>
      <c r="AU156">
        <f t="shared" si="84"/>
        <v>962.11000000000013</v>
      </c>
      <c r="AV156" s="6">
        <f t="shared" si="85"/>
        <v>0.19640981017757586</v>
      </c>
      <c r="AW156" t="str">
        <f t="shared" si="86"/>
        <v>CLEAN</v>
      </c>
      <c r="AX156" s="10" t="str">
        <f t="shared" si="87"/>
        <v>MATCH</v>
      </c>
      <c r="AY156" t="str">
        <f t="shared" si="88"/>
        <v>MATCH</v>
      </c>
    </row>
    <row r="157" spans="1:51">
      <c r="A157" t="s">
        <v>1402</v>
      </c>
      <c r="B157">
        <f t="shared" si="64"/>
        <v>1</v>
      </c>
      <c r="C157" t="s">
        <v>1403</v>
      </c>
      <c r="D157" s="2">
        <v>45647</v>
      </c>
      <c r="E157" t="str">
        <f t="shared" si="65"/>
        <v>2024/12/21</v>
      </c>
      <c r="F157" t="str">
        <f t="shared" si="74"/>
        <v>December</v>
      </c>
      <c r="G157">
        <f t="shared" si="75"/>
        <v>2024</v>
      </c>
      <c r="H157" t="s">
        <v>1404</v>
      </c>
      <c r="I157" s="4">
        <v>45651</v>
      </c>
      <c r="J157" s="8">
        <f t="shared" si="66"/>
        <v>4</v>
      </c>
      <c r="K157" s="8" t="str">
        <f t="shared" si="76"/>
        <v>OK</v>
      </c>
      <c r="L157" t="s">
        <v>1405</v>
      </c>
      <c r="M157" t="s">
        <v>106</v>
      </c>
      <c r="N157" t="str">
        <f t="shared" si="67"/>
        <v>Aditi Sen</v>
      </c>
      <c r="O157" t="s">
        <v>25</v>
      </c>
      <c r="P157" t="str">
        <f t="shared" si="90"/>
        <v>Consumer</v>
      </c>
      <c r="Q157" t="s">
        <v>61</v>
      </c>
      <c r="R157" t="str">
        <f t="shared" si="91"/>
        <v>South</v>
      </c>
      <c r="S157" t="str">
        <f t="shared" si="77"/>
        <v>OK</v>
      </c>
      <c r="T157" t="s">
        <v>62</v>
      </c>
      <c r="U157" t="str">
        <f t="shared" si="68"/>
        <v>Telangana</v>
      </c>
      <c r="V157" t="s">
        <v>63</v>
      </c>
      <c r="W157" t="str">
        <f t="shared" si="69"/>
        <v>Hyderabad</v>
      </c>
      <c r="X157" t="str">
        <f t="shared" si="70"/>
        <v>Office Supplies</v>
      </c>
      <c r="Y157" t="s">
        <v>29</v>
      </c>
      <c r="Z157" t="s">
        <v>197</v>
      </c>
      <c r="AA157" t="str">
        <f t="shared" si="71"/>
        <v>Binders</v>
      </c>
      <c r="AB157" t="s">
        <v>1406</v>
      </c>
      <c r="AC157" t="s">
        <v>66</v>
      </c>
      <c r="AD157" t="str">
        <f t="shared" si="89"/>
        <v>Standard Class</v>
      </c>
      <c r="AE157" t="str">
        <f t="shared" si="78"/>
        <v>OK</v>
      </c>
      <c r="AF157">
        <v>7</v>
      </c>
      <c r="AG157">
        <v>1667.75</v>
      </c>
      <c r="AH157">
        <v>0</v>
      </c>
      <c r="AI157">
        <f t="shared" si="79"/>
        <v>0</v>
      </c>
      <c r="AJ157" t="str">
        <f t="shared" si="80"/>
        <v>OK</v>
      </c>
      <c r="AK157">
        <v>11674.25</v>
      </c>
      <c r="AL157">
        <v>9621.19</v>
      </c>
      <c r="AM157">
        <v>2053.06</v>
      </c>
      <c r="AN157" t="s">
        <v>199</v>
      </c>
      <c r="AO157" t="str">
        <f t="shared" si="72"/>
        <v>FAILED</v>
      </c>
      <c r="AP157" t="str">
        <f t="shared" si="81"/>
        <v>EXCLUDE_FROM_SALES</v>
      </c>
      <c r="AQ157" t="s">
        <v>77</v>
      </c>
      <c r="AR157" t="str">
        <f t="shared" si="73"/>
        <v>CANCELLED</v>
      </c>
      <c r="AS157" t="str">
        <f t="shared" si="82"/>
        <v>EXCLUDE_FROM_SALES</v>
      </c>
      <c r="AT157">
        <f t="shared" si="83"/>
        <v>11674.25</v>
      </c>
      <c r="AU157">
        <f t="shared" si="84"/>
        <v>2053.0599999999995</v>
      </c>
      <c r="AV157" s="6">
        <f t="shared" si="85"/>
        <v>0.25324881684048239</v>
      </c>
      <c r="AW157" t="str">
        <f t="shared" si="86"/>
        <v>CLEAN</v>
      </c>
      <c r="AX157" s="10" t="str">
        <f t="shared" si="87"/>
        <v>MATCH</v>
      </c>
      <c r="AY157" t="str">
        <f t="shared" si="88"/>
        <v>MATCH</v>
      </c>
    </row>
    <row r="158" spans="1:51">
      <c r="A158" t="s">
        <v>1407</v>
      </c>
      <c r="B158">
        <f t="shared" si="64"/>
        <v>2</v>
      </c>
      <c r="C158" t="s">
        <v>1408</v>
      </c>
      <c r="D158" s="3">
        <v>45522</v>
      </c>
      <c r="E158" t="str">
        <f t="shared" si="65"/>
        <v>2024/08/18</v>
      </c>
      <c r="F158" t="str">
        <f t="shared" si="74"/>
        <v>August</v>
      </c>
      <c r="G158">
        <f t="shared" si="75"/>
        <v>2024</v>
      </c>
      <c r="H158" t="s">
        <v>1409</v>
      </c>
      <c r="I158" s="4">
        <v>45528</v>
      </c>
      <c r="J158" s="8">
        <f t="shared" si="66"/>
        <v>6</v>
      </c>
      <c r="K158" s="8" t="str">
        <f t="shared" si="76"/>
        <v>OK</v>
      </c>
      <c r="L158" t="s">
        <v>1410</v>
      </c>
      <c r="M158" t="s">
        <v>60</v>
      </c>
      <c r="N158" t="str">
        <f t="shared" si="67"/>
        <v>Arjun Bose</v>
      </c>
      <c r="O158" t="s">
        <v>25</v>
      </c>
      <c r="P158" t="str">
        <f t="shared" si="90"/>
        <v>Consumer</v>
      </c>
      <c r="Q158" t="s">
        <v>61</v>
      </c>
      <c r="R158" t="str">
        <f t="shared" si="91"/>
        <v>South</v>
      </c>
      <c r="S158" t="str">
        <f t="shared" si="77"/>
        <v>OK</v>
      </c>
      <c r="T158" t="s">
        <v>99</v>
      </c>
      <c r="U158" t="str">
        <f t="shared" si="68"/>
        <v>Andhra Pradesh</v>
      </c>
      <c r="V158" t="s">
        <v>100</v>
      </c>
      <c r="W158" t="str">
        <f t="shared" si="69"/>
        <v>Vijayawada</v>
      </c>
      <c r="X158" t="str">
        <f t="shared" si="70"/>
        <v>Furniture</v>
      </c>
      <c r="Y158" t="s">
        <v>44</v>
      </c>
      <c r="Z158" t="s">
        <v>75</v>
      </c>
      <c r="AA158" t="str">
        <f t="shared" si="71"/>
        <v>Chairs</v>
      </c>
      <c r="AB158" t="s">
        <v>1411</v>
      </c>
      <c r="AC158" t="s">
        <v>55</v>
      </c>
      <c r="AD158" t="str">
        <f t="shared" si="89"/>
        <v>First Class</v>
      </c>
      <c r="AE158" t="str">
        <f t="shared" si="78"/>
        <v>OK</v>
      </c>
      <c r="AF158">
        <v>7</v>
      </c>
      <c r="AG158">
        <v>557.21</v>
      </c>
      <c r="AH158">
        <v>0.1</v>
      </c>
      <c r="AI158">
        <f t="shared" si="79"/>
        <v>0.1</v>
      </c>
      <c r="AJ158" t="str">
        <f t="shared" si="80"/>
        <v>OK</v>
      </c>
      <c r="AK158">
        <v>3510.42</v>
      </c>
      <c r="AL158">
        <v>2191.5</v>
      </c>
      <c r="AM158">
        <v>1213.48</v>
      </c>
      <c r="AN158" t="s">
        <v>33</v>
      </c>
      <c r="AO158" t="str">
        <f t="shared" si="72"/>
        <v>PAID</v>
      </c>
      <c r="AP158" t="str">
        <f t="shared" si="81"/>
        <v>OK</v>
      </c>
      <c r="AQ158" t="s">
        <v>34</v>
      </c>
      <c r="AR158" t="str">
        <f t="shared" si="73"/>
        <v>COMPLETED</v>
      </c>
      <c r="AS158" t="str">
        <f t="shared" si="82"/>
        <v>OK</v>
      </c>
      <c r="AT158">
        <f t="shared" si="83"/>
        <v>3510.4230000000002</v>
      </c>
      <c r="AU158">
        <f t="shared" si="84"/>
        <v>1318.9230000000002</v>
      </c>
      <c r="AV158" s="6">
        <f t="shared" si="85"/>
        <v>-0.67541774880121264</v>
      </c>
      <c r="AW158" t="str">
        <f t="shared" si="86"/>
        <v>CLEAN</v>
      </c>
      <c r="AX158" s="10" t="str">
        <f t="shared" si="87"/>
        <v>MATCH</v>
      </c>
      <c r="AY158" t="str">
        <f t="shared" si="88"/>
        <v>MISMATCH</v>
      </c>
    </row>
    <row r="159" spans="1:51">
      <c r="A159" t="s">
        <v>1407</v>
      </c>
      <c r="B159">
        <f t="shared" si="64"/>
        <v>2</v>
      </c>
      <c r="C159" t="s">
        <v>1408</v>
      </c>
      <c r="D159" s="3">
        <v>45522</v>
      </c>
      <c r="E159" t="str">
        <f t="shared" si="65"/>
        <v>2024/08/18</v>
      </c>
      <c r="F159" t="str">
        <f t="shared" si="74"/>
        <v>August</v>
      </c>
      <c r="G159">
        <f t="shared" si="75"/>
        <v>2024</v>
      </c>
      <c r="H159" t="s">
        <v>1409</v>
      </c>
      <c r="I159" s="4">
        <v>45528</v>
      </c>
      <c r="J159" s="8">
        <f t="shared" si="66"/>
        <v>6</v>
      </c>
      <c r="K159" s="8" t="str">
        <f t="shared" si="76"/>
        <v>OK</v>
      </c>
      <c r="L159" t="s">
        <v>1410</v>
      </c>
      <c r="M159" t="s">
        <v>60</v>
      </c>
      <c r="N159" t="str">
        <f t="shared" si="67"/>
        <v>Arjun Bose</v>
      </c>
      <c r="O159" t="s">
        <v>25</v>
      </c>
      <c r="P159" t="str">
        <f t="shared" si="90"/>
        <v>Consumer</v>
      </c>
      <c r="Q159" t="s">
        <v>61</v>
      </c>
      <c r="R159" t="str">
        <f t="shared" si="91"/>
        <v>South</v>
      </c>
      <c r="S159" t="str">
        <f t="shared" si="77"/>
        <v>OK</v>
      </c>
      <c r="T159" t="s">
        <v>99</v>
      </c>
      <c r="U159" t="str">
        <f t="shared" si="68"/>
        <v>Andhra Pradesh</v>
      </c>
      <c r="V159" t="s">
        <v>100</v>
      </c>
      <c r="W159" t="str">
        <f t="shared" si="69"/>
        <v>Vijayawada</v>
      </c>
      <c r="X159" t="str">
        <f t="shared" si="70"/>
        <v>Furniture</v>
      </c>
      <c r="Y159" t="s">
        <v>44</v>
      </c>
      <c r="Z159" t="s">
        <v>75</v>
      </c>
      <c r="AA159" t="str">
        <f t="shared" si="71"/>
        <v>Chairs</v>
      </c>
      <c r="AB159" t="s">
        <v>1411</v>
      </c>
      <c r="AC159" t="s">
        <v>55</v>
      </c>
      <c r="AD159" t="str">
        <f t="shared" si="89"/>
        <v>First Class</v>
      </c>
      <c r="AE159" t="str">
        <f t="shared" si="78"/>
        <v>OK</v>
      </c>
      <c r="AF159">
        <v>7</v>
      </c>
      <c r="AG159">
        <v>557.21</v>
      </c>
      <c r="AH159">
        <v>0.1</v>
      </c>
      <c r="AI159">
        <f t="shared" si="79"/>
        <v>0.1</v>
      </c>
      <c r="AJ159" t="str">
        <f t="shared" si="80"/>
        <v>OK</v>
      </c>
      <c r="AK159">
        <v>3797.79</v>
      </c>
      <c r="AL159">
        <v>2191.5</v>
      </c>
      <c r="AM159">
        <v>1213.48</v>
      </c>
      <c r="AN159" t="s">
        <v>33</v>
      </c>
      <c r="AO159" t="str">
        <f t="shared" si="72"/>
        <v>PAID</v>
      </c>
      <c r="AP159" t="str">
        <f t="shared" si="81"/>
        <v>OK</v>
      </c>
      <c r="AQ159" t="s">
        <v>124</v>
      </c>
      <c r="AR159" t="str">
        <f t="shared" si="73"/>
        <v>RETURNED</v>
      </c>
      <c r="AS159" t="str">
        <f t="shared" si="82"/>
        <v>RETURNED_ORDER</v>
      </c>
      <c r="AT159">
        <f t="shared" si="83"/>
        <v>3510.4230000000002</v>
      </c>
      <c r="AU159">
        <f t="shared" si="84"/>
        <v>1318.9230000000002</v>
      </c>
      <c r="AV159" s="6">
        <f t="shared" si="85"/>
        <v>1.6340592002730157</v>
      </c>
      <c r="AW159" t="str">
        <f t="shared" si="86"/>
        <v>CLEAN</v>
      </c>
      <c r="AX159" s="10" t="str">
        <f t="shared" si="87"/>
        <v>MISMATCH</v>
      </c>
      <c r="AY159" t="str">
        <f t="shared" si="88"/>
        <v>MISMATCH</v>
      </c>
    </row>
    <row r="160" spans="1:51">
      <c r="A160" t="s">
        <v>1417</v>
      </c>
      <c r="B160">
        <f t="shared" si="64"/>
        <v>1</v>
      </c>
      <c r="C160" t="s">
        <v>1418</v>
      </c>
      <c r="D160" s="3">
        <v>45389</v>
      </c>
      <c r="E160" t="str">
        <f t="shared" si="65"/>
        <v>2024/04/07</v>
      </c>
      <c r="F160" t="str">
        <f t="shared" si="74"/>
        <v>April</v>
      </c>
      <c r="G160">
        <f t="shared" si="75"/>
        <v>2024</v>
      </c>
      <c r="H160" t="s">
        <v>1419</v>
      </c>
      <c r="I160" s="4">
        <v>45396</v>
      </c>
      <c r="J160" s="8">
        <f t="shared" si="66"/>
        <v>7</v>
      </c>
      <c r="K160" s="8" t="str">
        <f t="shared" si="76"/>
        <v>OK</v>
      </c>
      <c r="L160" t="s">
        <v>1420</v>
      </c>
      <c r="M160" t="s">
        <v>179</v>
      </c>
      <c r="N160" t="str">
        <f t="shared" si="67"/>
        <v>Rohan Mehta</v>
      </c>
      <c r="O160" t="s">
        <v>25</v>
      </c>
      <c r="P160" t="str">
        <f t="shared" si="90"/>
        <v>Consumer</v>
      </c>
      <c r="Q160" t="s">
        <v>61</v>
      </c>
      <c r="R160" t="str">
        <f t="shared" si="91"/>
        <v>South</v>
      </c>
      <c r="S160" t="str">
        <f t="shared" si="77"/>
        <v>OK</v>
      </c>
      <c r="T160" t="s">
        <v>241</v>
      </c>
      <c r="U160" t="str">
        <f t="shared" si="68"/>
        <v>Kerala</v>
      </c>
      <c r="V160" t="s">
        <v>242</v>
      </c>
      <c r="W160" t="str">
        <f t="shared" si="69"/>
        <v>Kochi</v>
      </c>
      <c r="X160" t="str">
        <f t="shared" si="70"/>
        <v>Technology</v>
      </c>
      <c r="Y160" t="s">
        <v>85</v>
      </c>
      <c r="Z160" t="s">
        <v>93</v>
      </c>
      <c r="AA160" t="str">
        <f t="shared" si="71"/>
        <v>Copiers</v>
      </c>
      <c r="AB160" t="s">
        <v>1421</v>
      </c>
      <c r="AC160" t="s">
        <v>66</v>
      </c>
      <c r="AD160" t="str">
        <f t="shared" si="89"/>
        <v>Standard Class</v>
      </c>
      <c r="AE160" t="str">
        <f t="shared" si="78"/>
        <v>OK</v>
      </c>
      <c r="AF160">
        <v>6</v>
      </c>
      <c r="AG160">
        <v>4246.71</v>
      </c>
      <c r="AH160">
        <v>0.15</v>
      </c>
      <c r="AI160">
        <f t="shared" si="79"/>
        <v>0.15</v>
      </c>
      <c r="AJ160" t="str">
        <f t="shared" si="80"/>
        <v>OK</v>
      </c>
      <c r="AK160">
        <v>21658.22</v>
      </c>
      <c r="AL160">
        <v>15490.69</v>
      </c>
      <c r="AM160">
        <v>6167.53</v>
      </c>
      <c r="AN160" t="s">
        <v>199</v>
      </c>
      <c r="AO160" t="str">
        <f t="shared" si="72"/>
        <v>FAILED</v>
      </c>
      <c r="AP160" t="str">
        <f t="shared" si="81"/>
        <v>EXCLUDE_FROM_SALES</v>
      </c>
      <c r="AQ160" t="s">
        <v>124</v>
      </c>
      <c r="AR160" t="str">
        <f t="shared" si="73"/>
        <v>RETURNED</v>
      </c>
      <c r="AS160" t="str">
        <f t="shared" si="82"/>
        <v>RETURNED_ORDER</v>
      </c>
      <c r="AT160">
        <f t="shared" si="83"/>
        <v>21658.221000000001</v>
      </c>
      <c r="AU160">
        <f t="shared" si="84"/>
        <v>6167.5310000000009</v>
      </c>
      <c r="AV160" s="6">
        <f t="shared" si="85"/>
        <v>0.31626558801851729</v>
      </c>
      <c r="AW160" t="str">
        <f t="shared" si="86"/>
        <v>CLEAN</v>
      </c>
      <c r="AX160" s="10" t="str">
        <f t="shared" si="87"/>
        <v>MATCH</v>
      </c>
      <c r="AY160" t="str">
        <f t="shared" si="88"/>
        <v>MATCH</v>
      </c>
    </row>
    <row r="161" spans="1:51">
      <c r="A161" t="s">
        <v>1422</v>
      </c>
      <c r="B161">
        <f t="shared" si="64"/>
        <v>1</v>
      </c>
      <c r="C161" t="s">
        <v>676</v>
      </c>
      <c r="D161" s="3">
        <v>45337</v>
      </c>
      <c r="E161" t="str">
        <f t="shared" si="65"/>
        <v>2024/02/15</v>
      </c>
      <c r="F161" t="str">
        <f t="shared" si="74"/>
        <v>February</v>
      </c>
      <c r="G161">
        <f t="shared" si="75"/>
        <v>2024</v>
      </c>
      <c r="H161" t="s">
        <v>1423</v>
      </c>
      <c r="I161" s="4">
        <v>45344</v>
      </c>
      <c r="J161" s="8">
        <f t="shared" si="66"/>
        <v>7</v>
      </c>
      <c r="K161" s="8" t="str">
        <f t="shared" si="76"/>
        <v>OK</v>
      </c>
      <c r="L161" t="s">
        <v>1424</v>
      </c>
      <c r="M161" t="s">
        <v>141</v>
      </c>
      <c r="N161" t="str">
        <f t="shared" si="67"/>
        <v>Priya Menon</v>
      </c>
      <c r="O161" t="s">
        <v>40</v>
      </c>
      <c r="P161" t="str">
        <f t="shared" si="90"/>
        <v>Small Business</v>
      </c>
      <c r="Q161" t="s">
        <v>41</v>
      </c>
      <c r="R161" t="str">
        <f t="shared" si="91"/>
        <v>East</v>
      </c>
      <c r="S161" t="str">
        <f t="shared" si="77"/>
        <v>OK</v>
      </c>
      <c r="T161" t="s">
        <v>120</v>
      </c>
      <c r="U161" t="str">
        <f t="shared" si="68"/>
        <v>West Bengal</v>
      </c>
      <c r="V161" t="s">
        <v>121</v>
      </c>
      <c r="W161" t="str">
        <f t="shared" si="69"/>
        <v>Kolkata</v>
      </c>
      <c r="X161" t="str">
        <f t="shared" si="70"/>
        <v>Furniture</v>
      </c>
      <c r="Y161" t="s">
        <v>44</v>
      </c>
      <c r="Z161" t="s">
        <v>64</v>
      </c>
      <c r="AA161" t="str">
        <f t="shared" si="71"/>
        <v>Furnishings</v>
      </c>
      <c r="AB161" t="s">
        <v>1425</v>
      </c>
      <c r="AC161" t="s">
        <v>47</v>
      </c>
      <c r="AD161" t="str">
        <f t="shared" si="89"/>
        <v>Same Day</v>
      </c>
      <c r="AE161" t="str">
        <f t="shared" si="78"/>
        <v>OK</v>
      </c>
      <c r="AF161">
        <v>1</v>
      </c>
      <c r="AG161">
        <v>980.51</v>
      </c>
      <c r="AH161">
        <v>0</v>
      </c>
      <c r="AI161">
        <f t="shared" si="79"/>
        <v>0</v>
      </c>
      <c r="AJ161" t="str">
        <f t="shared" si="80"/>
        <v>OK</v>
      </c>
      <c r="AK161">
        <v>980.51</v>
      </c>
      <c r="AL161">
        <v>660.92</v>
      </c>
      <c r="AM161">
        <v>319.58999999999997</v>
      </c>
      <c r="AN161" t="s">
        <v>33</v>
      </c>
      <c r="AO161" t="str">
        <f t="shared" si="72"/>
        <v>PAID</v>
      </c>
      <c r="AP161" t="str">
        <f t="shared" si="81"/>
        <v>OK</v>
      </c>
      <c r="AQ161" t="s">
        <v>34</v>
      </c>
      <c r="AR161" t="str">
        <f t="shared" si="73"/>
        <v>COMPLETED</v>
      </c>
      <c r="AS161" t="str">
        <f t="shared" si="82"/>
        <v>OK</v>
      </c>
      <c r="AT161">
        <f t="shared" si="83"/>
        <v>980.51</v>
      </c>
      <c r="AU161">
        <f t="shared" si="84"/>
        <v>319.59000000000003</v>
      </c>
      <c r="AV161" s="6">
        <f t="shared" si="85"/>
        <v>0.74367421035991454</v>
      </c>
      <c r="AW161" t="str">
        <f t="shared" si="86"/>
        <v>CLEAN</v>
      </c>
      <c r="AX161" s="10" t="str">
        <f t="shared" si="87"/>
        <v>MATCH</v>
      </c>
      <c r="AY161" t="str">
        <f t="shared" si="88"/>
        <v>MATCH</v>
      </c>
    </row>
    <row r="162" spans="1:51">
      <c r="A162" t="s">
        <v>1426</v>
      </c>
      <c r="B162">
        <f t="shared" si="64"/>
        <v>2</v>
      </c>
      <c r="C162" t="s">
        <v>1057</v>
      </c>
      <c r="D162" s="3">
        <v>45313</v>
      </c>
      <c r="E162" t="str">
        <f t="shared" si="65"/>
        <v>2024/01/22</v>
      </c>
      <c r="F162" t="str">
        <f t="shared" si="74"/>
        <v>January</v>
      </c>
      <c r="G162">
        <f t="shared" si="75"/>
        <v>2024</v>
      </c>
      <c r="H162" t="s">
        <v>1427</v>
      </c>
      <c r="I162" s="4">
        <v>45314</v>
      </c>
      <c r="J162" s="8">
        <f t="shared" si="66"/>
        <v>1</v>
      </c>
      <c r="K162" s="8" t="str">
        <f t="shared" si="76"/>
        <v>OK</v>
      </c>
      <c r="L162" t="s">
        <v>1428</v>
      </c>
      <c r="M162" t="s">
        <v>161</v>
      </c>
      <c r="N162" t="str">
        <f t="shared" si="67"/>
        <v>Aarav Sharma</v>
      </c>
      <c r="O162" t="s">
        <v>40</v>
      </c>
      <c r="P162" t="str">
        <f t="shared" si="90"/>
        <v>Small Business</v>
      </c>
      <c r="R162" t="s">
        <v>4109</v>
      </c>
      <c r="S162" t="str">
        <f t="shared" si="77"/>
        <v>MISSING_REGION</v>
      </c>
      <c r="T162" t="s">
        <v>215</v>
      </c>
      <c r="U162" t="str">
        <f t="shared" si="68"/>
        <v>Assam</v>
      </c>
      <c r="V162" t="s">
        <v>216</v>
      </c>
      <c r="W162" t="str">
        <f t="shared" si="69"/>
        <v>Guwahati</v>
      </c>
      <c r="X162" t="str">
        <f t="shared" si="70"/>
        <v>Furniture</v>
      </c>
      <c r="Y162" t="s">
        <v>44</v>
      </c>
      <c r="Z162" t="s">
        <v>75</v>
      </c>
      <c r="AA162" t="str">
        <f t="shared" si="71"/>
        <v>Chairs</v>
      </c>
      <c r="AB162" t="s">
        <v>1429</v>
      </c>
      <c r="AC162" t="s">
        <v>32</v>
      </c>
      <c r="AD162" t="str">
        <f t="shared" si="89"/>
        <v>Second Class</v>
      </c>
      <c r="AE162" t="str">
        <f t="shared" si="78"/>
        <v>OK</v>
      </c>
      <c r="AF162">
        <v>6</v>
      </c>
      <c r="AG162">
        <v>3391.53</v>
      </c>
      <c r="AH162">
        <v>-0.14000000000000001</v>
      </c>
      <c r="AI162">
        <f t="shared" si="79"/>
        <v>-0.14000000000000001</v>
      </c>
      <c r="AJ162" t="str">
        <f t="shared" si="80"/>
        <v>Invalid Negative Discount</v>
      </c>
      <c r="AK162">
        <v>15261.89</v>
      </c>
      <c r="AL162">
        <v>8413.5300000000007</v>
      </c>
      <c r="AM162">
        <v>6848.36</v>
      </c>
      <c r="AN162" t="s">
        <v>33</v>
      </c>
      <c r="AO162" t="str">
        <f t="shared" si="72"/>
        <v>PAID</v>
      </c>
      <c r="AP162" t="str">
        <f t="shared" si="81"/>
        <v>OK</v>
      </c>
      <c r="AQ162" t="s">
        <v>34</v>
      </c>
      <c r="AR162" t="str">
        <f t="shared" si="73"/>
        <v>COMPLETED</v>
      </c>
      <c r="AS162" t="str">
        <f t="shared" si="82"/>
        <v>OK</v>
      </c>
      <c r="AT162" t="str">
        <f t="shared" si="83"/>
        <v>INVAILD</v>
      </c>
      <c r="AU162" t="str">
        <f t="shared" si="84"/>
        <v>INVAILD</v>
      </c>
      <c r="AW162" t="str">
        <f t="shared" si="86"/>
        <v>INVALID</v>
      </c>
      <c r="AX162" s="10" t="s">
        <v>4116</v>
      </c>
      <c r="AY162" t="s">
        <v>4116</v>
      </c>
    </row>
    <row r="163" spans="1:51">
      <c r="A163" t="s">
        <v>1426</v>
      </c>
      <c r="B163">
        <f t="shared" si="64"/>
        <v>2</v>
      </c>
      <c r="C163" t="s">
        <v>1057</v>
      </c>
      <c r="D163" s="3">
        <v>45313</v>
      </c>
      <c r="E163" t="str">
        <f t="shared" si="65"/>
        <v>2024/01/22</v>
      </c>
      <c r="F163" t="str">
        <f t="shared" si="74"/>
        <v>January</v>
      </c>
      <c r="G163">
        <f t="shared" si="75"/>
        <v>2024</v>
      </c>
      <c r="H163" t="s">
        <v>1427</v>
      </c>
      <c r="I163" s="4">
        <v>45314</v>
      </c>
      <c r="J163" s="8">
        <f t="shared" si="66"/>
        <v>1</v>
      </c>
      <c r="K163" s="8" t="str">
        <f t="shared" si="76"/>
        <v>OK</v>
      </c>
      <c r="L163" t="s">
        <v>1428</v>
      </c>
      <c r="M163" t="s">
        <v>161</v>
      </c>
      <c r="N163" t="str">
        <f t="shared" si="67"/>
        <v>Aarav Sharma</v>
      </c>
      <c r="O163" t="s">
        <v>40</v>
      </c>
      <c r="P163" t="str">
        <f t="shared" si="90"/>
        <v>Small Business</v>
      </c>
      <c r="R163" t="s">
        <v>4109</v>
      </c>
      <c r="S163" t="str">
        <f t="shared" si="77"/>
        <v>MISSING_REGION</v>
      </c>
      <c r="T163" t="s">
        <v>215</v>
      </c>
      <c r="U163" t="str">
        <f t="shared" si="68"/>
        <v>Assam</v>
      </c>
      <c r="V163" t="s">
        <v>216</v>
      </c>
      <c r="W163" t="str">
        <f t="shared" si="69"/>
        <v>Guwahati</v>
      </c>
      <c r="X163" t="str">
        <f t="shared" si="70"/>
        <v>Furniture</v>
      </c>
      <c r="Y163" t="s">
        <v>44</v>
      </c>
      <c r="Z163" t="s">
        <v>75</v>
      </c>
      <c r="AA163" t="str">
        <f t="shared" si="71"/>
        <v>Chairs</v>
      </c>
      <c r="AB163" t="s">
        <v>1429</v>
      </c>
      <c r="AC163" t="s">
        <v>32</v>
      </c>
      <c r="AD163" t="str">
        <f t="shared" si="89"/>
        <v>Second Class</v>
      </c>
      <c r="AE163" t="str">
        <f t="shared" si="78"/>
        <v>OK</v>
      </c>
      <c r="AF163">
        <v>6</v>
      </c>
      <c r="AG163">
        <v>3391.53</v>
      </c>
      <c r="AH163">
        <v>-0.14000000000000001</v>
      </c>
      <c r="AI163">
        <f t="shared" si="79"/>
        <v>-0.14000000000000001</v>
      </c>
      <c r="AJ163" t="str">
        <f t="shared" si="80"/>
        <v>Invalid Negative Discount</v>
      </c>
      <c r="AK163">
        <v>15261.89</v>
      </c>
      <c r="AL163">
        <v>8413.5300000000007</v>
      </c>
      <c r="AM163">
        <v>6848.36</v>
      </c>
      <c r="AN163" t="s">
        <v>33</v>
      </c>
      <c r="AO163" t="str">
        <f t="shared" si="72"/>
        <v>PAID</v>
      </c>
      <c r="AP163" t="str">
        <f t="shared" si="81"/>
        <v>OK</v>
      </c>
      <c r="AQ163" t="s">
        <v>34</v>
      </c>
      <c r="AR163" t="str">
        <f t="shared" si="73"/>
        <v>COMPLETED</v>
      </c>
      <c r="AS163" t="str">
        <f t="shared" si="82"/>
        <v>OK</v>
      </c>
      <c r="AT163" t="str">
        <f t="shared" si="83"/>
        <v>INVAILD</v>
      </c>
      <c r="AU163" t="str">
        <f t="shared" si="84"/>
        <v>INVAILD</v>
      </c>
      <c r="AW163" t="str">
        <f t="shared" si="86"/>
        <v>INVALID</v>
      </c>
      <c r="AX163" s="10" t="s">
        <v>4116</v>
      </c>
      <c r="AY163" t="s">
        <v>4116</v>
      </c>
    </row>
    <row r="164" spans="1:51">
      <c r="A164" t="s">
        <v>1437</v>
      </c>
      <c r="B164">
        <f t="shared" si="64"/>
        <v>1</v>
      </c>
      <c r="C164" t="s">
        <v>1438</v>
      </c>
      <c r="D164" s="3">
        <v>45539</v>
      </c>
      <c r="E164" t="str">
        <f t="shared" si="65"/>
        <v>2024/09/04</v>
      </c>
      <c r="F164" t="str">
        <f t="shared" si="74"/>
        <v>September</v>
      </c>
      <c r="G164">
        <f t="shared" si="75"/>
        <v>2024</v>
      </c>
      <c r="H164" t="s">
        <v>1439</v>
      </c>
      <c r="I164" s="4">
        <v>45392</v>
      </c>
      <c r="J164" s="8">
        <f t="shared" si="66"/>
        <v>-147</v>
      </c>
      <c r="K164" s="8" t="str">
        <f t="shared" si="76"/>
        <v>INVAILD_SHIPPING</v>
      </c>
      <c r="L164" t="s">
        <v>1440</v>
      </c>
      <c r="M164" t="s">
        <v>179</v>
      </c>
      <c r="N164" t="str">
        <f t="shared" si="67"/>
        <v>Rohan Mehta</v>
      </c>
      <c r="O164" t="s">
        <v>40</v>
      </c>
      <c r="P164" t="str">
        <f t="shared" si="90"/>
        <v>Small Business</v>
      </c>
      <c r="Q164" t="s">
        <v>72</v>
      </c>
      <c r="R164" t="str">
        <f t="shared" ref="R164:R195" si="92">PROPER(TRIM(SUBSTITUTE(Q164,CHAR(160)," ")))</f>
        <v>West</v>
      </c>
      <c r="S164" t="str">
        <f t="shared" si="77"/>
        <v>OK</v>
      </c>
      <c r="T164" t="s">
        <v>73</v>
      </c>
      <c r="U164" t="str">
        <f t="shared" si="68"/>
        <v>Maharashtra</v>
      </c>
      <c r="V164" t="s">
        <v>74</v>
      </c>
      <c r="W164" t="str">
        <f t="shared" si="69"/>
        <v>Mumbai</v>
      </c>
      <c r="X164" t="str">
        <f t="shared" si="70"/>
        <v>Office Supplies</v>
      </c>
      <c r="Y164" t="s">
        <v>29</v>
      </c>
      <c r="Z164" t="s">
        <v>155</v>
      </c>
      <c r="AA164" t="str">
        <f t="shared" si="71"/>
        <v>Storage</v>
      </c>
      <c r="AB164" t="s">
        <v>1441</v>
      </c>
      <c r="AC164" t="s">
        <v>55</v>
      </c>
      <c r="AD164" t="str">
        <f t="shared" si="89"/>
        <v>First Class</v>
      </c>
      <c r="AE164" t="str">
        <f t="shared" si="78"/>
        <v>OK</v>
      </c>
      <c r="AF164">
        <v>1</v>
      </c>
      <c r="AG164">
        <v>4359.12</v>
      </c>
      <c r="AH164">
        <v>0.05</v>
      </c>
      <c r="AI164">
        <f t="shared" si="79"/>
        <v>0.05</v>
      </c>
      <c r="AJ164" t="str">
        <f t="shared" si="80"/>
        <v>OK</v>
      </c>
      <c r="AK164">
        <v>4141.16</v>
      </c>
      <c r="AL164">
        <v>2754.17</v>
      </c>
      <c r="AM164">
        <v>1386.99</v>
      </c>
      <c r="AN164" t="s">
        <v>33</v>
      </c>
      <c r="AO164" t="str">
        <f t="shared" si="72"/>
        <v>PAID</v>
      </c>
      <c r="AP164" t="str">
        <f t="shared" si="81"/>
        <v>OK</v>
      </c>
      <c r="AQ164" t="s">
        <v>34</v>
      </c>
      <c r="AR164" t="str">
        <f t="shared" si="73"/>
        <v>COMPLETED</v>
      </c>
      <c r="AS164" t="str">
        <f t="shared" si="82"/>
        <v>OK</v>
      </c>
      <c r="AT164">
        <f t="shared" si="83"/>
        <v>4141.1639999999998</v>
      </c>
      <c r="AU164">
        <f t="shared" si="84"/>
        <v>1386.9939999999997</v>
      </c>
      <c r="AV164" s="6">
        <f t="shared" si="85"/>
        <v>0.27997393969425027</v>
      </c>
      <c r="AW164" t="str">
        <f t="shared" si="86"/>
        <v>CLEAN</v>
      </c>
      <c r="AX164" s="10" t="str">
        <f t="shared" si="87"/>
        <v>MATCH</v>
      </c>
      <c r="AY164" t="str">
        <f t="shared" si="88"/>
        <v>MATCH</v>
      </c>
    </row>
    <row r="165" spans="1:51">
      <c r="A165" t="s">
        <v>1442</v>
      </c>
      <c r="B165">
        <f t="shared" si="64"/>
        <v>2</v>
      </c>
      <c r="C165" t="s">
        <v>1443</v>
      </c>
      <c r="D165" s="3">
        <v>45649</v>
      </c>
      <c r="E165" t="str">
        <f t="shared" si="65"/>
        <v>2024/12/23</v>
      </c>
      <c r="F165" t="str">
        <f t="shared" si="74"/>
        <v>December</v>
      </c>
      <c r="G165">
        <f t="shared" si="75"/>
        <v>2024</v>
      </c>
      <c r="H165" t="s">
        <v>1444</v>
      </c>
      <c r="I165" s="4">
        <v>45652</v>
      </c>
      <c r="J165" s="8">
        <f t="shared" si="66"/>
        <v>3</v>
      </c>
      <c r="K165" s="8" t="str">
        <f t="shared" si="76"/>
        <v>OK</v>
      </c>
      <c r="L165" t="s">
        <v>1445</v>
      </c>
      <c r="M165" t="s">
        <v>106</v>
      </c>
      <c r="N165" t="str">
        <f t="shared" si="67"/>
        <v>Aditi Sen</v>
      </c>
      <c r="O165" t="s">
        <v>25</v>
      </c>
      <c r="P165" t="str">
        <f t="shared" si="90"/>
        <v>Consumer</v>
      </c>
      <c r="Q165" t="s">
        <v>61</v>
      </c>
      <c r="R165" t="str">
        <f t="shared" si="92"/>
        <v>South</v>
      </c>
      <c r="S165" t="str">
        <f t="shared" si="77"/>
        <v>OK</v>
      </c>
      <c r="T165" t="s">
        <v>228</v>
      </c>
      <c r="U165" t="str">
        <f t="shared" si="68"/>
        <v>Karnataka</v>
      </c>
      <c r="V165" t="s">
        <v>229</v>
      </c>
      <c r="W165" t="str">
        <f t="shared" si="69"/>
        <v>Bengaluru</v>
      </c>
      <c r="X165" t="str">
        <f t="shared" si="70"/>
        <v>Technology</v>
      </c>
      <c r="Y165" t="s">
        <v>85</v>
      </c>
      <c r="Z165" t="s">
        <v>93</v>
      </c>
      <c r="AA165" t="str">
        <f t="shared" si="71"/>
        <v>Copiers</v>
      </c>
      <c r="AB165" t="s">
        <v>1446</v>
      </c>
      <c r="AC165" t="s">
        <v>66</v>
      </c>
      <c r="AD165" t="str">
        <f t="shared" si="89"/>
        <v>Standard Class</v>
      </c>
      <c r="AE165" t="str">
        <f t="shared" si="78"/>
        <v>OK</v>
      </c>
      <c r="AF165">
        <v>9</v>
      </c>
      <c r="AG165">
        <v>993.67</v>
      </c>
      <c r="AH165">
        <v>0</v>
      </c>
      <c r="AI165">
        <f t="shared" si="79"/>
        <v>0</v>
      </c>
      <c r="AJ165" t="str">
        <f t="shared" si="80"/>
        <v>OK</v>
      </c>
      <c r="AK165">
        <v>8943.0300000000007</v>
      </c>
      <c r="AL165">
        <v>5165.38</v>
      </c>
      <c r="AM165">
        <v>3777.65</v>
      </c>
      <c r="AN165" t="s">
        <v>33</v>
      </c>
      <c r="AO165" t="str">
        <f t="shared" si="72"/>
        <v>PAID</v>
      </c>
      <c r="AP165" t="str">
        <f t="shared" si="81"/>
        <v>OK</v>
      </c>
      <c r="AQ165" t="s">
        <v>34</v>
      </c>
      <c r="AR165" t="str">
        <f t="shared" si="73"/>
        <v>COMPLETED</v>
      </c>
      <c r="AS165" t="str">
        <f t="shared" si="82"/>
        <v>OK</v>
      </c>
      <c r="AT165">
        <f t="shared" si="83"/>
        <v>8943.0299999999988</v>
      </c>
      <c r="AU165">
        <f t="shared" si="84"/>
        <v>3777.6499999999987</v>
      </c>
      <c r="AV165" s="6">
        <f t="shared" si="85"/>
        <v>0.30757047667289511</v>
      </c>
      <c r="AW165" t="str">
        <f t="shared" si="86"/>
        <v>CLEAN</v>
      </c>
      <c r="AX165" s="10" t="str">
        <f t="shared" si="87"/>
        <v>MATCH</v>
      </c>
      <c r="AY165" t="str">
        <f t="shared" si="88"/>
        <v>MATCH</v>
      </c>
    </row>
    <row r="166" spans="1:51">
      <c r="A166" t="s">
        <v>1442</v>
      </c>
      <c r="B166">
        <f t="shared" si="64"/>
        <v>2</v>
      </c>
      <c r="C166" t="s">
        <v>1443</v>
      </c>
      <c r="D166" s="3">
        <v>45649</v>
      </c>
      <c r="E166" t="str">
        <f t="shared" si="65"/>
        <v>2024/12/23</v>
      </c>
      <c r="F166" t="str">
        <f t="shared" si="74"/>
        <v>December</v>
      </c>
      <c r="G166">
        <f t="shared" si="75"/>
        <v>2024</v>
      </c>
      <c r="H166" t="s">
        <v>1444</v>
      </c>
      <c r="I166" s="4">
        <v>45652</v>
      </c>
      <c r="J166" s="8">
        <f t="shared" si="66"/>
        <v>3</v>
      </c>
      <c r="K166" s="8" t="str">
        <f t="shared" si="76"/>
        <v>OK</v>
      </c>
      <c r="L166" t="s">
        <v>1445</v>
      </c>
      <c r="M166" t="s">
        <v>106</v>
      </c>
      <c r="N166" t="str">
        <f t="shared" si="67"/>
        <v>Aditi Sen</v>
      </c>
      <c r="O166" t="s">
        <v>25</v>
      </c>
      <c r="P166" t="str">
        <f t="shared" si="90"/>
        <v>Consumer</v>
      </c>
      <c r="Q166" t="s">
        <v>61</v>
      </c>
      <c r="R166" t="str">
        <f t="shared" si="92"/>
        <v>South</v>
      </c>
      <c r="S166" t="str">
        <f t="shared" si="77"/>
        <v>OK</v>
      </c>
      <c r="T166" t="s">
        <v>228</v>
      </c>
      <c r="U166" t="str">
        <f t="shared" si="68"/>
        <v>Karnataka</v>
      </c>
      <c r="V166" t="s">
        <v>229</v>
      </c>
      <c r="W166" t="str">
        <f t="shared" si="69"/>
        <v>Bengaluru</v>
      </c>
      <c r="X166" t="str">
        <f t="shared" si="70"/>
        <v>Technology</v>
      </c>
      <c r="Y166" t="s">
        <v>85</v>
      </c>
      <c r="Z166" t="s">
        <v>93</v>
      </c>
      <c r="AA166" t="str">
        <f t="shared" si="71"/>
        <v>Copiers</v>
      </c>
      <c r="AB166" t="s">
        <v>1446</v>
      </c>
      <c r="AC166" t="s">
        <v>66</v>
      </c>
      <c r="AD166" t="str">
        <f t="shared" si="89"/>
        <v>Standard Class</v>
      </c>
      <c r="AE166" t="str">
        <f t="shared" si="78"/>
        <v>OK</v>
      </c>
      <c r="AF166">
        <v>9</v>
      </c>
      <c r="AG166">
        <v>993.67</v>
      </c>
      <c r="AH166">
        <v>0</v>
      </c>
      <c r="AI166">
        <f t="shared" si="79"/>
        <v>0</v>
      </c>
      <c r="AJ166" t="str">
        <f t="shared" si="80"/>
        <v>OK</v>
      </c>
      <c r="AK166">
        <v>8943.0300000000007</v>
      </c>
      <c r="AL166">
        <v>5165.38</v>
      </c>
      <c r="AM166">
        <v>3777.65</v>
      </c>
      <c r="AN166" t="s">
        <v>33</v>
      </c>
      <c r="AO166" t="str">
        <f t="shared" si="72"/>
        <v>PAID</v>
      </c>
      <c r="AP166" t="str">
        <f t="shared" si="81"/>
        <v>OK</v>
      </c>
      <c r="AQ166" t="s">
        <v>34</v>
      </c>
      <c r="AR166" t="str">
        <f t="shared" si="73"/>
        <v>COMPLETED</v>
      </c>
      <c r="AS166" t="str">
        <f t="shared" si="82"/>
        <v>OK</v>
      </c>
      <c r="AT166">
        <f t="shared" si="83"/>
        <v>8943.0299999999988</v>
      </c>
      <c r="AU166">
        <f t="shared" si="84"/>
        <v>3777.6499999999987</v>
      </c>
      <c r="AV166" s="6">
        <f t="shared" si="85"/>
        <v>1.2740648303762817E-2</v>
      </c>
      <c r="AW166" t="str">
        <f t="shared" si="86"/>
        <v>CLEAN</v>
      </c>
      <c r="AX166" s="10" t="str">
        <f t="shared" si="87"/>
        <v>MATCH</v>
      </c>
      <c r="AY166" t="str">
        <f t="shared" si="88"/>
        <v>MATCH</v>
      </c>
    </row>
    <row r="167" spans="1:51">
      <c r="A167" t="s">
        <v>1452</v>
      </c>
      <c r="B167">
        <f t="shared" si="64"/>
        <v>1</v>
      </c>
      <c r="C167" t="s">
        <v>1453</v>
      </c>
      <c r="D167" s="3">
        <v>45301</v>
      </c>
      <c r="E167" t="str">
        <f t="shared" si="65"/>
        <v>2024/01/10</v>
      </c>
      <c r="F167" t="str">
        <f t="shared" si="74"/>
        <v>January</v>
      </c>
      <c r="G167">
        <f t="shared" si="75"/>
        <v>2024</v>
      </c>
      <c r="H167" t="s">
        <v>1454</v>
      </c>
      <c r="I167" s="4">
        <v>45567</v>
      </c>
      <c r="J167" s="8">
        <f t="shared" si="66"/>
        <v>266</v>
      </c>
      <c r="K167" s="8" t="str">
        <f t="shared" si="76"/>
        <v>OK</v>
      </c>
      <c r="L167" t="s">
        <v>1455</v>
      </c>
      <c r="M167" t="s">
        <v>24</v>
      </c>
      <c r="N167" t="str">
        <f t="shared" si="67"/>
        <v>Karan Malhotra</v>
      </c>
      <c r="O167" t="s">
        <v>114</v>
      </c>
      <c r="P167" t="str">
        <f t="shared" si="90"/>
        <v>Home Office</v>
      </c>
      <c r="Q167" t="s">
        <v>41</v>
      </c>
      <c r="R167" t="str">
        <f t="shared" si="92"/>
        <v>East</v>
      </c>
      <c r="S167" t="str">
        <f t="shared" si="77"/>
        <v>OK</v>
      </c>
      <c r="T167" t="s">
        <v>215</v>
      </c>
      <c r="U167" t="str">
        <f t="shared" si="68"/>
        <v>Assam</v>
      </c>
      <c r="V167" t="s">
        <v>216</v>
      </c>
      <c r="W167" t="str">
        <f t="shared" si="69"/>
        <v>Guwahati</v>
      </c>
      <c r="X167" t="str">
        <f t="shared" si="70"/>
        <v>Furniture</v>
      </c>
      <c r="Y167" t="s">
        <v>44</v>
      </c>
      <c r="Z167" t="s">
        <v>45</v>
      </c>
      <c r="AA167" t="str">
        <f t="shared" si="71"/>
        <v>Tables</v>
      </c>
      <c r="AB167" t="s">
        <v>1456</v>
      </c>
      <c r="AC167" t="s">
        <v>32</v>
      </c>
      <c r="AD167" t="str">
        <f t="shared" si="89"/>
        <v>Second Class</v>
      </c>
      <c r="AE167" t="str">
        <f t="shared" si="78"/>
        <v>OK</v>
      </c>
      <c r="AF167">
        <v>2</v>
      </c>
      <c r="AG167">
        <v>2298</v>
      </c>
      <c r="AH167">
        <v>0</v>
      </c>
      <c r="AI167">
        <f t="shared" si="79"/>
        <v>0</v>
      </c>
      <c r="AJ167" t="str">
        <f t="shared" si="80"/>
        <v>OK</v>
      </c>
      <c r="AK167">
        <v>4596</v>
      </c>
      <c r="AL167">
        <v>3220.33</v>
      </c>
      <c r="AM167">
        <v>1375.67</v>
      </c>
      <c r="AN167" t="s">
        <v>33</v>
      </c>
      <c r="AO167" t="str">
        <f t="shared" si="72"/>
        <v>PAID</v>
      </c>
      <c r="AP167" t="str">
        <f t="shared" si="81"/>
        <v>OK</v>
      </c>
      <c r="AQ167" t="s">
        <v>34</v>
      </c>
      <c r="AR167" t="str">
        <f t="shared" si="73"/>
        <v>COMPLETED</v>
      </c>
      <c r="AS167" t="str">
        <f t="shared" si="82"/>
        <v>OK</v>
      </c>
      <c r="AT167">
        <f t="shared" si="83"/>
        <v>4596</v>
      </c>
      <c r="AU167">
        <f t="shared" si="84"/>
        <v>1375.67</v>
      </c>
      <c r="AV167" s="6">
        <f t="shared" si="85"/>
        <v>-0.1638411662315056</v>
      </c>
      <c r="AW167" t="str">
        <f t="shared" si="86"/>
        <v>CLEAN</v>
      </c>
      <c r="AX167" s="10" t="str">
        <f t="shared" si="87"/>
        <v>MATCH</v>
      </c>
      <c r="AY167" t="str">
        <f t="shared" si="88"/>
        <v>MATCH</v>
      </c>
    </row>
    <row r="168" spans="1:51">
      <c r="A168" t="s">
        <v>1462</v>
      </c>
      <c r="B168">
        <f t="shared" si="64"/>
        <v>1</v>
      </c>
      <c r="C168" t="s">
        <v>1463</v>
      </c>
      <c r="D168" s="3">
        <v>45516</v>
      </c>
      <c r="E168" t="str">
        <f t="shared" si="65"/>
        <v>2024/08/12</v>
      </c>
      <c r="F168" t="str">
        <f t="shared" si="74"/>
        <v>August</v>
      </c>
      <c r="G168">
        <f t="shared" si="75"/>
        <v>2024</v>
      </c>
      <c r="H168" t="s">
        <v>1464</v>
      </c>
      <c r="I168" s="4">
        <v>45640</v>
      </c>
      <c r="J168" s="8">
        <f t="shared" si="66"/>
        <v>124</v>
      </c>
      <c r="K168" s="8" t="str">
        <f t="shared" si="76"/>
        <v>OK</v>
      </c>
      <c r="L168" t="s">
        <v>1465</v>
      </c>
      <c r="M168" t="s">
        <v>24</v>
      </c>
      <c r="N168" t="str">
        <f t="shared" si="67"/>
        <v>Karan Malhotra</v>
      </c>
      <c r="O168" t="s">
        <v>25</v>
      </c>
      <c r="P168" t="str">
        <f t="shared" si="90"/>
        <v>Consumer</v>
      </c>
      <c r="Q168" t="s">
        <v>41</v>
      </c>
      <c r="R168" t="str">
        <f t="shared" si="92"/>
        <v>East</v>
      </c>
      <c r="S168" t="str">
        <f t="shared" si="77"/>
        <v>OK</v>
      </c>
      <c r="T168" t="s">
        <v>42</v>
      </c>
      <c r="U168" t="str">
        <f t="shared" si="68"/>
        <v>Odisha</v>
      </c>
      <c r="V168" t="s">
        <v>43</v>
      </c>
      <c r="W168" t="str">
        <f t="shared" si="69"/>
        <v>Bhubaneswar</v>
      </c>
      <c r="X168" t="str">
        <f t="shared" si="70"/>
        <v>Furniture</v>
      </c>
      <c r="Y168" t="s">
        <v>44</v>
      </c>
      <c r="Z168" t="s">
        <v>45</v>
      </c>
      <c r="AA168" t="str">
        <f t="shared" si="71"/>
        <v>Tables</v>
      </c>
      <c r="AB168" t="s">
        <v>1466</v>
      </c>
      <c r="AC168" t="s">
        <v>47</v>
      </c>
      <c r="AD168" t="str">
        <f t="shared" ref="AD168:AD199" si="93">PROPER(TRIM(SUBSTITUTE(AC168,CHAR(160)," ")))</f>
        <v>Same Day</v>
      </c>
      <c r="AE168" t="str">
        <f t="shared" si="78"/>
        <v>OK</v>
      </c>
      <c r="AF168">
        <v>3</v>
      </c>
      <c r="AG168">
        <v>1576.92</v>
      </c>
      <c r="AH168">
        <v>0</v>
      </c>
      <c r="AI168">
        <f t="shared" si="79"/>
        <v>0</v>
      </c>
      <c r="AJ168" t="str">
        <f t="shared" si="80"/>
        <v>OK</v>
      </c>
      <c r="AK168">
        <v>4730.76</v>
      </c>
      <c r="AL168">
        <v>3139.73</v>
      </c>
      <c r="AM168">
        <v>1591.03</v>
      </c>
      <c r="AN168" t="s">
        <v>33</v>
      </c>
      <c r="AO168" t="str">
        <f t="shared" si="72"/>
        <v>PAID</v>
      </c>
      <c r="AP168" t="str">
        <f t="shared" si="81"/>
        <v>OK</v>
      </c>
      <c r="AQ168" t="s">
        <v>124</v>
      </c>
      <c r="AR168" t="str">
        <f t="shared" si="73"/>
        <v>RETURNED</v>
      </c>
      <c r="AS168" t="str">
        <f t="shared" si="82"/>
        <v>RETURNED_ORDER</v>
      </c>
      <c r="AT168">
        <f t="shared" si="83"/>
        <v>4730.76</v>
      </c>
      <c r="AU168">
        <f t="shared" si="84"/>
        <v>1591.0300000000002</v>
      </c>
      <c r="AV168" s="6">
        <f t="shared" si="85"/>
        <v>0.19859811108574524</v>
      </c>
      <c r="AW168" t="str">
        <f t="shared" si="86"/>
        <v>CLEAN</v>
      </c>
      <c r="AX168" s="10" t="str">
        <f t="shared" si="87"/>
        <v>MATCH</v>
      </c>
      <c r="AY168" t="str">
        <f t="shared" si="88"/>
        <v>MATCH</v>
      </c>
    </row>
    <row r="169" spans="1:51">
      <c r="A169" t="s">
        <v>1472</v>
      </c>
      <c r="B169">
        <f t="shared" si="64"/>
        <v>1</v>
      </c>
      <c r="C169" t="s">
        <v>1473</v>
      </c>
      <c r="D169" s="3">
        <v>45350</v>
      </c>
      <c r="E169" t="str">
        <f t="shared" si="65"/>
        <v>2024/02/28</v>
      </c>
      <c r="F169" t="str">
        <f t="shared" si="74"/>
        <v>February</v>
      </c>
      <c r="G169">
        <f t="shared" si="75"/>
        <v>2024</v>
      </c>
      <c r="H169" t="s">
        <v>1474</v>
      </c>
      <c r="I169" s="4">
        <v>45353</v>
      </c>
      <c r="J169" s="8">
        <f t="shared" si="66"/>
        <v>3</v>
      </c>
      <c r="K169" s="8" t="str">
        <f t="shared" si="76"/>
        <v>OK</v>
      </c>
      <c r="L169" t="s">
        <v>1475</v>
      </c>
      <c r="M169" t="s">
        <v>141</v>
      </c>
      <c r="N169" t="str">
        <f t="shared" si="67"/>
        <v>Priya Menon</v>
      </c>
      <c r="O169" t="s">
        <v>40</v>
      </c>
      <c r="P169" t="str">
        <f t="shared" si="90"/>
        <v>Small Business</v>
      </c>
      <c r="Q169" t="s">
        <v>26</v>
      </c>
      <c r="R169" t="str">
        <f t="shared" si="92"/>
        <v>North</v>
      </c>
      <c r="S169" t="str">
        <f t="shared" si="77"/>
        <v>OK</v>
      </c>
      <c r="T169" t="s">
        <v>505</v>
      </c>
      <c r="U169" t="str">
        <f t="shared" si="68"/>
        <v>Delhi</v>
      </c>
      <c r="V169" t="s">
        <v>506</v>
      </c>
      <c r="W169" t="str">
        <f t="shared" si="69"/>
        <v>New Delhi</v>
      </c>
      <c r="X169" t="str">
        <f t="shared" si="70"/>
        <v>Furniture</v>
      </c>
      <c r="Y169" t="s">
        <v>44</v>
      </c>
      <c r="Z169" t="s">
        <v>64</v>
      </c>
      <c r="AA169" t="str">
        <f t="shared" si="71"/>
        <v>Furnishings</v>
      </c>
      <c r="AB169" t="s">
        <v>1476</v>
      </c>
      <c r="AC169" t="s">
        <v>55</v>
      </c>
      <c r="AD169" t="str">
        <f t="shared" si="93"/>
        <v>First Class</v>
      </c>
      <c r="AE169" t="str">
        <f t="shared" si="78"/>
        <v>OK</v>
      </c>
      <c r="AF169">
        <v>7</v>
      </c>
      <c r="AG169">
        <v>701.8</v>
      </c>
      <c r="AH169">
        <v>0.1</v>
      </c>
      <c r="AI169">
        <f t="shared" si="79"/>
        <v>0.1</v>
      </c>
      <c r="AJ169" t="str">
        <f t="shared" si="80"/>
        <v>OK</v>
      </c>
      <c r="AK169">
        <v>4421.34</v>
      </c>
      <c r="AL169">
        <v>2489.98</v>
      </c>
      <c r="AM169">
        <v>1931.36</v>
      </c>
      <c r="AN169" t="s">
        <v>136</v>
      </c>
      <c r="AO169" t="str">
        <f t="shared" si="72"/>
        <v>PENDING</v>
      </c>
      <c r="AP169" t="str">
        <f t="shared" si="81"/>
        <v>OK</v>
      </c>
      <c r="AQ169" t="s">
        <v>124</v>
      </c>
      <c r="AR169" t="str">
        <f t="shared" si="73"/>
        <v>RETURNED</v>
      </c>
      <c r="AS169" t="str">
        <f t="shared" si="82"/>
        <v>RETURNED_ORDER</v>
      </c>
      <c r="AT169">
        <f t="shared" si="83"/>
        <v>4421.3399999999992</v>
      </c>
      <c r="AU169">
        <f t="shared" si="84"/>
        <v>1931.3599999999992</v>
      </c>
      <c r="AV169" s="6">
        <f t="shared" si="85"/>
        <v>0.6696426875110264</v>
      </c>
      <c r="AW169" t="str">
        <f t="shared" si="86"/>
        <v>CLEAN</v>
      </c>
      <c r="AX169" s="10" t="str">
        <f t="shared" si="87"/>
        <v>MATCH</v>
      </c>
      <c r="AY169" t="str">
        <f t="shared" si="88"/>
        <v>MATCH</v>
      </c>
    </row>
    <row r="170" spans="1:51">
      <c r="A170" t="s">
        <v>1477</v>
      </c>
      <c r="B170">
        <f t="shared" si="64"/>
        <v>1</v>
      </c>
      <c r="C170" t="s">
        <v>1478</v>
      </c>
      <c r="D170" s="3">
        <v>45421</v>
      </c>
      <c r="E170" t="str">
        <f t="shared" si="65"/>
        <v>2024/05/09</v>
      </c>
      <c r="F170" t="str">
        <f t="shared" si="74"/>
        <v>May</v>
      </c>
      <c r="G170">
        <f t="shared" si="75"/>
        <v>2024</v>
      </c>
      <c r="H170" t="s">
        <v>1479</v>
      </c>
      <c r="I170" s="4">
        <v>45482</v>
      </c>
      <c r="J170" s="8">
        <f t="shared" si="66"/>
        <v>61</v>
      </c>
      <c r="K170" s="8" t="str">
        <f t="shared" si="76"/>
        <v>OK</v>
      </c>
      <c r="L170" t="s">
        <v>1480</v>
      </c>
      <c r="M170" t="s">
        <v>92</v>
      </c>
      <c r="N170" t="str">
        <f t="shared" si="67"/>
        <v>Neha Gupta</v>
      </c>
      <c r="O170" t="s">
        <v>40</v>
      </c>
      <c r="P170" t="str">
        <f t="shared" si="90"/>
        <v>Small Business</v>
      </c>
      <c r="Q170" t="s">
        <v>61</v>
      </c>
      <c r="R170" t="str">
        <f t="shared" si="92"/>
        <v>South</v>
      </c>
      <c r="S170" t="str">
        <f t="shared" si="77"/>
        <v>OK</v>
      </c>
      <c r="T170" t="s">
        <v>338</v>
      </c>
      <c r="U170" t="str">
        <f t="shared" si="68"/>
        <v>Tamil Nadu</v>
      </c>
      <c r="V170" t="s">
        <v>339</v>
      </c>
      <c r="W170" t="str">
        <f t="shared" si="69"/>
        <v>Chennai</v>
      </c>
      <c r="X170" t="str">
        <f t="shared" si="70"/>
        <v>Technology</v>
      </c>
      <c r="Y170" t="s">
        <v>85</v>
      </c>
      <c r="Z170" t="s">
        <v>93</v>
      </c>
      <c r="AA170" t="str">
        <f t="shared" si="71"/>
        <v>Copiers</v>
      </c>
      <c r="AB170" t="s">
        <v>1481</v>
      </c>
      <c r="AC170" t="s">
        <v>66</v>
      </c>
      <c r="AD170" t="str">
        <f t="shared" si="93"/>
        <v>Standard Class</v>
      </c>
      <c r="AE170" t="str">
        <f t="shared" si="78"/>
        <v>OK</v>
      </c>
      <c r="AF170">
        <v>3</v>
      </c>
      <c r="AG170">
        <v>2555.66</v>
      </c>
      <c r="AH170">
        <v>0.15</v>
      </c>
      <c r="AI170">
        <f t="shared" si="79"/>
        <v>0.15</v>
      </c>
      <c r="AJ170" t="str">
        <f t="shared" si="80"/>
        <v>OK</v>
      </c>
      <c r="AK170">
        <v>6516.93</v>
      </c>
      <c r="AL170">
        <v>4511.54</v>
      </c>
      <c r="AM170">
        <v>2005.39</v>
      </c>
      <c r="AN170" t="s">
        <v>33</v>
      </c>
      <c r="AO170" t="str">
        <f t="shared" si="72"/>
        <v>PAID</v>
      </c>
      <c r="AP170" t="str">
        <f t="shared" si="81"/>
        <v>OK</v>
      </c>
      <c r="AQ170" t="s">
        <v>77</v>
      </c>
      <c r="AR170" t="str">
        <f t="shared" si="73"/>
        <v>CANCELLED</v>
      </c>
      <c r="AS170" t="str">
        <f t="shared" si="82"/>
        <v>EXCLUDE_FROM_SALES</v>
      </c>
      <c r="AT170">
        <f t="shared" si="83"/>
        <v>6516.9329999999991</v>
      </c>
      <c r="AU170">
        <f t="shared" si="84"/>
        <v>2005.3929999999991</v>
      </c>
      <c r="AV170" s="6">
        <f t="shared" si="85"/>
        <v>0.56872749804240741</v>
      </c>
      <c r="AW170" t="str">
        <f t="shared" si="86"/>
        <v>CLEAN</v>
      </c>
      <c r="AX170" s="10" t="str">
        <f t="shared" si="87"/>
        <v>MATCH</v>
      </c>
      <c r="AY170" t="str">
        <f t="shared" si="88"/>
        <v>MATCH</v>
      </c>
    </row>
    <row r="171" spans="1:51">
      <c r="A171" t="s">
        <v>1482</v>
      </c>
      <c r="B171">
        <f t="shared" si="64"/>
        <v>1</v>
      </c>
      <c r="C171" t="s">
        <v>1483</v>
      </c>
      <c r="D171" s="3">
        <v>45467</v>
      </c>
      <c r="E171" t="str">
        <f t="shared" si="65"/>
        <v>2024/06/24</v>
      </c>
      <c r="F171" t="str">
        <f t="shared" si="74"/>
        <v>June</v>
      </c>
      <c r="G171">
        <f t="shared" si="75"/>
        <v>2024</v>
      </c>
      <c r="H171" t="s">
        <v>1483</v>
      </c>
      <c r="I171" s="4">
        <v>45467</v>
      </c>
      <c r="J171" s="8">
        <f t="shared" si="66"/>
        <v>0</v>
      </c>
      <c r="K171" s="8" t="str">
        <f t="shared" si="76"/>
        <v>OK</v>
      </c>
      <c r="L171" t="s">
        <v>1484</v>
      </c>
      <c r="M171" t="s">
        <v>179</v>
      </c>
      <c r="N171" t="str">
        <f t="shared" si="67"/>
        <v>Rohan Mehta</v>
      </c>
      <c r="O171" t="s">
        <v>40</v>
      </c>
      <c r="P171" t="str">
        <f t="shared" si="90"/>
        <v>Small Business</v>
      </c>
      <c r="Q171" t="s">
        <v>41</v>
      </c>
      <c r="R171" t="str">
        <f t="shared" si="92"/>
        <v>East</v>
      </c>
      <c r="S171" t="str">
        <f t="shared" si="77"/>
        <v>OK</v>
      </c>
      <c r="T171" t="s">
        <v>185</v>
      </c>
      <c r="U171" t="str">
        <f t="shared" si="68"/>
        <v>Bihar</v>
      </c>
      <c r="V171" t="s">
        <v>186</v>
      </c>
      <c r="W171" t="str">
        <f t="shared" si="69"/>
        <v>Patna</v>
      </c>
      <c r="X171" t="str">
        <f t="shared" si="70"/>
        <v>Office Supplies</v>
      </c>
      <c r="Y171" t="s">
        <v>29</v>
      </c>
      <c r="Z171" t="s">
        <v>197</v>
      </c>
      <c r="AA171" t="str">
        <f t="shared" si="71"/>
        <v>Binders</v>
      </c>
      <c r="AB171" t="s">
        <v>1485</v>
      </c>
      <c r="AC171" t="s">
        <v>47</v>
      </c>
      <c r="AD171" t="str">
        <f t="shared" si="93"/>
        <v>Same Day</v>
      </c>
      <c r="AE171" t="str">
        <f t="shared" si="78"/>
        <v>OK</v>
      </c>
      <c r="AF171">
        <v>2</v>
      </c>
      <c r="AG171">
        <v>4359.8999999999996</v>
      </c>
      <c r="AH171">
        <v>0.15</v>
      </c>
      <c r="AI171">
        <f t="shared" si="79"/>
        <v>0.15</v>
      </c>
      <c r="AJ171" t="str">
        <f t="shared" si="80"/>
        <v>OK</v>
      </c>
      <c r="AK171">
        <v>7411.83</v>
      </c>
      <c r="AL171">
        <v>4904.63</v>
      </c>
      <c r="AM171">
        <v>2507.1999999999998</v>
      </c>
      <c r="AN171" t="s">
        <v>33</v>
      </c>
      <c r="AO171" t="str">
        <f t="shared" si="72"/>
        <v>PAID</v>
      </c>
      <c r="AP171" t="str">
        <f t="shared" si="81"/>
        <v>OK</v>
      </c>
      <c r="AQ171" t="s">
        <v>34</v>
      </c>
      <c r="AR171" t="str">
        <f t="shared" si="73"/>
        <v>COMPLETED</v>
      </c>
      <c r="AS171" t="str">
        <f t="shared" si="82"/>
        <v>OK</v>
      </c>
      <c r="AT171">
        <f t="shared" si="83"/>
        <v>7411.829999999999</v>
      </c>
      <c r="AU171">
        <f t="shared" si="84"/>
        <v>2507.1999999999989</v>
      </c>
      <c r="AV171" s="6">
        <f t="shared" si="85"/>
        <v>0.19009880151055814</v>
      </c>
      <c r="AW171" t="str">
        <f t="shared" si="86"/>
        <v>CLEAN</v>
      </c>
      <c r="AX171" s="10" t="str">
        <f t="shared" si="87"/>
        <v>MATCH</v>
      </c>
      <c r="AY171" t="str">
        <f t="shared" si="88"/>
        <v>MATCH</v>
      </c>
    </row>
    <row r="172" spans="1:51">
      <c r="A172" t="s">
        <v>1494</v>
      </c>
      <c r="B172">
        <f t="shared" si="64"/>
        <v>1</v>
      </c>
      <c r="C172" t="s">
        <v>1495</v>
      </c>
      <c r="D172" s="3">
        <v>45416</v>
      </c>
      <c r="E172" t="str">
        <f t="shared" si="65"/>
        <v>2024/05/04</v>
      </c>
      <c r="F172" t="str">
        <f t="shared" si="74"/>
        <v>May</v>
      </c>
      <c r="G172">
        <f t="shared" si="75"/>
        <v>2024</v>
      </c>
      <c r="H172" t="s">
        <v>1496</v>
      </c>
      <c r="I172" s="4">
        <v>45392</v>
      </c>
      <c r="J172" s="8">
        <f t="shared" si="66"/>
        <v>-24</v>
      </c>
      <c r="K172" s="8" t="str">
        <f t="shared" si="76"/>
        <v>INVAILD_SHIPPING</v>
      </c>
      <c r="L172" t="s">
        <v>1497</v>
      </c>
      <c r="M172" t="s">
        <v>141</v>
      </c>
      <c r="N172" t="str">
        <f t="shared" si="67"/>
        <v>Priya Menon</v>
      </c>
      <c r="O172" t="s">
        <v>114</v>
      </c>
      <c r="P172" t="str">
        <f t="shared" si="90"/>
        <v>Home Office</v>
      </c>
      <c r="Q172" t="s">
        <v>26</v>
      </c>
      <c r="R172" t="str">
        <f t="shared" si="92"/>
        <v>North</v>
      </c>
      <c r="S172" t="str">
        <f t="shared" si="77"/>
        <v>OK</v>
      </c>
      <c r="T172" t="s">
        <v>27</v>
      </c>
      <c r="U172" t="str">
        <f t="shared" si="68"/>
        <v>Rajasthan</v>
      </c>
      <c r="V172" t="s">
        <v>28</v>
      </c>
      <c r="W172" t="str">
        <f t="shared" si="69"/>
        <v>Jaipur</v>
      </c>
      <c r="X172" t="str">
        <f t="shared" si="70"/>
        <v>Office Supplies</v>
      </c>
      <c r="Y172" t="s">
        <v>29</v>
      </c>
      <c r="Z172" t="s">
        <v>197</v>
      </c>
      <c r="AA172" t="str">
        <f t="shared" si="71"/>
        <v>Binders</v>
      </c>
      <c r="AB172" t="s">
        <v>1498</v>
      </c>
      <c r="AC172" t="s">
        <v>66</v>
      </c>
      <c r="AD172" t="str">
        <f t="shared" si="93"/>
        <v>Standard Class</v>
      </c>
      <c r="AE172" t="str">
        <f t="shared" si="78"/>
        <v>OK</v>
      </c>
      <c r="AF172">
        <v>4</v>
      </c>
      <c r="AG172">
        <v>3228.66</v>
      </c>
      <c r="AH172">
        <v>0.25</v>
      </c>
      <c r="AI172">
        <f t="shared" si="79"/>
        <v>0.25</v>
      </c>
      <c r="AJ172" t="str">
        <f t="shared" si="80"/>
        <v>OK</v>
      </c>
      <c r="AK172">
        <v>9685.98</v>
      </c>
      <c r="AL172">
        <v>7730.04</v>
      </c>
      <c r="AM172">
        <v>1955.94</v>
      </c>
      <c r="AN172" t="s">
        <v>33</v>
      </c>
      <c r="AO172" t="str">
        <f t="shared" si="72"/>
        <v>PAID</v>
      </c>
      <c r="AP172" t="str">
        <f t="shared" si="81"/>
        <v>OK</v>
      </c>
      <c r="AQ172" t="s">
        <v>34</v>
      </c>
      <c r="AR172" t="str">
        <f t="shared" si="73"/>
        <v>COMPLETED</v>
      </c>
      <c r="AS172" t="str">
        <f t="shared" si="82"/>
        <v>OK</v>
      </c>
      <c r="AT172">
        <f t="shared" si="83"/>
        <v>9685.98</v>
      </c>
      <c r="AU172">
        <f t="shared" si="84"/>
        <v>1955.9399999999996</v>
      </c>
      <c r="AV172" s="6">
        <f t="shared" si="85"/>
        <v>2.882516792312188E-2</v>
      </c>
      <c r="AW172" t="str">
        <f t="shared" si="86"/>
        <v>CLEAN</v>
      </c>
      <c r="AX172" s="10" t="str">
        <f t="shared" si="87"/>
        <v>MATCH</v>
      </c>
      <c r="AY172" t="str">
        <f t="shared" si="88"/>
        <v>MATCH</v>
      </c>
    </row>
    <row r="173" spans="1:51">
      <c r="A173" t="s">
        <v>1504</v>
      </c>
      <c r="B173">
        <f t="shared" si="64"/>
        <v>1</v>
      </c>
      <c r="C173" t="s">
        <v>1505</v>
      </c>
      <c r="D173" s="3">
        <v>45476</v>
      </c>
      <c r="E173" t="str">
        <f t="shared" si="65"/>
        <v>2024/07/03</v>
      </c>
      <c r="F173" t="str">
        <f t="shared" si="74"/>
        <v>July</v>
      </c>
      <c r="G173">
        <f t="shared" si="75"/>
        <v>2024</v>
      </c>
      <c r="H173" t="s">
        <v>1506</v>
      </c>
      <c r="I173" s="4">
        <v>45599</v>
      </c>
      <c r="J173" s="8">
        <f t="shared" si="66"/>
        <v>123</v>
      </c>
      <c r="K173" s="8" t="str">
        <f t="shared" si="76"/>
        <v>OK</v>
      </c>
      <c r="L173" t="s">
        <v>1507</v>
      </c>
      <c r="M173" t="s">
        <v>60</v>
      </c>
      <c r="N173" t="str">
        <f t="shared" si="67"/>
        <v>Arjun Bose</v>
      </c>
      <c r="O173" t="s">
        <v>114</v>
      </c>
      <c r="P173" t="str">
        <f t="shared" si="90"/>
        <v>Home Office</v>
      </c>
      <c r="Q173" t="s">
        <v>61</v>
      </c>
      <c r="R173" t="str">
        <f t="shared" si="92"/>
        <v>South</v>
      </c>
      <c r="S173" t="str">
        <f t="shared" si="77"/>
        <v>OK</v>
      </c>
      <c r="T173" t="s">
        <v>62</v>
      </c>
      <c r="U173" t="str">
        <f t="shared" si="68"/>
        <v>Telangana</v>
      </c>
      <c r="V173" t="s">
        <v>63</v>
      </c>
      <c r="W173" t="str">
        <f t="shared" si="69"/>
        <v>Hyderabad</v>
      </c>
      <c r="X173" t="str">
        <f t="shared" si="70"/>
        <v>Technology</v>
      </c>
      <c r="Y173" t="s">
        <v>85</v>
      </c>
      <c r="Z173" t="s">
        <v>222</v>
      </c>
      <c r="AA173" t="str">
        <f t="shared" si="71"/>
        <v>Phones</v>
      </c>
      <c r="AB173" t="s">
        <v>1508</v>
      </c>
      <c r="AC173" t="s">
        <v>55</v>
      </c>
      <c r="AD173" t="str">
        <f t="shared" si="93"/>
        <v>First Class</v>
      </c>
      <c r="AE173" t="str">
        <f t="shared" si="78"/>
        <v>OK</v>
      </c>
      <c r="AF173">
        <v>2</v>
      </c>
      <c r="AG173">
        <v>4401.51</v>
      </c>
      <c r="AH173">
        <v>0.65</v>
      </c>
      <c r="AI173">
        <f t="shared" si="79"/>
        <v>0.65</v>
      </c>
      <c r="AJ173" t="str">
        <f t="shared" si="80"/>
        <v>OK</v>
      </c>
      <c r="AK173">
        <v>8362.8700000000008</v>
      </c>
      <c r="AL173">
        <v>6541.04</v>
      </c>
      <c r="AM173">
        <v>1821.83</v>
      </c>
      <c r="AN173" t="s">
        <v>33</v>
      </c>
      <c r="AO173" t="str">
        <f t="shared" si="72"/>
        <v>PAID</v>
      </c>
      <c r="AP173" t="str">
        <f t="shared" si="81"/>
        <v>OK</v>
      </c>
      <c r="AQ173" t="s">
        <v>34</v>
      </c>
      <c r="AR173" t="str">
        <f t="shared" si="73"/>
        <v>COMPLETED</v>
      </c>
      <c r="AS173" t="str">
        <f t="shared" si="82"/>
        <v>OK</v>
      </c>
      <c r="AT173">
        <f t="shared" si="83"/>
        <v>3081.0569999999998</v>
      </c>
      <c r="AU173">
        <f t="shared" si="84"/>
        <v>-3459.9830000000002</v>
      </c>
      <c r="AV173" s="6">
        <f t="shared" si="85"/>
        <v>1.3843528373541936</v>
      </c>
      <c r="AW173" t="str">
        <f t="shared" si="86"/>
        <v>CLEAN</v>
      </c>
      <c r="AX173" s="10" t="str">
        <f t="shared" si="87"/>
        <v>MISMATCH</v>
      </c>
      <c r="AY173" t="str">
        <f t="shared" si="88"/>
        <v>MISMATCH</v>
      </c>
    </row>
    <row r="174" spans="1:51">
      <c r="A174" t="s">
        <v>1524</v>
      </c>
      <c r="B174">
        <f t="shared" si="64"/>
        <v>1</v>
      </c>
      <c r="C174" t="s">
        <v>1525</v>
      </c>
      <c r="D174" s="3">
        <v>45594</v>
      </c>
      <c r="E174" t="str">
        <f t="shared" si="65"/>
        <v>2024/10/29</v>
      </c>
      <c r="F174" t="str">
        <f t="shared" si="74"/>
        <v>October</v>
      </c>
      <c r="G174">
        <f t="shared" si="75"/>
        <v>2024</v>
      </c>
      <c r="H174" t="s">
        <v>1526</v>
      </c>
      <c r="I174" s="4">
        <v>45454</v>
      </c>
      <c r="J174" s="8">
        <f t="shared" si="66"/>
        <v>-140</v>
      </c>
      <c r="K174" s="8" t="str">
        <f t="shared" si="76"/>
        <v>INVAILD_SHIPPING</v>
      </c>
      <c r="L174" t="s">
        <v>1527</v>
      </c>
      <c r="M174" t="s">
        <v>167</v>
      </c>
      <c r="N174" t="str">
        <f t="shared" si="67"/>
        <v>Sneha Kapoor</v>
      </c>
      <c r="O174" t="s">
        <v>107</v>
      </c>
      <c r="P174" t="str">
        <f t="shared" si="90"/>
        <v>Corporate</v>
      </c>
      <c r="Q174" t="s">
        <v>61</v>
      </c>
      <c r="R174" t="str">
        <f t="shared" si="92"/>
        <v>South</v>
      </c>
      <c r="S174" t="str">
        <f t="shared" si="77"/>
        <v>OK</v>
      </c>
      <c r="T174" t="s">
        <v>338</v>
      </c>
      <c r="U174" t="str">
        <f t="shared" si="68"/>
        <v>Tamil Nadu</v>
      </c>
      <c r="V174" t="s">
        <v>339</v>
      </c>
      <c r="W174" t="str">
        <f t="shared" si="69"/>
        <v>Chennai</v>
      </c>
      <c r="X174" t="str">
        <f t="shared" si="70"/>
        <v>Technology</v>
      </c>
      <c r="Y174" t="s">
        <v>85</v>
      </c>
      <c r="Z174" t="s">
        <v>93</v>
      </c>
      <c r="AA174" t="str">
        <f t="shared" si="71"/>
        <v>Copiers</v>
      </c>
      <c r="AB174" t="s">
        <v>1528</v>
      </c>
      <c r="AC174" t="s">
        <v>47</v>
      </c>
      <c r="AD174" t="str">
        <f t="shared" si="93"/>
        <v>Same Day</v>
      </c>
      <c r="AE174" t="str">
        <f t="shared" si="78"/>
        <v>OK</v>
      </c>
      <c r="AF174">
        <v>6</v>
      </c>
      <c r="AG174">
        <v>1169.92</v>
      </c>
      <c r="AH174">
        <v>0.15</v>
      </c>
      <c r="AI174">
        <f t="shared" si="79"/>
        <v>0.15</v>
      </c>
      <c r="AJ174" t="str">
        <f t="shared" si="80"/>
        <v>OK</v>
      </c>
      <c r="AK174">
        <v>5966.59</v>
      </c>
      <c r="AL174">
        <v>3994.72</v>
      </c>
      <c r="AM174">
        <v>1971.87</v>
      </c>
      <c r="AN174" t="s">
        <v>33</v>
      </c>
      <c r="AO174" t="str">
        <f t="shared" si="72"/>
        <v>PAID</v>
      </c>
      <c r="AP174" t="str">
        <f t="shared" si="81"/>
        <v>OK</v>
      </c>
      <c r="AQ174" t="s">
        <v>34</v>
      </c>
      <c r="AR174" t="str">
        <f t="shared" si="73"/>
        <v>COMPLETED</v>
      </c>
      <c r="AS174" t="str">
        <f t="shared" si="82"/>
        <v>OK</v>
      </c>
      <c r="AT174">
        <f t="shared" si="83"/>
        <v>5966.5920000000006</v>
      </c>
      <c r="AU174">
        <f t="shared" si="84"/>
        <v>1971.8720000000008</v>
      </c>
      <c r="AV174" s="6">
        <f t="shared" si="85"/>
        <v>0.71485866638778039</v>
      </c>
      <c r="AW174" t="str">
        <f t="shared" si="86"/>
        <v>CLEAN</v>
      </c>
      <c r="AX174" s="10" t="str">
        <f t="shared" si="87"/>
        <v>MATCH</v>
      </c>
      <c r="AY174" t="str">
        <f t="shared" si="88"/>
        <v>MATCH</v>
      </c>
    </row>
    <row r="175" spans="1:51">
      <c r="A175" t="s">
        <v>1534</v>
      </c>
      <c r="B175">
        <f t="shared" si="64"/>
        <v>1</v>
      </c>
      <c r="C175" t="s">
        <v>1526</v>
      </c>
      <c r="D175" s="3">
        <v>45602</v>
      </c>
      <c r="E175" t="str">
        <f t="shared" si="65"/>
        <v>2024/11/06</v>
      </c>
      <c r="F175" t="str">
        <f t="shared" si="74"/>
        <v>November</v>
      </c>
      <c r="G175">
        <f t="shared" si="75"/>
        <v>2024</v>
      </c>
      <c r="H175" t="s">
        <v>1535</v>
      </c>
      <c r="I175" s="4">
        <v>45608</v>
      </c>
      <c r="J175" s="8">
        <f t="shared" si="66"/>
        <v>6</v>
      </c>
      <c r="K175" s="8" t="str">
        <f t="shared" si="76"/>
        <v>OK</v>
      </c>
      <c r="L175" t="s">
        <v>1536</v>
      </c>
      <c r="M175" t="s">
        <v>147</v>
      </c>
      <c r="N175" t="str">
        <f t="shared" si="67"/>
        <v>Rahul Verma</v>
      </c>
      <c r="O175" t="s">
        <v>40</v>
      </c>
      <c r="P175" t="str">
        <f t="shared" si="90"/>
        <v>Small Business</v>
      </c>
      <c r="Q175" t="s">
        <v>72</v>
      </c>
      <c r="R175" t="str">
        <f t="shared" si="92"/>
        <v>West</v>
      </c>
      <c r="S175" t="str">
        <f t="shared" si="77"/>
        <v>OK</v>
      </c>
      <c r="T175" t="s">
        <v>234</v>
      </c>
      <c r="U175" t="str">
        <f t="shared" si="68"/>
        <v>Gujarat</v>
      </c>
      <c r="V175" t="s">
        <v>235</v>
      </c>
      <c r="W175" t="str">
        <f t="shared" si="69"/>
        <v>Ahmedabad</v>
      </c>
      <c r="X175" t="str">
        <f t="shared" si="70"/>
        <v>Technology</v>
      </c>
      <c r="Y175" t="s">
        <v>85</v>
      </c>
      <c r="Z175" t="s">
        <v>86</v>
      </c>
      <c r="AA175" t="str">
        <f t="shared" si="71"/>
        <v>Accessories</v>
      </c>
      <c r="AB175" t="s">
        <v>1537</v>
      </c>
      <c r="AC175" t="s">
        <v>66</v>
      </c>
      <c r="AD175" t="str">
        <f t="shared" si="93"/>
        <v>Standard Class</v>
      </c>
      <c r="AE175" t="str">
        <f t="shared" si="78"/>
        <v>OK</v>
      </c>
      <c r="AF175">
        <v>7</v>
      </c>
      <c r="AG175">
        <v>1719.05</v>
      </c>
      <c r="AH175">
        <v>0.1</v>
      </c>
      <c r="AI175">
        <f t="shared" si="79"/>
        <v>0.1</v>
      </c>
      <c r="AJ175" t="str">
        <f t="shared" si="80"/>
        <v>OK</v>
      </c>
      <c r="AK175">
        <v>10830.02</v>
      </c>
      <c r="AL175">
        <v>7055.31</v>
      </c>
      <c r="AM175">
        <v>3774.71</v>
      </c>
      <c r="AN175" t="s">
        <v>33</v>
      </c>
      <c r="AO175" t="str">
        <f t="shared" si="72"/>
        <v>PAID</v>
      </c>
      <c r="AP175" t="str">
        <f t="shared" si="81"/>
        <v>OK</v>
      </c>
      <c r="AQ175" t="s">
        <v>34</v>
      </c>
      <c r="AR175" t="str">
        <f t="shared" si="73"/>
        <v>COMPLETED</v>
      </c>
      <c r="AS175" t="str">
        <f t="shared" si="82"/>
        <v>OK</v>
      </c>
      <c r="AT175">
        <f t="shared" si="83"/>
        <v>10830.015000000001</v>
      </c>
      <c r="AU175">
        <f t="shared" si="84"/>
        <v>3774.7050000000008</v>
      </c>
      <c r="AV175" s="6">
        <f t="shared" si="85"/>
        <v>0.3297744739965735</v>
      </c>
      <c r="AW175" t="str">
        <f t="shared" si="86"/>
        <v>CLEAN</v>
      </c>
      <c r="AX175" s="10" t="str">
        <f t="shared" si="87"/>
        <v>MATCH</v>
      </c>
      <c r="AY175" t="str">
        <f t="shared" si="88"/>
        <v>MATCH</v>
      </c>
    </row>
    <row r="176" spans="1:51">
      <c r="A176" t="s">
        <v>1538</v>
      </c>
      <c r="B176">
        <f t="shared" si="64"/>
        <v>1</v>
      </c>
      <c r="C176" t="s">
        <v>1539</v>
      </c>
      <c r="D176" s="3">
        <v>45397</v>
      </c>
      <c r="E176" t="str">
        <f t="shared" si="65"/>
        <v>2024/04/15</v>
      </c>
      <c r="F176" t="str">
        <f t="shared" si="74"/>
        <v>April</v>
      </c>
      <c r="G176">
        <f t="shared" si="75"/>
        <v>2024</v>
      </c>
      <c r="H176" t="s">
        <v>1540</v>
      </c>
      <c r="I176" s="4">
        <v>45405</v>
      </c>
      <c r="J176" s="8">
        <f t="shared" si="66"/>
        <v>8</v>
      </c>
      <c r="K176" s="8" t="str">
        <f t="shared" si="76"/>
        <v>OK</v>
      </c>
      <c r="L176" t="s">
        <v>1541</v>
      </c>
      <c r="M176" t="s">
        <v>209</v>
      </c>
      <c r="N176" t="str">
        <f t="shared" si="67"/>
        <v>Diya Patel</v>
      </c>
      <c r="O176" t="s">
        <v>40</v>
      </c>
      <c r="P176" t="str">
        <f t="shared" si="90"/>
        <v>Small Business</v>
      </c>
      <c r="Q176" t="s">
        <v>26</v>
      </c>
      <c r="R176" t="str">
        <f t="shared" si="92"/>
        <v>North</v>
      </c>
      <c r="S176" t="str">
        <f t="shared" si="77"/>
        <v>OK</v>
      </c>
      <c r="T176" t="s">
        <v>153</v>
      </c>
      <c r="U176" t="str">
        <f t="shared" si="68"/>
        <v>Punjab</v>
      </c>
      <c r="V176" t="s">
        <v>154</v>
      </c>
      <c r="W176" t="str">
        <f t="shared" si="69"/>
        <v>Ludhiana</v>
      </c>
      <c r="X176" t="str">
        <f t="shared" si="70"/>
        <v>Technology</v>
      </c>
      <c r="Y176" t="s">
        <v>85</v>
      </c>
      <c r="Z176" t="s">
        <v>86</v>
      </c>
      <c r="AA176" t="str">
        <f t="shared" si="71"/>
        <v>Accessories</v>
      </c>
      <c r="AB176" t="s">
        <v>1542</v>
      </c>
      <c r="AC176" t="s">
        <v>32</v>
      </c>
      <c r="AD176" t="str">
        <f t="shared" si="93"/>
        <v>Second Class</v>
      </c>
      <c r="AE176" t="str">
        <f t="shared" si="78"/>
        <v>OK</v>
      </c>
      <c r="AF176">
        <v>9</v>
      </c>
      <c r="AG176">
        <v>3893.74</v>
      </c>
      <c r="AH176">
        <v>0.1</v>
      </c>
      <c r="AI176">
        <f t="shared" si="79"/>
        <v>0.1</v>
      </c>
      <c r="AJ176" t="str">
        <f t="shared" si="80"/>
        <v>OK</v>
      </c>
      <c r="AK176">
        <v>31539.29</v>
      </c>
      <c r="AL176">
        <v>22100.14</v>
      </c>
      <c r="AM176">
        <v>9439.15</v>
      </c>
      <c r="AN176" t="s">
        <v>33</v>
      </c>
      <c r="AO176" t="str">
        <f t="shared" si="72"/>
        <v>PAID</v>
      </c>
      <c r="AP176" t="str">
        <f t="shared" si="81"/>
        <v>OK</v>
      </c>
      <c r="AQ176" t="s">
        <v>34</v>
      </c>
      <c r="AR176" t="str">
        <f t="shared" si="73"/>
        <v>COMPLETED</v>
      </c>
      <c r="AS176" t="str">
        <f t="shared" si="82"/>
        <v>OK</v>
      </c>
      <c r="AT176">
        <f t="shared" si="83"/>
        <v>31539.293999999998</v>
      </c>
      <c r="AU176">
        <f t="shared" si="84"/>
        <v>9439.1539999999986</v>
      </c>
      <c r="AV176" s="6">
        <f t="shared" si="85"/>
        <v>0.11393438293197052</v>
      </c>
      <c r="AW176" t="str">
        <f t="shared" si="86"/>
        <v>CLEAN</v>
      </c>
      <c r="AX176" s="10" t="str">
        <f t="shared" si="87"/>
        <v>MATCH</v>
      </c>
      <c r="AY176" t="str">
        <f t="shared" si="88"/>
        <v>MATCH</v>
      </c>
    </row>
    <row r="177" spans="1:51">
      <c r="A177" t="s">
        <v>1551</v>
      </c>
      <c r="B177">
        <f t="shared" si="64"/>
        <v>1</v>
      </c>
      <c r="C177" t="s">
        <v>1552</v>
      </c>
      <c r="D177" s="2">
        <v>45466</v>
      </c>
      <c r="E177" t="str">
        <f t="shared" si="65"/>
        <v>2024/06/23</v>
      </c>
      <c r="F177" t="str">
        <f t="shared" si="74"/>
        <v>June</v>
      </c>
      <c r="G177">
        <f t="shared" si="75"/>
        <v>2024</v>
      </c>
      <c r="H177" t="s">
        <v>1042</v>
      </c>
      <c r="I177" s="4">
        <v>45471</v>
      </c>
      <c r="J177" s="8">
        <f t="shared" si="66"/>
        <v>5</v>
      </c>
      <c r="K177" s="8" t="str">
        <f t="shared" si="76"/>
        <v>OK</v>
      </c>
      <c r="L177" t="s">
        <v>1553</v>
      </c>
      <c r="M177" t="s">
        <v>209</v>
      </c>
      <c r="N177" t="str">
        <f t="shared" si="67"/>
        <v>Diya Patel</v>
      </c>
      <c r="O177" t="s">
        <v>114</v>
      </c>
      <c r="P177" t="str">
        <f t="shared" si="90"/>
        <v>Home Office</v>
      </c>
      <c r="Q177" t="s">
        <v>72</v>
      </c>
      <c r="R177" t="str">
        <f t="shared" si="92"/>
        <v>West</v>
      </c>
      <c r="S177" t="str">
        <f t="shared" si="77"/>
        <v>OK</v>
      </c>
      <c r="T177" t="s">
        <v>234</v>
      </c>
      <c r="U177" t="str">
        <f t="shared" si="68"/>
        <v>Gujarat</v>
      </c>
      <c r="V177" t="s">
        <v>235</v>
      </c>
      <c r="W177" t="str">
        <f t="shared" si="69"/>
        <v>Ahmedabad</v>
      </c>
      <c r="X177" t="str">
        <f t="shared" si="70"/>
        <v>Furniture</v>
      </c>
      <c r="Y177" t="s">
        <v>44</v>
      </c>
      <c r="Z177" t="s">
        <v>75</v>
      </c>
      <c r="AA177" t="str">
        <f t="shared" si="71"/>
        <v>Chairs</v>
      </c>
      <c r="AB177" t="s">
        <v>1554</v>
      </c>
      <c r="AC177" t="s">
        <v>66</v>
      </c>
      <c r="AD177" t="str">
        <f t="shared" si="93"/>
        <v>Standard Class</v>
      </c>
      <c r="AE177" t="str">
        <f t="shared" si="78"/>
        <v>OK</v>
      </c>
      <c r="AF177">
        <v>2</v>
      </c>
      <c r="AG177">
        <v>1313.14</v>
      </c>
      <c r="AH177">
        <v>0.1</v>
      </c>
      <c r="AI177">
        <f t="shared" si="79"/>
        <v>0.1</v>
      </c>
      <c r="AJ177" t="str">
        <f t="shared" si="80"/>
        <v>OK</v>
      </c>
      <c r="AK177">
        <v>2363.65</v>
      </c>
      <c r="AL177">
        <v>1876.1</v>
      </c>
      <c r="AM177">
        <v>487.55</v>
      </c>
      <c r="AN177" t="s">
        <v>136</v>
      </c>
      <c r="AO177" t="str">
        <f t="shared" si="72"/>
        <v>PENDING</v>
      </c>
      <c r="AP177" t="str">
        <f t="shared" si="81"/>
        <v>OK</v>
      </c>
      <c r="AQ177" t="s">
        <v>124</v>
      </c>
      <c r="AR177" t="str">
        <f t="shared" si="73"/>
        <v>RETURNED</v>
      </c>
      <c r="AS177" t="str">
        <f t="shared" si="82"/>
        <v>RETURNED_ORDER</v>
      </c>
      <c r="AT177">
        <f t="shared" si="83"/>
        <v>2363.652</v>
      </c>
      <c r="AU177">
        <f t="shared" si="84"/>
        <v>487.55200000000013</v>
      </c>
      <c r="AV177" s="6">
        <f t="shared" si="85"/>
        <v>0.59999103082856531</v>
      </c>
      <c r="AW177" t="str">
        <f t="shared" si="86"/>
        <v>CLEAN</v>
      </c>
      <c r="AX177" s="10" t="str">
        <f t="shared" si="87"/>
        <v>MATCH</v>
      </c>
      <c r="AY177" t="str">
        <f t="shared" si="88"/>
        <v>MATCH</v>
      </c>
    </row>
    <row r="178" spans="1:51">
      <c r="A178" t="s">
        <v>1555</v>
      </c>
      <c r="B178">
        <f t="shared" si="64"/>
        <v>1</v>
      </c>
      <c r="C178" t="s">
        <v>1556</v>
      </c>
      <c r="D178" s="3">
        <v>45446</v>
      </c>
      <c r="E178" t="str">
        <f t="shared" si="65"/>
        <v>2024/06/03</v>
      </c>
      <c r="F178" t="str">
        <f t="shared" si="74"/>
        <v>June</v>
      </c>
      <c r="G178">
        <f t="shared" si="75"/>
        <v>2024</v>
      </c>
      <c r="H178" t="s">
        <v>1557</v>
      </c>
      <c r="I178" s="4">
        <v>45364</v>
      </c>
      <c r="J178" s="8">
        <f t="shared" si="66"/>
        <v>-82</v>
      </c>
      <c r="K178" s="8" t="str">
        <f t="shared" si="76"/>
        <v>INVAILD_SHIPPING</v>
      </c>
      <c r="L178" t="s">
        <v>1558</v>
      </c>
      <c r="M178" t="s">
        <v>24</v>
      </c>
      <c r="N178" t="str">
        <f t="shared" si="67"/>
        <v>Karan Malhotra</v>
      </c>
      <c r="O178" t="s">
        <v>25</v>
      </c>
      <c r="P178" t="str">
        <f t="shared" si="90"/>
        <v>Consumer</v>
      </c>
      <c r="Q178" t="s">
        <v>26</v>
      </c>
      <c r="R178" t="str">
        <f t="shared" si="92"/>
        <v>North</v>
      </c>
      <c r="S178" t="str">
        <f t="shared" si="77"/>
        <v>OK</v>
      </c>
      <c r="T178" t="s">
        <v>153</v>
      </c>
      <c r="U178" t="str">
        <f t="shared" si="68"/>
        <v>Punjab</v>
      </c>
      <c r="V178" t="s">
        <v>154</v>
      </c>
      <c r="W178" t="str">
        <f t="shared" si="69"/>
        <v>Ludhiana</v>
      </c>
      <c r="X178" t="str">
        <f t="shared" si="70"/>
        <v>Furniture</v>
      </c>
      <c r="Y178" t="s">
        <v>44</v>
      </c>
      <c r="Z178" t="s">
        <v>64</v>
      </c>
      <c r="AA178" t="str">
        <f t="shared" si="71"/>
        <v>Furnishings</v>
      </c>
      <c r="AB178" t="s">
        <v>1559</v>
      </c>
      <c r="AC178" t="s">
        <v>66</v>
      </c>
      <c r="AD178" t="str">
        <f t="shared" si="93"/>
        <v>Standard Class</v>
      </c>
      <c r="AE178" t="str">
        <f t="shared" si="78"/>
        <v>OK</v>
      </c>
      <c r="AF178">
        <v>6</v>
      </c>
      <c r="AG178">
        <v>2403.0500000000002</v>
      </c>
      <c r="AH178">
        <v>0.1</v>
      </c>
      <c r="AI178">
        <f t="shared" si="79"/>
        <v>0.1</v>
      </c>
      <c r="AJ178" t="str">
        <f t="shared" si="80"/>
        <v>OK</v>
      </c>
      <c r="AK178">
        <v>12976.47</v>
      </c>
      <c r="AL178">
        <v>10019.98</v>
      </c>
      <c r="AM178">
        <v>2956.49</v>
      </c>
      <c r="AN178" t="s">
        <v>33</v>
      </c>
      <c r="AO178" t="str">
        <f t="shared" si="72"/>
        <v>PAID</v>
      </c>
      <c r="AP178" t="str">
        <f t="shared" si="81"/>
        <v>OK</v>
      </c>
      <c r="AQ178" t="s">
        <v>34</v>
      </c>
      <c r="AR178" t="str">
        <f t="shared" si="73"/>
        <v>COMPLETED</v>
      </c>
      <c r="AS178" t="str">
        <f t="shared" si="82"/>
        <v>OK</v>
      </c>
      <c r="AT178">
        <f t="shared" si="83"/>
        <v>12976.470000000001</v>
      </c>
      <c r="AU178">
        <f t="shared" si="84"/>
        <v>2956.4900000000016</v>
      </c>
      <c r="AV178" s="6">
        <f t="shared" si="85"/>
        <v>0.35384276309350671</v>
      </c>
      <c r="AW178" t="str">
        <f t="shared" si="86"/>
        <v>CLEAN</v>
      </c>
      <c r="AX178" s="10" t="str">
        <f t="shared" si="87"/>
        <v>MATCH</v>
      </c>
      <c r="AY178" t="str">
        <f t="shared" si="88"/>
        <v>MATCH</v>
      </c>
    </row>
    <row r="179" spans="1:51">
      <c r="A179" t="s">
        <v>1560</v>
      </c>
      <c r="B179">
        <f t="shared" si="64"/>
        <v>1</v>
      </c>
      <c r="C179" t="s">
        <v>1561</v>
      </c>
      <c r="D179" s="2">
        <v>45296</v>
      </c>
      <c r="E179" t="str">
        <f t="shared" si="65"/>
        <v>2024/01/05</v>
      </c>
      <c r="F179" t="str">
        <f t="shared" si="74"/>
        <v>January</v>
      </c>
      <c r="G179">
        <f t="shared" si="75"/>
        <v>2024</v>
      </c>
      <c r="H179" t="s">
        <v>1224</v>
      </c>
      <c r="I179" s="4">
        <v>45414</v>
      </c>
      <c r="J179" s="8">
        <f t="shared" si="66"/>
        <v>118</v>
      </c>
      <c r="K179" s="8" t="str">
        <f t="shared" si="76"/>
        <v>OK</v>
      </c>
      <c r="L179" t="s">
        <v>1562</v>
      </c>
      <c r="M179" t="s">
        <v>71</v>
      </c>
      <c r="N179" t="str">
        <f t="shared" si="67"/>
        <v>Ananya Rao</v>
      </c>
      <c r="O179" t="s">
        <v>25</v>
      </c>
      <c r="P179" t="str">
        <f t="shared" si="90"/>
        <v>Consumer</v>
      </c>
      <c r="Q179" t="s">
        <v>41</v>
      </c>
      <c r="R179" t="str">
        <f t="shared" si="92"/>
        <v>East</v>
      </c>
      <c r="S179" t="str">
        <f t="shared" si="77"/>
        <v>OK</v>
      </c>
      <c r="T179" t="s">
        <v>215</v>
      </c>
      <c r="U179" t="str">
        <f t="shared" si="68"/>
        <v>Assam</v>
      </c>
      <c r="V179" t="s">
        <v>216</v>
      </c>
      <c r="W179" t="str">
        <f t="shared" si="69"/>
        <v>Guwahati</v>
      </c>
      <c r="X179" t="str">
        <f t="shared" si="70"/>
        <v>Furniture</v>
      </c>
      <c r="Y179" t="s">
        <v>44</v>
      </c>
      <c r="Z179" t="s">
        <v>75</v>
      </c>
      <c r="AA179" t="str">
        <f t="shared" si="71"/>
        <v>Chairs</v>
      </c>
      <c r="AB179" t="s">
        <v>1563</v>
      </c>
      <c r="AC179" t="s">
        <v>55</v>
      </c>
      <c r="AD179" t="str">
        <f t="shared" si="93"/>
        <v>First Class</v>
      </c>
      <c r="AE179" t="str">
        <f t="shared" si="78"/>
        <v>OK</v>
      </c>
      <c r="AF179">
        <v>4</v>
      </c>
      <c r="AG179">
        <v>4156.0600000000004</v>
      </c>
      <c r="AH179">
        <v>0.55000000000000004</v>
      </c>
      <c r="AI179">
        <f t="shared" si="79"/>
        <v>0.55000000000000004</v>
      </c>
      <c r="AJ179" t="str">
        <f t="shared" si="80"/>
        <v>OK</v>
      </c>
      <c r="AK179">
        <v>13299.39</v>
      </c>
      <c r="AL179">
        <v>9851.91</v>
      </c>
      <c r="AM179">
        <v>3447.48</v>
      </c>
      <c r="AN179" t="s">
        <v>33</v>
      </c>
      <c r="AO179" t="str">
        <f t="shared" si="72"/>
        <v>PAID</v>
      </c>
      <c r="AP179" t="str">
        <f t="shared" si="81"/>
        <v>OK</v>
      </c>
      <c r="AQ179" t="s">
        <v>77</v>
      </c>
      <c r="AR179" t="str">
        <f t="shared" si="73"/>
        <v>CANCELLED</v>
      </c>
      <c r="AS179" t="str">
        <f t="shared" si="82"/>
        <v>EXCLUDE_FROM_SALES</v>
      </c>
      <c r="AT179">
        <f t="shared" si="83"/>
        <v>7480.9080000000004</v>
      </c>
      <c r="AU179">
        <f t="shared" si="84"/>
        <v>-2371.0019999999995</v>
      </c>
      <c r="AV179" s="6">
        <f t="shared" si="85"/>
        <v>0.91719080090277805</v>
      </c>
      <c r="AW179" t="str">
        <f t="shared" si="86"/>
        <v>CLEAN</v>
      </c>
      <c r="AX179" s="10" t="str">
        <f t="shared" si="87"/>
        <v>MISMATCH</v>
      </c>
      <c r="AY179" t="str">
        <f t="shared" si="88"/>
        <v>MISMATCH</v>
      </c>
    </row>
    <row r="180" spans="1:51">
      <c r="A180" t="s">
        <v>1579</v>
      </c>
      <c r="B180">
        <f t="shared" si="64"/>
        <v>1</v>
      </c>
      <c r="C180" t="s">
        <v>1580</v>
      </c>
      <c r="D180" s="3">
        <v>45493</v>
      </c>
      <c r="E180" t="str">
        <f t="shared" si="65"/>
        <v>2024/07/20</v>
      </c>
      <c r="F180" t="str">
        <f t="shared" si="74"/>
        <v>July</v>
      </c>
      <c r="G180">
        <f t="shared" si="75"/>
        <v>2024</v>
      </c>
      <c r="H180" t="s">
        <v>126</v>
      </c>
      <c r="I180" s="4">
        <v>45495</v>
      </c>
      <c r="J180" s="8">
        <f t="shared" si="66"/>
        <v>2</v>
      </c>
      <c r="K180" s="8" t="str">
        <f t="shared" si="76"/>
        <v>OK</v>
      </c>
      <c r="L180" t="s">
        <v>1581</v>
      </c>
      <c r="M180" t="s">
        <v>71</v>
      </c>
      <c r="N180" t="str">
        <f t="shared" si="67"/>
        <v>Ananya Rao</v>
      </c>
      <c r="O180" t="s">
        <v>25</v>
      </c>
      <c r="P180" t="str">
        <f t="shared" si="90"/>
        <v>Consumer</v>
      </c>
      <c r="Q180" t="s">
        <v>61</v>
      </c>
      <c r="R180" t="str">
        <f t="shared" si="92"/>
        <v>South</v>
      </c>
      <c r="S180" t="str">
        <f t="shared" si="77"/>
        <v>OK</v>
      </c>
      <c r="T180" t="s">
        <v>338</v>
      </c>
      <c r="U180" t="str">
        <f t="shared" si="68"/>
        <v>Tamil Nadu</v>
      </c>
      <c r="V180" t="s">
        <v>339</v>
      </c>
      <c r="W180" t="str">
        <f t="shared" si="69"/>
        <v>Chennai</v>
      </c>
      <c r="X180" t="str">
        <f t="shared" si="70"/>
        <v>Furniture</v>
      </c>
      <c r="Y180" t="s">
        <v>44</v>
      </c>
      <c r="Z180" t="s">
        <v>45</v>
      </c>
      <c r="AA180" t="str">
        <f t="shared" si="71"/>
        <v>Tables</v>
      </c>
      <c r="AB180" t="s">
        <v>1582</v>
      </c>
      <c r="AC180" t="s">
        <v>55</v>
      </c>
      <c r="AD180" t="str">
        <f t="shared" si="93"/>
        <v>First Class</v>
      </c>
      <c r="AE180" t="str">
        <f t="shared" si="78"/>
        <v>OK</v>
      </c>
      <c r="AF180">
        <v>7</v>
      </c>
      <c r="AG180">
        <v>2060.73</v>
      </c>
      <c r="AH180">
        <v>0.1</v>
      </c>
      <c r="AI180">
        <f t="shared" si="79"/>
        <v>0.1</v>
      </c>
      <c r="AJ180" t="str">
        <f t="shared" si="80"/>
        <v>OK</v>
      </c>
      <c r="AK180">
        <v>12982.6</v>
      </c>
      <c r="AL180">
        <v>7246.36</v>
      </c>
      <c r="AM180">
        <v>5736.24</v>
      </c>
      <c r="AN180" t="s">
        <v>33</v>
      </c>
      <c r="AO180" t="str">
        <f t="shared" si="72"/>
        <v>PAID</v>
      </c>
      <c r="AP180" t="str">
        <f t="shared" si="81"/>
        <v>OK</v>
      </c>
      <c r="AQ180" t="s">
        <v>77</v>
      </c>
      <c r="AR180" t="str">
        <f t="shared" si="73"/>
        <v>CANCELLED</v>
      </c>
      <c r="AS180" t="str">
        <f t="shared" si="82"/>
        <v>EXCLUDE_FROM_SALES</v>
      </c>
      <c r="AT180">
        <f t="shared" si="83"/>
        <v>12982.599</v>
      </c>
      <c r="AU180">
        <f t="shared" si="84"/>
        <v>5736.2390000000005</v>
      </c>
      <c r="AV180" s="6">
        <f t="shared" si="85"/>
        <v>0.84426546641392852</v>
      </c>
      <c r="AW180" t="str">
        <f t="shared" si="86"/>
        <v>CLEAN</v>
      </c>
      <c r="AX180" s="10" t="str">
        <f t="shared" si="87"/>
        <v>MATCH</v>
      </c>
      <c r="AY180" t="str">
        <f t="shared" si="88"/>
        <v>MATCH</v>
      </c>
    </row>
    <row r="181" spans="1:51">
      <c r="A181" t="s">
        <v>1583</v>
      </c>
      <c r="B181">
        <f t="shared" si="64"/>
        <v>1</v>
      </c>
      <c r="C181" t="s">
        <v>1584</v>
      </c>
      <c r="D181" s="3">
        <v>45477</v>
      </c>
      <c r="E181" t="str">
        <f t="shared" si="65"/>
        <v>2024/07/04</v>
      </c>
      <c r="F181" t="str">
        <f t="shared" si="74"/>
        <v>July</v>
      </c>
      <c r="G181">
        <f t="shared" si="75"/>
        <v>2024</v>
      </c>
      <c r="H181" t="s">
        <v>1585</v>
      </c>
      <c r="I181" s="4">
        <v>45511</v>
      </c>
      <c r="J181" s="8">
        <f t="shared" si="66"/>
        <v>34</v>
      </c>
      <c r="K181" s="8" t="str">
        <f t="shared" si="76"/>
        <v>OK</v>
      </c>
      <c r="L181" t="s">
        <v>1586</v>
      </c>
      <c r="M181" t="s">
        <v>179</v>
      </c>
      <c r="N181" t="str">
        <f t="shared" si="67"/>
        <v>Rohan Mehta</v>
      </c>
      <c r="O181" t="s">
        <v>40</v>
      </c>
      <c r="P181" t="str">
        <f t="shared" si="90"/>
        <v>Small Business</v>
      </c>
      <c r="Q181" t="s">
        <v>61</v>
      </c>
      <c r="R181" t="str">
        <f t="shared" si="92"/>
        <v>South</v>
      </c>
      <c r="S181" t="str">
        <f t="shared" si="77"/>
        <v>OK</v>
      </c>
      <c r="T181" t="s">
        <v>338</v>
      </c>
      <c r="U181" t="str">
        <f t="shared" si="68"/>
        <v>Tamil Nadu</v>
      </c>
      <c r="V181" t="s">
        <v>339</v>
      </c>
      <c r="W181" t="str">
        <f t="shared" si="69"/>
        <v>Chennai</v>
      </c>
      <c r="X181" t="str">
        <f t="shared" si="70"/>
        <v>Technology</v>
      </c>
      <c r="Y181" t="s">
        <v>85</v>
      </c>
      <c r="Z181" t="s">
        <v>381</v>
      </c>
      <c r="AA181" t="str">
        <f t="shared" si="71"/>
        <v>Machines</v>
      </c>
      <c r="AB181" t="s">
        <v>1587</v>
      </c>
      <c r="AC181" t="s">
        <v>55</v>
      </c>
      <c r="AD181" t="str">
        <f t="shared" si="93"/>
        <v>First Class</v>
      </c>
      <c r="AE181" t="str">
        <f t="shared" si="78"/>
        <v>OK</v>
      </c>
      <c r="AF181">
        <v>8</v>
      </c>
      <c r="AG181">
        <v>2034.25</v>
      </c>
      <c r="AH181">
        <v>0</v>
      </c>
      <c r="AI181">
        <f t="shared" si="79"/>
        <v>0</v>
      </c>
      <c r="AJ181" t="str">
        <f t="shared" si="80"/>
        <v>OK</v>
      </c>
      <c r="AK181">
        <v>16274</v>
      </c>
      <c r="AL181">
        <v>9424.25</v>
      </c>
      <c r="AM181">
        <v>6849.75</v>
      </c>
      <c r="AN181" t="s">
        <v>33</v>
      </c>
      <c r="AO181" t="str">
        <f t="shared" si="72"/>
        <v>PAID</v>
      </c>
      <c r="AP181" t="str">
        <f t="shared" si="81"/>
        <v>OK</v>
      </c>
      <c r="AQ181" t="s">
        <v>34</v>
      </c>
      <c r="AR181" t="str">
        <f t="shared" si="73"/>
        <v>COMPLETED</v>
      </c>
      <c r="AS181" t="str">
        <f t="shared" si="82"/>
        <v>OK</v>
      </c>
      <c r="AT181">
        <f t="shared" si="83"/>
        <v>16274</v>
      </c>
      <c r="AU181">
        <f t="shared" si="84"/>
        <v>6849.75</v>
      </c>
      <c r="AV181" s="6">
        <f t="shared" si="85"/>
        <v>6.6209290893449721E-2</v>
      </c>
      <c r="AW181" t="str">
        <f t="shared" si="86"/>
        <v>CLEAN</v>
      </c>
      <c r="AX181" s="10" t="str">
        <f t="shared" si="87"/>
        <v>MATCH</v>
      </c>
      <c r="AY181" t="str">
        <f t="shared" si="88"/>
        <v>MATCH</v>
      </c>
    </row>
    <row r="182" spans="1:51">
      <c r="A182" t="s">
        <v>1588</v>
      </c>
      <c r="B182">
        <f t="shared" si="64"/>
        <v>1</v>
      </c>
      <c r="C182" t="s">
        <v>1589</v>
      </c>
      <c r="D182" s="3">
        <v>45409</v>
      </c>
      <c r="E182" t="str">
        <f t="shared" si="65"/>
        <v>2024/04/27</v>
      </c>
      <c r="F182" t="str">
        <f t="shared" si="74"/>
        <v>April</v>
      </c>
      <c r="G182">
        <f t="shared" si="75"/>
        <v>2024</v>
      </c>
      <c r="H182" t="s">
        <v>947</v>
      </c>
      <c r="I182" s="4">
        <v>45327</v>
      </c>
      <c r="J182" s="8">
        <f t="shared" si="66"/>
        <v>-82</v>
      </c>
      <c r="K182" s="8" t="str">
        <f t="shared" si="76"/>
        <v>INVAILD_SHIPPING</v>
      </c>
      <c r="L182" t="s">
        <v>1590</v>
      </c>
      <c r="M182" t="s">
        <v>39</v>
      </c>
      <c r="N182" t="str">
        <f t="shared" si="67"/>
        <v>Mira Das</v>
      </c>
      <c r="O182" t="s">
        <v>107</v>
      </c>
      <c r="P182" t="str">
        <f t="shared" si="90"/>
        <v>Corporate</v>
      </c>
      <c r="Q182" t="s">
        <v>61</v>
      </c>
      <c r="R182" t="str">
        <f t="shared" si="92"/>
        <v>South</v>
      </c>
      <c r="S182" t="str">
        <f t="shared" si="77"/>
        <v>OK</v>
      </c>
      <c r="T182" t="s">
        <v>228</v>
      </c>
      <c r="U182" t="str">
        <f t="shared" si="68"/>
        <v>Karnataka</v>
      </c>
      <c r="V182" t="s">
        <v>229</v>
      </c>
      <c r="W182" t="str">
        <f t="shared" si="69"/>
        <v>Bengaluru</v>
      </c>
      <c r="X182" t="str">
        <f t="shared" si="70"/>
        <v>Office Supplies</v>
      </c>
      <c r="Y182" t="s">
        <v>29</v>
      </c>
      <c r="Z182" t="s">
        <v>197</v>
      </c>
      <c r="AA182" t="str">
        <f t="shared" si="71"/>
        <v>Binders</v>
      </c>
      <c r="AB182" t="s">
        <v>1591</v>
      </c>
      <c r="AC182" t="s">
        <v>32</v>
      </c>
      <c r="AD182" t="str">
        <f t="shared" si="93"/>
        <v>Second Class</v>
      </c>
      <c r="AE182" t="str">
        <f t="shared" si="78"/>
        <v>OK</v>
      </c>
      <c r="AF182">
        <v>5</v>
      </c>
      <c r="AG182">
        <v>554.04</v>
      </c>
      <c r="AH182">
        <v>0.1</v>
      </c>
      <c r="AI182">
        <f t="shared" si="79"/>
        <v>0.1</v>
      </c>
      <c r="AJ182" t="str">
        <f t="shared" si="80"/>
        <v>OK</v>
      </c>
      <c r="AK182">
        <v>2493.1799999999998</v>
      </c>
      <c r="AL182">
        <v>1764</v>
      </c>
      <c r="AM182">
        <v>729.18</v>
      </c>
      <c r="AN182" t="s">
        <v>33</v>
      </c>
      <c r="AO182" t="str">
        <f t="shared" si="72"/>
        <v>PAID</v>
      </c>
      <c r="AP182" t="str">
        <f t="shared" si="81"/>
        <v>OK</v>
      </c>
      <c r="AQ182" t="s">
        <v>34</v>
      </c>
      <c r="AR182" t="str">
        <f t="shared" si="73"/>
        <v>COMPLETED</v>
      </c>
      <c r="AS182" t="str">
        <f t="shared" si="82"/>
        <v>OK</v>
      </c>
      <c r="AT182">
        <f t="shared" si="83"/>
        <v>2493.1799999999998</v>
      </c>
      <c r="AU182">
        <f t="shared" si="84"/>
        <v>729.17999999999984</v>
      </c>
      <c r="AV182" s="6">
        <f t="shared" si="85"/>
        <v>0.73097409733753638</v>
      </c>
      <c r="AW182" t="str">
        <f t="shared" si="86"/>
        <v>CLEAN</v>
      </c>
      <c r="AX182" s="10" t="str">
        <f t="shared" si="87"/>
        <v>MATCH</v>
      </c>
      <c r="AY182" t="str">
        <f t="shared" si="88"/>
        <v>MATCH</v>
      </c>
    </row>
    <row r="183" spans="1:51">
      <c r="A183" t="s">
        <v>1592</v>
      </c>
      <c r="B183">
        <f t="shared" si="64"/>
        <v>1</v>
      </c>
      <c r="C183" t="s">
        <v>1593</v>
      </c>
      <c r="D183" s="3">
        <v>45504</v>
      </c>
      <c r="E183" t="str">
        <f t="shared" si="65"/>
        <v>2024/07/31</v>
      </c>
      <c r="F183" t="str">
        <f t="shared" si="74"/>
        <v>July</v>
      </c>
      <c r="G183">
        <f t="shared" si="75"/>
        <v>2024</v>
      </c>
      <c r="H183" t="s">
        <v>515</v>
      </c>
      <c r="I183" s="4">
        <v>45390</v>
      </c>
      <c r="J183" s="8">
        <f t="shared" si="66"/>
        <v>-114</v>
      </c>
      <c r="K183" s="8" t="str">
        <f t="shared" si="76"/>
        <v>INVAILD_SHIPPING</v>
      </c>
      <c r="L183" t="s">
        <v>1594</v>
      </c>
      <c r="M183" t="s">
        <v>24</v>
      </c>
      <c r="N183" t="str">
        <f t="shared" si="67"/>
        <v>Karan Malhotra</v>
      </c>
      <c r="O183" t="s">
        <v>40</v>
      </c>
      <c r="P183" t="str">
        <f t="shared" si="90"/>
        <v>Small Business</v>
      </c>
      <c r="Q183" t="s">
        <v>41</v>
      </c>
      <c r="R183" t="str">
        <f t="shared" si="92"/>
        <v>East</v>
      </c>
      <c r="S183" t="str">
        <f t="shared" si="77"/>
        <v>OK</v>
      </c>
      <c r="T183" t="s">
        <v>215</v>
      </c>
      <c r="U183" t="str">
        <f t="shared" si="68"/>
        <v>Assam</v>
      </c>
      <c r="V183" t="s">
        <v>216</v>
      </c>
      <c r="W183" t="str">
        <f t="shared" si="69"/>
        <v>Guwahati</v>
      </c>
      <c r="X183" t="str">
        <f t="shared" si="70"/>
        <v>Technology</v>
      </c>
      <c r="Y183" t="s">
        <v>85</v>
      </c>
      <c r="Z183" t="s">
        <v>222</v>
      </c>
      <c r="AA183" t="str">
        <f t="shared" si="71"/>
        <v>Phones</v>
      </c>
      <c r="AB183" t="s">
        <v>1595</v>
      </c>
      <c r="AC183" t="s">
        <v>66</v>
      </c>
      <c r="AD183" t="str">
        <f t="shared" si="93"/>
        <v>Standard Class</v>
      </c>
      <c r="AE183" t="str">
        <f t="shared" si="78"/>
        <v>OK</v>
      </c>
      <c r="AF183">
        <v>8</v>
      </c>
      <c r="AG183">
        <v>2614.7399999999998</v>
      </c>
      <c r="AI183">
        <f t="shared" si="79"/>
        <v>0</v>
      </c>
      <c r="AJ183" t="str">
        <f t="shared" si="80"/>
        <v>Missing Discount</v>
      </c>
      <c r="AK183">
        <v>15688.44</v>
      </c>
      <c r="AL183">
        <v>10047.33</v>
      </c>
      <c r="AM183">
        <v>5641.11</v>
      </c>
      <c r="AN183" t="s">
        <v>33</v>
      </c>
      <c r="AO183" t="str">
        <f t="shared" si="72"/>
        <v>PAID</v>
      </c>
      <c r="AP183" t="str">
        <f t="shared" si="81"/>
        <v>OK</v>
      </c>
      <c r="AQ183" t="s">
        <v>77</v>
      </c>
      <c r="AR183" t="str">
        <f t="shared" si="73"/>
        <v>CANCELLED</v>
      </c>
      <c r="AS183" t="str">
        <f t="shared" si="82"/>
        <v>EXCLUDE_FROM_SALES</v>
      </c>
      <c r="AT183">
        <f t="shared" si="83"/>
        <v>20917.919999999998</v>
      </c>
      <c r="AU183">
        <f t="shared" si="84"/>
        <v>10870.589999999998</v>
      </c>
      <c r="AV183" s="6">
        <f t="shared" si="85"/>
        <v>0.23254582673611937</v>
      </c>
      <c r="AW183" t="str">
        <f t="shared" si="86"/>
        <v>INVALID</v>
      </c>
      <c r="AX183" s="10" t="str">
        <f t="shared" si="87"/>
        <v>MISMATCH</v>
      </c>
      <c r="AY183" t="str">
        <f t="shared" si="88"/>
        <v>MISMATCH</v>
      </c>
    </row>
    <row r="184" spans="1:51">
      <c r="A184" t="s">
        <v>1604</v>
      </c>
      <c r="B184">
        <f t="shared" si="64"/>
        <v>1</v>
      </c>
      <c r="C184" t="s">
        <v>1605</v>
      </c>
      <c r="D184" s="3">
        <v>45329</v>
      </c>
      <c r="E184" t="str">
        <f t="shared" si="65"/>
        <v>2024/02/07</v>
      </c>
      <c r="F184" t="str">
        <f t="shared" si="74"/>
        <v>February</v>
      </c>
      <c r="G184">
        <f t="shared" si="75"/>
        <v>2024</v>
      </c>
      <c r="H184" t="s">
        <v>1606</v>
      </c>
      <c r="I184" s="4">
        <v>45481</v>
      </c>
      <c r="J184" s="8">
        <f t="shared" si="66"/>
        <v>152</v>
      </c>
      <c r="K184" s="8" t="str">
        <f t="shared" si="76"/>
        <v>OK</v>
      </c>
      <c r="L184" t="s">
        <v>1607</v>
      </c>
      <c r="M184" t="s">
        <v>179</v>
      </c>
      <c r="N184" t="str">
        <f t="shared" si="67"/>
        <v>Rohan Mehta</v>
      </c>
      <c r="O184" t="s">
        <v>25</v>
      </c>
      <c r="P184" t="str">
        <f t="shared" si="90"/>
        <v>Consumer</v>
      </c>
      <c r="Q184" t="s">
        <v>26</v>
      </c>
      <c r="R184" t="str">
        <f t="shared" si="92"/>
        <v>North</v>
      </c>
      <c r="S184" t="str">
        <f t="shared" si="77"/>
        <v>OK</v>
      </c>
      <c r="T184" t="s">
        <v>505</v>
      </c>
      <c r="U184" t="str">
        <f t="shared" si="68"/>
        <v>Delhi</v>
      </c>
      <c r="V184" t="s">
        <v>506</v>
      </c>
      <c r="W184" t="str">
        <f t="shared" si="69"/>
        <v>New Delhi</v>
      </c>
      <c r="X184" t="str">
        <f t="shared" si="70"/>
        <v>Office Supplies</v>
      </c>
      <c r="Y184" t="s">
        <v>29</v>
      </c>
      <c r="Z184" t="s">
        <v>30</v>
      </c>
      <c r="AA184" t="str">
        <f t="shared" si="71"/>
        <v>Paper</v>
      </c>
      <c r="AB184" t="s">
        <v>1608</v>
      </c>
      <c r="AC184" t="s">
        <v>66</v>
      </c>
      <c r="AD184" t="str">
        <f t="shared" si="93"/>
        <v>Standard Class</v>
      </c>
      <c r="AE184" t="str">
        <f t="shared" si="78"/>
        <v>OK</v>
      </c>
      <c r="AF184">
        <v>9</v>
      </c>
      <c r="AG184">
        <v>3450.4</v>
      </c>
      <c r="AH184">
        <v>0.05</v>
      </c>
      <c r="AI184">
        <f t="shared" si="79"/>
        <v>0.05</v>
      </c>
      <c r="AJ184" t="str">
        <f t="shared" si="80"/>
        <v>OK</v>
      </c>
      <c r="AK184">
        <v>29500.92</v>
      </c>
      <c r="AL184">
        <v>17989.68</v>
      </c>
      <c r="AM184">
        <v>11511.24</v>
      </c>
      <c r="AN184" t="s">
        <v>136</v>
      </c>
      <c r="AO184" t="str">
        <f t="shared" si="72"/>
        <v>PENDING</v>
      </c>
      <c r="AP184" t="str">
        <f t="shared" si="81"/>
        <v>OK</v>
      </c>
      <c r="AQ184" t="s">
        <v>124</v>
      </c>
      <c r="AR184" t="str">
        <f t="shared" si="73"/>
        <v>RETURNED</v>
      </c>
      <c r="AS184" t="str">
        <f t="shared" si="82"/>
        <v>RETURNED_ORDER</v>
      </c>
      <c r="AT184">
        <f t="shared" si="83"/>
        <v>29500.920000000002</v>
      </c>
      <c r="AU184">
        <f t="shared" si="84"/>
        <v>11511.240000000002</v>
      </c>
      <c r="AV184" s="6">
        <f t="shared" si="85"/>
        <v>7.2645327671137072E-2</v>
      </c>
      <c r="AW184" t="str">
        <f t="shared" si="86"/>
        <v>CLEAN</v>
      </c>
      <c r="AX184" s="10" t="str">
        <f t="shared" si="87"/>
        <v>MATCH</v>
      </c>
      <c r="AY184" t="str">
        <f t="shared" si="88"/>
        <v>MATCH</v>
      </c>
    </row>
    <row r="185" spans="1:51">
      <c r="A185" t="s">
        <v>1609</v>
      </c>
      <c r="B185">
        <f t="shared" si="64"/>
        <v>1</v>
      </c>
      <c r="C185" t="s">
        <v>1610</v>
      </c>
      <c r="D185" s="3">
        <v>45338</v>
      </c>
      <c r="E185" t="str">
        <f t="shared" si="65"/>
        <v>2024/02/16</v>
      </c>
      <c r="F185" t="str">
        <f t="shared" si="74"/>
        <v>February</v>
      </c>
      <c r="G185">
        <f t="shared" si="75"/>
        <v>2024</v>
      </c>
      <c r="H185" t="s">
        <v>1611</v>
      </c>
      <c r="I185" s="4">
        <v>45340</v>
      </c>
      <c r="J185" s="8">
        <f t="shared" si="66"/>
        <v>2</v>
      </c>
      <c r="K185" s="8" t="str">
        <f t="shared" si="76"/>
        <v>OK</v>
      </c>
      <c r="L185" t="s">
        <v>1612</v>
      </c>
      <c r="M185" t="s">
        <v>24</v>
      </c>
      <c r="N185" t="str">
        <f t="shared" si="67"/>
        <v>Karan Malhotra</v>
      </c>
      <c r="O185" t="s">
        <v>107</v>
      </c>
      <c r="P185" t="str">
        <f t="shared" si="90"/>
        <v>Corporate</v>
      </c>
      <c r="Q185" t="s">
        <v>26</v>
      </c>
      <c r="R185" t="str">
        <f t="shared" si="92"/>
        <v>North</v>
      </c>
      <c r="S185" t="str">
        <f t="shared" si="77"/>
        <v>OK</v>
      </c>
      <c r="T185" t="s">
        <v>153</v>
      </c>
      <c r="U185" t="str">
        <f t="shared" si="68"/>
        <v>Punjab</v>
      </c>
      <c r="V185" t="s">
        <v>154</v>
      </c>
      <c r="W185" t="str">
        <f t="shared" si="69"/>
        <v>Ludhiana</v>
      </c>
      <c r="X185" t="str">
        <f t="shared" si="70"/>
        <v>Office Supplies</v>
      </c>
      <c r="Y185" t="s">
        <v>29</v>
      </c>
      <c r="Z185" t="s">
        <v>108</v>
      </c>
      <c r="AA185" t="str">
        <f t="shared" si="71"/>
        <v>Labels</v>
      </c>
      <c r="AB185" t="s">
        <v>1613</v>
      </c>
      <c r="AC185" t="s">
        <v>66</v>
      </c>
      <c r="AD185" t="str">
        <f t="shared" si="93"/>
        <v>Standard Class</v>
      </c>
      <c r="AE185" t="str">
        <f t="shared" si="78"/>
        <v>OK</v>
      </c>
      <c r="AF185">
        <v>2</v>
      </c>
      <c r="AG185">
        <v>1947.53</v>
      </c>
      <c r="AH185">
        <v>0.2</v>
      </c>
      <c r="AI185">
        <f t="shared" si="79"/>
        <v>0.2</v>
      </c>
      <c r="AJ185" t="str">
        <f t="shared" si="80"/>
        <v>OK</v>
      </c>
      <c r="AK185">
        <v>3116.05</v>
      </c>
      <c r="AL185">
        <v>1956.63</v>
      </c>
      <c r="AM185">
        <v>1159.42</v>
      </c>
      <c r="AN185" t="s">
        <v>33</v>
      </c>
      <c r="AO185" t="str">
        <f t="shared" si="72"/>
        <v>PAID</v>
      </c>
      <c r="AP185" t="str">
        <f t="shared" si="81"/>
        <v>OK</v>
      </c>
      <c r="AQ185" t="s">
        <v>77</v>
      </c>
      <c r="AR185" t="str">
        <f t="shared" si="73"/>
        <v>CANCELLED</v>
      </c>
      <c r="AS185" t="str">
        <f t="shared" si="82"/>
        <v>EXCLUDE_FROM_SALES</v>
      </c>
      <c r="AT185">
        <f t="shared" si="83"/>
        <v>3116.0480000000002</v>
      </c>
      <c r="AU185">
        <f t="shared" si="84"/>
        <v>1159.4180000000001</v>
      </c>
      <c r="AW185" t="str">
        <f t="shared" si="86"/>
        <v>CLEAN</v>
      </c>
      <c r="AX185" s="10" t="str">
        <f t="shared" si="87"/>
        <v>MATCH</v>
      </c>
      <c r="AY185" t="str">
        <f t="shared" si="88"/>
        <v>MATCH</v>
      </c>
    </row>
    <row r="186" spans="1:51">
      <c r="A186" t="s">
        <v>1619</v>
      </c>
      <c r="B186">
        <f t="shared" si="64"/>
        <v>1</v>
      </c>
      <c r="C186" t="s">
        <v>1620</v>
      </c>
      <c r="D186" s="2">
        <v>45407</v>
      </c>
      <c r="E186" t="str">
        <f t="shared" si="65"/>
        <v>2024/04/25</v>
      </c>
      <c r="F186" t="str">
        <f t="shared" si="74"/>
        <v>April</v>
      </c>
      <c r="G186">
        <f t="shared" si="75"/>
        <v>2024</v>
      </c>
      <c r="H186" t="s">
        <v>1621</v>
      </c>
      <c r="I186" s="4">
        <v>45412</v>
      </c>
      <c r="J186" s="8">
        <f t="shared" si="66"/>
        <v>5</v>
      </c>
      <c r="K186" s="8" t="str">
        <f t="shared" si="76"/>
        <v>OK</v>
      </c>
      <c r="L186" t="s">
        <v>1622</v>
      </c>
      <c r="M186" t="s">
        <v>39</v>
      </c>
      <c r="N186" t="str">
        <f t="shared" si="67"/>
        <v>Mira Das</v>
      </c>
      <c r="O186" t="s">
        <v>40</v>
      </c>
      <c r="P186" t="str">
        <f t="shared" si="90"/>
        <v>Small Business</v>
      </c>
      <c r="Q186" t="s">
        <v>61</v>
      </c>
      <c r="R186" t="str">
        <f t="shared" si="92"/>
        <v>South</v>
      </c>
      <c r="S186" t="str">
        <f t="shared" si="77"/>
        <v>OK</v>
      </c>
      <c r="T186" t="s">
        <v>228</v>
      </c>
      <c r="U186" t="str">
        <f t="shared" si="68"/>
        <v>Karnataka</v>
      </c>
      <c r="V186" t="s">
        <v>229</v>
      </c>
      <c r="W186" t="str">
        <f t="shared" si="69"/>
        <v>Bengaluru</v>
      </c>
      <c r="X186" t="str">
        <f t="shared" si="70"/>
        <v>Technology</v>
      </c>
      <c r="Y186" t="s">
        <v>85</v>
      </c>
      <c r="Z186" t="s">
        <v>222</v>
      </c>
      <c r="AA186" t="str">
        <f t="shared" si="71"/>
        <v>Phones</v>
      </c>
      <c r="AB186" t="s">
        <v>1623</v>
      </c>
      <c r="AC186" t="s">
        <v>66</v>
      </c>
      <c r="AD186" t="str">
        <f t="shared" si="93"/>
        <v>Standard Class</v>
      </c>
      <c r="AE186" t="str">
        <f t="shared" si="78"/>
        <v>OK</v>
      </c>
      <c r="AF186">
        <v>3</v>
      </c>
      <c r="AG186">
        <v>4149.46</v>
      </c>
      <c r="AH186">
        <v>0.1</v>
      </c>
      <c r="AI186">
        <f t="shared" si="79"/>
        <v>0.1</v>
      </c>
      <c r="AJ186" t="str">
        <f t="shared" si="80"/>
        <v>OK</v>
      </c>
      <c r="AK186">
        <v>11203.54</v>
      </c>
      <c r="AL186">
        <v>8452.93</v>
      </c>
      <c r="AM186">
        <v>2750.61</v>
      </c>
      <c r="AN186" t="s">
        <v>33</v>
      </c>
      <c r="AO186" t="str">
        <f t="shared" si="72"/>
        <v>PAID</v>
      </c>
      <c r="AP186" t="str">
        <f t="shared" si="81"/>
        <v>OK</v>
      </c>
      <c r="AQ186" t="s">
        <v>34</v>
      </c>
      <c r="AR186" t="str">
        <f t="shared" si="73"/>
        <v>COMPLETED</v>
      </c>
      <c r="AS186" t="str">
        <f t="shared" si="82"/>
        <v>OK</v>
      </c>
      <c r="AT186">
        <f t="shared" si="83"/>
        <v>11203.542000000001</v>
      </c>
      <c r="AU186">
        <f t="shared" si="84"/>
        <v>2750.612000000001</v>
      </c>
      <c r="AV186" s="6">
        <f t="shared" si="85"/>
        <v>0.57656766047737396</v>
      </c>
      <c r="AW186" t="str">
        <f t="shared" si="86"/>
        <v>CLEAN</v>
      </c>
      <c r="AX186" s="10" t="str">
        <f t="shared" si="87"/>
        <v>MATCH</v>
      </c>
      <c r="AY186" t="str">
        <f t="shared" si="88"/>
        <v>MATCH</v>
      </c>
    </row>
    <row r="187" spans="1:51">
      <c r="A187" t="s">
        <v>1624</v>
      </c>
      <c r="B187">
        <f t="shared" si="64"/>
        <v>1</v>
      </c>
      <c r="C187" t="s">
        <v>1625</v>
      </c>
      <c r="D187" s="2">
        <v>45525</v>
      </c>
      <c r="E187" t="str">
        <f t="shared" si="65"/>
        <v>2024/08/21</v>
      </c>
      <c r="F187" t="str">
        <f t="shared" si="74"/>
        <v>August</v>
      </c>
      <c r="G187">
        <f t="shared" si="75"/>
        <v>2024</v>
      </c>
      <c r="H187" t="s">
        <v>1626</v>
      </c>
      <c r="I187" s="4">
        <v>45529</v>
      </c>
      <c r="J187" s="8">
        <f t="shared" si="66"/>
        <v>4</v>
      </c>
      <c r="K187" s="8" t="str">
        <f t="shared" si="76"/>
        <v>OK</v>
      </c>
      <c r="L187" t="s">
        <v>1627</v>
      </c>
      <c r="M187" t="s">
        <v>209</v>
      </c>
      <c r="N187" t="str">
        <f t="shared" si="67"/>
        <v>Diya Patel</v>
      </c>
      <c r="O187" t="s">
        <v>25</v>
      </c>
      <c r="P187" t="str">
        <f t="shared" si="90"/>
        <v>Consumer</v>
      </c>
      <c r="Q187" t="s">
        <v>72</v>
      </c>
      <c r="R187" t="str">
        <f t="shared" si="92"/>
        <v>West</v>
      </c>
      <c r="S187" t="str">
        <f t="shared" si="77"/>
        <v>OK</v>
      </c>
      <c r="T187" t="s">
        <v>234</v>
      </c>
      <c r="U187" t="str">
        <f t="shared" si="68"/>
        <v>Gujarat</v>
      </c>
      <c r="V187" t="s">
        <v>235</v>
      </c>
      <c r="W187" t="str">
        <f t="shared" si="69"/>
        <v>Ahmedabad</v>
      </c>
      <c r="X187" t="str">
        <f t="shared" si="70"/>
        <v>Office Supplies</v>
      </c>
      <c r="Y187" t="s">
        <v>29</v>
      </c>
      <c r="Z187" t="s">
        <v>197</v>
      </c>
      <c r="AA187" t="str">
        <f t="shared" si="71"/>
        <v>Binders</v>
      </c>
      <c r="AB187" t="s">
        <v>1628</v>
      </c>
      <c r="AC187" t="s">
        <v>55</v>
      </c>
      <c r="AD187" t="str">
        <f t="shared" si="93"/>
        <v>First Class</v>
      </c>
      <c r="AE187" t="str">
        <f t="shared" si="78"/>
        <v>OK</v>
      </c>
      <c r="AF187">
        <v>1</v>
      </c>
      <c r="AG187">
        <v>270.27999999999997</v>
      </c>
      <c r="AH187">
        <v>0</v>
      </c>
      <c r="AI187">
        <f t="shared" si="79"/>
        <v>0</v>
      </c>
      <c r="AJ187" t="str">
        <f t="shared" si="80"/>
        <v>OK</v>
      </c>
      <c r="AK187">
        <v>270.27999999999997</v>
      </c>
      <c r="AL187">
        <v>156.34</v>
      </c>
      <c r="AM187">
        <v>113.94</v>
      </c>
      <c r="AN187" t="s">
        <v>33</v>
      </c>
      <c r="AO187" t="str">
        <f t="shared" si="72"/>
        <v>PAID</v>
      </c>
      <c r="AP187" t="str">
        <f t="shared" si="81"/>
        <v>OK</v>
      </c>
      <c r="AQ187" t="s">
        <v>34</v>
      </c>
      <c r="AR187" t="str">
        <f t="shared" si="73"/>
        <v>COMPLETED</v>
      </c>
      <c r="AS187" t="str">
        <f t="shared" si="82"/>
        <v>OK</v>
      </c>
      <c r="AT187">
        <f t="shared" si="83"/>
        <v>270.27999999999997</v>
      </c>
      <c r="AU187">
        <f t="shared" si="84"/>
        <v>113.93999999999997</v>
      </c>
      <c r="AV187" s="6">
        <f t="shared" si="85"/>
        <v>7.4958783483794607</v>
      </c>
      <c r="AW187" t="str">
        <f t="shared" si="86"/>
        <v>CLEAN</v>
      </c>
      <c r="AX187" s="10" t="str">
        <f t="shared" si="87"/>
        <v>MATCH</v>
      </c>
      <c r="AY187" t="str">
        <f t="shared" si="88"/>
        <v>MATCH</v>
      </c>
    </row>
    <row r="188" spans="1:51">
      <c r="A188" t="s">
        <v>1629</v>
      </c>
      <c r="B188">
        <f t="shared" si="64"/>
        <v>1</v>
      </c>
      <c r="C188" t="s">
        <v>1630</v>
      </c>
      <c r="D188" s="3">
        <v>45394</v>
      </c>
      <c r="E188" t="str">
        <f t="shared" si="65"/>
        <v>2024/04/12</v>
      </c>
      <c r="F188" t="str">
        <f t="shared" si="74"/>
        <v>April</v>
      </c>
      <c r="G188">
        <f t="shared" si="75"/>
        <v>2024</v>
      </c>
      <c r="H188" t="s">
        <v>1631</v>
      </c>
      <c r="I188" s="4">
        <v>45632</v>
      </c>
      <c r="J188" s="8">
        <f t="shared" si="66"/>
        <v>238</v>
      </c>
      <c r="K188" s="8" t="str">
        <f t="shared" si="76"/>
        <v>OK</v>
      </c>
      <c r="L188" t="s">
        <v>1632</v>
      </c>
      <c r="M188" t="s">
        <v>161</v>
      </c>
      <c r="N188" t="str">
        <f t="shared" si="67"/>
        <v>Aarav Sharma</v>
      </c>
      <c r="O188" t="s">
        <v>114</v>
      </c>
      <c r="P188" t="str">
        <f t="shared" si="90"/>
        <v>Home Office</v>
      </c>
      <c r="Q188" t="s">
        <v>41</v>
      </c>
      <c r="R188" t="str">
        <f t="shared" si="92"/>
        <v>East</v>
      </c>
      <c r="S188" t="str">
        <f t="shared" si="77"/>
        <v>OK</v>
      </c>
      <c r="T188" t="s">
        <v>120</v>
      </c>
      <c r="U188" t="str">
        <f t="shared" si="68"/>
        <v>West Bengal</v>
      </c>
      <c r="V188" t="s">
        <v>121</v>
      </c>
      <c r="W188" t="str">
        <f t="shared" si="69"/>
        <v>Kolkata</v>
      </c>
      <c r="X188" t="str">
        <f t="shared" si="70"/>
        <v>Office Supplies</v>
      </c>
      <c r="Y188" t="s">
        <v>29</v>
      </c>
      <c r="Z188" t="s">
        <v>53</v>
      </c>
      <c r="AA188" t="str">
        <f t="shared" si="71"/>
        <v>Art</v>
      </c>
      <c r="AB188" t="s">
        <v>1633</v>
      </c>
      <c r="AC188" t="s">
        <v>32</v>
      </c>
      <c r="AD188" t="str">
        <f t="shared" si="93"/>
        <v>Second Class</v>
      </c>
      <c r="AE188" t="str">
        <f t="shared" si="78"/>
        <v>OK</v>
      </c>
      <c r="AF188">
        <v>3</v>
      </c>
      <c r="AG188">
        <v>876.14</v>
      </c>
      <c r="AH188" t="s">
        <v>680</v>
      </c>
      <c r="AI188">
        <f t="shared" si="79"/>
        <v>0.7</v>
      </c>
      <c r="AJ188" t="str">
        <f t="shared" si="80"/>
        <v>OK</v>
      </c>
      <c r="AK188">
        <v>2628.42</v>
      </c>
      <c r="AL188">
        <v>1541.54</v>
      </c>
      <c r="AM188">
        <v>1086.8800000000001</v>
      </c>
      <c r="AN188" t="s">
        <v>136</v>
      </c>
      <c r="AO188" t="str">
        <f t="shared" si="72"/>
        <v>PENDING</v>
      </c>
      <c r="AP188" t="str">
        <f t="shared" si="81"/>
        <v>OK</v>
      </c>
      <c r="AQ188" t="s">
        <v>124</v>
      </c>
      <c r="AR188" t="str">
        <f t="shared" si="73"/>
        <v>RETURNED</v>
      </c>
      <c r="AS188" t="str">
        <f t="shared" si="82"/>
        <v>RETURNED_ORDER</v>
      </c>
      <c r="AT188">
        <f t="shared" si="83"/>
        <v>788.52600000000018</v>
      </c>
      <c r="AU188">
        <f t="shared" si="84"/>
        <v>-753.01399999999978</v>
      </c>
      <c r="AV188" s="6">
        <f t="shared" si="85"/>
        <v>5.0101455120059457</v>
      </c>
      <c r="AW188" t="str">
        <f t="shared" si="86"/>
        <v>CLEAN</v>
      </c>
      <c r="AX188" s="10" t="str">
        <f t="shared" si="87"/>
        <v>MISMATCH</v>
      </c>
      <c r="AY188" t="str">
        <f t="shared" si="88"/>
        <v>MISMATCH</v>
      </c>
    </row>
    <row r="189" spans="1:51">
      <c r="A189" t="s">
        <v>1634</v>
      </c>
      <c r="B189">
        <f t="shared" si="64"/>
        <v>1</v>
      </c>
      <c r="C189" t="s">
        <v>1635</v>
      </c>
      <c r="D189" s="3">
        <v>45466</v>
      </c>
      <c r="E189" t="str">
        <f t="shared" si="65"/>
        <v>2024/06/23</v>
      </c>
      <c r="F189" t="str">
        <f t="shared" si="74"/>
        <v>June</v>
      </c>
      <c r="G189">
        <f t="shared" si="75"/>
        <v>2024</v>
      </c>
      <c r="H189" t="s">
        <v>1636</v>
      </c>
      <c r="I189" s="4">
        <v>45473</v>
      </c>
      <c r="J189" s="8">
        <f t="shared" si="66"/>
        <v>7</v>
      </c>
      <c r="K189" s="8" t="str">
        <f t="shared" si="76"/>
        <v>OK</v>
      </c>
      <c r="L189" t="s">
        <v>1637</v>
      </c>
      <c r="M189" t="s">
        <v>92</v>
      </c>
      <c r="N189" t="str">
        <f t="shared" si="67"/>
        <v>Neha Gupta</v>
      </c>
      <c r="O189" t="s">
        <v>40</v>
      </c>
      <c r="P189" t="str">
        <f t="shared" si="90"/>
        <v>Small Business</v>
      </c>
      <c r="Q189" t="s">
        <v>72</v>
      </c>
      <c r="R189" t="str">
        <f t="shared" si="92"/>
        <v>West</v>
      </c>
      <c r="S189" t="str">
        <f t="shared" si="77"/>
        <v>OK</v>
      </c>
      <c r="T189" t="s">
        <v>248</v>
      </c>
      <c r="U189" t="str">
        <f t="shared" si="68"/>
        <v>Goa</v>
      </c>
      <c r="V189" t="s">
        <v>249</v>
      </c>
      <c r="W189" t="str">
        <f t="shared" si="69"/>
        <v>Panaji</v>
      </c>
      <c r="X189" t="str">
        <f t="shared" si="70"/>
        <v>Technology</v>
      </c>
      <c r="Y189" t="s">
        <v>85</v>
      </c>
      <c r="Z189" t="s">
        <v>86</v>
      </c>
      <c r="AA189" t="str">
        <f t="shared" si="71"/>
        <v>Accessories</v>
      </c>
      <c r="AB189" t="s">
        <v>1638</v>
      </c>
      <c r="AC189" t="s">
        <v>47</v>
      </c>
      <c r="AD189" t="str">
        <f t="shared" si="93"/>
        <v>Same Day</v>
      </c>
      <c r="AE189" t="str">
        <f t="shared" si="78"/>
        <v>OK</v>
      </c>
      <c r="AF189">
        <v>4</v>
      </c>
      <c r="AG189">
        <v>674.82</v>
      </c>
      <c r="AH189">
        <v>0</v>
      </c>
      <c r="AI189">
        <f t="shared" si="79"/>
        <v>0</v>
      </c>
      <c r="AJ189" t="str">
        <f t="shared" si="80"/>
        <v>OK</v>
      </c>
      <c r="AK189">
        <v>2699.28</v>
      </c>
      <c r="AL189">
        <v>1759.76</v>
      </c>
      <c r="AM189">
        <v>939.52</v>
      </c>
      <c r="AN189" t="s">
        <v>199</v>
      </c>
      <c r="AO189" t="str">
        <f t="shared" si="72"/>
        <v>FAILED</v>
      </c>
      <c r="AP189" t="str">
        <f t="shared" si="81"/>
        <v>EXCLUDE_FROM_SALES</v>
      </c>
      <c r="AQ189" t="s">
        <v>77</v>
      </c>
      <c r="AR189" t="str">
        <f t="shared" si="73"/>
        <v>CANCELLED</v>
      </c>
      <c r="AS189" t="str">
        <f t="shared" si="82"/>
        <v>EXCLUDE_FROM_SALES</v>
      </c>
      <c r="AT189">
        <f t="shared" si="83"/>
        <v>2699.28</v>
      </c>
      <c r="AU189">
        <f t="shared" si="84"/>
        <v>939.52000000000021</v>
      </c>
      <c r="AV189" s="6">
        <f t="shared" si="85"/>
        <v>0.10740567855131734</v>
      </c>
      <c r="AW189" t="str">
        <f t="shared" si="86"/>
        <v>CLEAN</v>
      </c>
      <c r="AX189" s="10" t="str">
        <f t="shared" si="87"/>
        <v>MATCH</v>
      </c>
      <c r="AY189" t="str">
        <f t="shared" si="88"/>
        <v>MATCH</v>
      </c>
    </row>
    <row r="190" spans="1:51">
      <c r="A190" t="s">
        <v>1639</v>
      </c>
      <c r="B190">
        <f t="shared" si="64"/>
        <v>1</v>
      </c>
      <c r="C190" t="s">
        <v>1535</v>
      </c>
      <c r="D190" s="3">
        <v>45637</v>
      </c>
      <c r="E190" t="str">
        <f t="shared" si="65"/>
        <v>2024/12/11</v>
      </c>
      <c r="F190" t="str">
        <f t="shared" si="74"/>
        <v>December</v>
      </c>
      <c r="G190">
        <f t="shared" si="75"/>
        <v>2024</v>
      </c>
      <c r="H190" t="s">
        <v>1640</v>
      </c>
      <c r="I190" s="4">
        <v>45637</v>
      </c>
      <c r="J190" s="8">
        <f t="shared" si="66"/>
        <v>0</v>
      </c>
      <c r="K190" s="8" t="str">
        <f t="shared" si="76"/>
        <v>OK</v>
      </c>
      <c r="L190" t="s">
        <v>1641</v>
      </c>
      <c r="M190" t="s">
        <v>52</v>
      </c>
      <c r="N190" t="str">
        <f t="shared" si="67"/>
        <v>Isha Nair</v>
      </c>
      <c r="O190" t="s">
        <v>25</v>
      </c>
      <c r="P190" t="str">
        <f t="shared" si="90"/>
        <v>Consumer</v>
      </c>
      <c r="Q190" t="s">
        <v>26</v>
      </c>
      <c r="R190" t="str">
        <f t="shared" si="92"/>
        <v>North</v>
      </c>
      <c r="S190" t="str">
        <f t="shared" si="77"/>
        <v>OK</v>
      </c>
      <c r="T190" t="s">
        <v>173</v>
      </c>
      <c r="U190" t="str">
        <f t="shared" si="68"/>
        <v>Uttar Pradesh</v>
      </c>
      <c r="V190" t="s">
        <v>174</v>
      </c>
      <c r="W190" t="str">
        <f t="shared" si="69"/>
        <v>Noida</v>
      </c>
      <c r="X190" t="str">
        <f t="shared" si="70"/>
        <v>Technology</v>
      </c>
      <c r="Y190" t="s">
        <v>85</v>
      </c>
      <c r="Z190" t="s">
        <v>222</v>
      </c>
      <c r="AA190" t="str">
        <f t="shared" si="71"/>
        <v>Phones</v>
      </c>
      <c r="AB190" t="s">
        <v>1642</v>
      </c>
      <c r="AC190" t="s">
        <v>32</v>
      </c>
      <c r="AD190" t="str">
        <f t="shared" si="93"/>
        <v>Second Class</v>
      </c>
      <c r="AE190" t="str">
        <f t="shared" si="78"/>
        <v>OK</v>
      </c>
      <c r="AF190">
        <v>6</v>
      </c>
      <c r="AG190">
        <v>1369.48</v>
      </c>
      <c r="AH190">
        <v>0.15</v>
      </c>
      <c r="AI190">
        <f t="shared" si="79"/>
        <v>0.15</v>
      </c>
      <c r="AJ190" t="str">
        <f t="shared" si="80"/>
        <v>OK</v>
      </c>
      <c r="AK190">
        <v>6984.35</v>
      </c>
      <c r="AL190">
        <v>4023.63</v>
      </c>
      <c r="AM190">
        <v>2960.72</v>
      </c>
      <c r="AN190" t="s">
        <v>33</v>
      </c>
      <c r="AO190" t="str">
        <f t="shared" si="72"/>
        <v>PAID</v>
      </c>
      <c r="AP190" t="str">
        <f t="shared" si="81"/>
        <v>OK</v>
      </c>
      <c r="AQ190" t="s">
        <v>34</v>
      </c>
      <c r="AR190" t="str">
        <f t="shared" si="73"/>
        <v>COMPLETED</v>
      </c>
      <c r="AS190" t="str">
        <f t="shared" si="82"/>
        <v>OK</v>
      </c>
      <c r="AT190">
        <f t="shared" si="83"/>
        <v>6984.3480000000009</v>
      </c>
      <c r="AU190">
        <f t="shared" si="84"/>
        <v>2960.7180000000008</v>
      </c>
      <c r="AV190" s="6">
        <f t="shared" si="85"/>
        <v>0.50564347595509274</v>
      </c>
      <c r="AW190" t="str">
        <f t="shared" si="86"/>
        <v>CLEAN</v>
      </c>
      <c r="AX190" s="10" t="str">
        <f t="shared" si="87"/>
        <v>MATCH</v>
      </c>
      <c r="AY190" t="str">
        <f t="shared" si="88"/>
        <v>MATCH</v>
      </c>
    </row>
    <row r="191" spans="1:51">
      <c r="A191" t="s">
        <v>1643</v>
      </c>
      <c r="B191">
        <f t="shared" si="64"/>
        <v>1</v>
      </c>
      <c r="C191" t="s">
        <v>1644</v>
      </c>
      <c r="D191" s="3">
        <v>45347</v>
      </c>
      <c r="E191" t="str">
        <f t="shared" si="65"/>
        <v>2024/02/25</v>
      </c>
      <c r="F191" t="str">
        <f t="shared" si="74"/>
        <v>February</v>
      </c>
      <c r="G191">
        <f t="shared" si="75"/>
        <v>2024</v>
      </c>
      <c r="H191" t="s">
        <v>1645</v>
      </c>
      <c r="I191" s="4">
        <v>45351</v>
      </c>
      <c r="J191" s="8">
        <f t="shared" si="66"/>
        <v>4</v>
      </c>
      <c r="K191" s="8" t="str">
        <f t="shared" si="76"/>
        <v>OK</v>
      </c>
      <c r="L191" t="s">
        <v>1646</v>
      </c>
      <c r="M191" t="s">
        <v>52</v>
      </c>
      <c r="N191" t="str">
        <f t="shared" si="67"/>
        <v>Isha Nair</v>
      </c>
      <c r="O191" t="s">
        <v>40</v>
      </c>
      <c r="P191" t="str">
        <f t="shared" si="90"/>
        <v>Small Business</v>
      </c>
      <c r="Q191" t="s">
        <v>72</v>
      </c>
      <c r="R191" t="str">
        <f t="shared" si="92"/>
        <v>West</v>
      </c>
      <c r="S191" t="str">
        <f t="shared" si="77"/>
        <v>OK</v>
      </c>
      <c r="T191" t="s">
        <v>248</v>
      </c>
      <c r="U191" t="str">
        <f t="shared" si="68"/>
        <v>Goa</v>
      </c>
      <c r="V191" t="s">
        <v>249</v>
      </c>
      <c r="W191" t="str">
        <f t="shared" si="69"/>
        <v>Panaji</v>
      </c>
      <c r="X191" t="str">
        <f t="shared" si="70"/>
        <v>Furniture</v>
      </c>
      <c r="Y191" t="s">
        <v>44</v>
      </c>
      <c r="Z191" t="s">
        <v>64</v>
      </c>
      <c r="AA191" t="str">
        <f t="shared" si="71"/>
        <v>Furnishings</v>
      </c>
      <c r="AB191" t="s">
        <v>192</v>
      </c>
      <c r="AC191" t="s">
        <v>66</v>
      </c>
      <c r="AD191" t="str">
        <f t="shared" si="93"/>
        <v>Standard Class</v>
      </c>
      <c r="AE191" t="str">
        <f t="shared" si="78"/>
        <v>OK</v>
      </c>
      <c r="AF191">
        <v>9</v>
      </c>
      <c r="AG191">
        <v>1331.46</v>
      </c>
      <c r="AH191">
        <v>0.15</v>
      </c>
      <c r="AI191">
        <f t="shared" si="79"/>
        <v>0.15</v>
      </c>
      <c r="AJ191" t="str">
        <f t="shared" si="80"/>
        <v>OK</v>
      </c>
      <c r="AK191">
        <v>10185.67</v>
      </c>
      <c r="AL191">
        <v>6479.31</v>
      </c>
      <c r="AM191">
        <v>3706.36</v>
      </c>
      <c r="AN191" t="s">
        <v>33</v>
      </c>
      <c r="AO191" t="str">
        <f t="shared" si="72"/>
        <v>PAID</v>
      </c>
      <c r="AP191" t="str">
        <f t="shared" si="81"/>
        <v>OK</v>
      </c>
      <c r="AQ191" t="s">
        <v>34</v>
      </c>
      <c r="AR191" t="str">
        <f t="shared" si="73"/>
        <v>COMPLETED</v>
      </c>
      <c r="AS191" t="str">
        <f t="shared" si="82"/>
        <v>OK</v>
      </c>
      <c r="AT191">
        <f t="shared" si="83"/>
        <v>10185.669</v>
      </c>
      <c r="AU191">
        <f t="shared" si="84"/>
        <v>3706.3589999999995</v>
      </c>
      <c r="AV191" s="6">
        <f t="shared" si="85"/>
        <v>0.48469069631066936</v>
      </c>
      <c r="AW191" t="str">
        <f t="shared" si="86"/>
        <v>CLEAN</v>
      </c>
      <c r="AX191" s="10" t="str">
        <f t="shared" si="87"/>
        <v>MATCH</v>
      </c>
      <c r="AY191" t="str">
        <f t="shared" si="88"/>
        <v>MATCH</v>
      </c>
    </row>
    <row r="192" spans="1:51">
      <c r="A192" t="s">
        <v>1660</v>
      </c>
      <c r="B192">
        <f t="shared" si="64"/>
        <v>1</v>
      </c>
      <c r="C192" t="s">
        <v>1661</v>
      </c>
      <c r="D192" s="3">
        <v>45497</v>
      </c>
      <c r="E192" t="str">
        <f t="shared" si="65"/>
        <v>2024/07/24</v>
      </c>
      <c r="F192" t="str">
        <f t="shared" si="74"/>
        <v>July</v>
      </c>
      <c r="G192">
        <f t="shared" si="75"/>
        <v>2024</v>
      </c>
      <c r="H192" t="s">
        <v>263</v>
      </c>
      <c r="I192" s="4">
        <v>45500</v>
      </c>
      <c r="J192" s="8">
        <f t="shared" si="66"/>
        <v>3</v>
      </c>
      <c r="K192" s="8" t="str">
        <f t="shared" si="76"/>
        <v>OK</v>
      </c>
      <c r="L192" t="s">
        <v>1662</v>
      </c>
      <c r="M192" t="s">
        <v>52</v>
      </c>
      <c r="N192" t="str">
        <f t="shared" si="67"/>
        <v>Isha Nair</v>
      </c>
      <c r="O192" t="s">
        <v>25</v>
      </c>
      <c r="P192" t="str">
        <f t="shared" si="90"/>
        <v>Consumer</v>
      </c>
      <c r="Q192" t="s">
        <v>72</v>
      </c>
      <c r="R192" t="str">
        <f t="shared" si="92"/>
        <v>West</v>
      </c>
      <c r="S192" t="str">
        <f t="shared" si="77"/>
        <v>OK</v>
      </c>
      <c r="T192" t="s">
        <v>27</v>
      </c>
      <c r="U192" t="str">
        <f t="shared" si="68"/>
        <v>Rajasthan</v>
      </c>
      <c r="V192" t="s">
        <v>134</v>
      </c>
      <c r="W192" t="str">
        <f t="shared" si="69"/>
        <v>Udaipur</v>
      </c>
      <c r="X192" t="str">
        <f t="shared" si="70"/>
        <v>Technology</v>
      </c>
      <c r="Y192" t="s">
        <v>85</v>
      </c>
      <c r="Z192" t="s">
        <v>86</v>
      </c>
      <c r="AA192" t="str">
        <f t="shared" si="71"/>
        <v>Accessories</v>
      </c>
      <c r="AB192" t="s">
        <v>1663</v>
      </c>
      <c r="AC192" t="s">
        <v>32</v>
      </c>
      <c r="AD192" t="str">
        <f t="shared" si="93"/>
        <v>Second Class</v>
      </c>
      <c r="AE192" t="str">
        <f t="shared" si="78"/>
        <v>OK</v>
      </c>
      <c r="AF192">
        <v>3</v>
      </c>
      <c r="AG192">
        <v>1834.55</v>
      </c>
      <c r="AH192">
        <v>0.2</v>
      </c>
      <c r="AI192">
        <f t="shared" si="79"/>
        <v>0.2</v>
      </c>
      <c r="AJ192" t="str">
        <f t="shared" si="80"/>
        <v>OK</v>
      </c>
      <c r="AK192">
        <v>4402.92</v>
      </c>
      <c r="AL192">
        <v>2993.94</v>
      </c>
      <c r="AM192">
        <v>1408.98</v>
      </c>
      <c r="AN192" t="s">
        <v>136</v>
      </c>
      <c r="AO192" t="str">
        <f t="shared" si="72"/>
        <v>PENDING</v>
      </c>
      <c r="AP192" t="str">
        <f t="shared" si="81"/>
        <v>OK</v>
      </c>
      <c r="AQ192" t="s">
        <v>77</v>
      </c>
      <c r="AR192" t="str">
        <f t="shared" si="73"/>
        <v>CANCELLED</v>
      </c>
      <c r="AS192" t="str">
        <f t="shared" si="82"/>
        <v>EXCLUDE_FROM_SALES</v>
      </c>
      <c r="AT192">
        <f t="shared" si="83"/>
        <v>4402.92</v>
      </c>
      <c r="AU192">
        <f t="shared" si="84"/>
        <v>1408.98</v>
      </c>
      <c r="AV192" s="6">
        <f t="shared" si="85"/>
        <v>0.97679403668474574</v>
      </c>
      <c r="AW192" t="str">
        <f t="shared" si="86"/>
        <v>CLEAN</v>
      </c>
      <c r="AX192" s="10" t="str">
        <f t="shared" si="87"/>
        <v>MATCH</v>
      </c>
      <c r="AY192" t="str">
        <f t="shared" si="88"/>
        <v>MATCH</v>
      </c>
    </row>
    <row r="193" spans="1:51">
      <c r="A193" t="s">
        <v>1673</v>
      </c>
      <c r="B193">
        <f t="shared" si="64"/>
        <v>1</v>
      </c>
      <c r="C193" t="s">
        <v>1127</v>
      </c>
      <c r="D193" s="3">
        <v>45428</v>
      </c>
      <c r="E193" t="str">
        <f t="shared" si="65"/>
        <v>2024/05/16</v>
      </c>
      <c r="F193" t="str">
        <f t="shared" si="74"/>
        <v>May</v>
      </c>
      <c r="G193">
        <f t="shared" si="75"/>
        <v>2024</v>
      </c>
      <c r="H193" t="s">
        <v>708</v>
      </c>
      <c r="I193" s="4">
        <v>45436</v>
      </c>
      <c r="J193" s="8">
        <f t="shared" si="66"/>
        <v>8</v>
      </c>
      <c r="K193" s="8" t="str">
        <f t="shared" si="76"/>
        <v>OK</v>
      </c>
      <c r="L193" t="s">
        <v>1674</v>
      </c>
      <c r="M193" t="s">
        <v>60</v>
      </c>
      <c r="N193" t="str">
        <f t="shared" si="67"/>
        <v>Arjun Bose</v>
      </c>
      <c r="O193" t="s">
        <v>114</v>
      </c>
      <c r="P193" t="str">
        <f t="shared" si="90"/>
        <v>Home Office</v>
      </c>
      <c r="Q193" t="s">
        <v>26</v>
      </c>
      <c r="R193" t="str">
        <f t="shared" si="92"/>
        <v>North</v>
      </c>
      <c r="S193" t="str">
        <f t="shared" si="77"/>
        <v>OK</v>
      </c>
      <c r="T193" t="s">
        <v>153</v>
      </c>
      <c r="U193" t="str">
        <f t="shared" si="68"/>
        <v>Punjab</v>
      </c>
      <c r="V193" t="s">
        <v>154</v>
      </c>
      <c r="W193" t="str">
        <f t="shared" si="69"/>
        <v>Ludhiana</v>
      </c>
      <c r="X193" t="str">
        <f t="shared" si="70"/>
        <v>Technology</v>
      </c>
      <c r="Y193" t="s">
        <v>85</v>
      </c>
      <c r="Z193" t="s">
        <v>86</v>
      </c>
      <c r="AA193" t="str">
        <f t="shared" si="71"/>
        <v>Accessories</v>
      </c>
      <c r="AB193" t="s">
        <v>1675</v>
      </c>
      <c r="AC193" t="s">
        <v>47</v>
      </c>
      <c r="AD193" t="str">
        <f t="shared" si="93"/>
        <v>Same Day</v>
      </c>
      <c r="AE193" t="str">
        <f t="shared" si="78"/>
        <v>OK</v>
      </c>
      <c r="AF193">
        <v>1</v>
      </c>
      <c r="AG193">
        <v>783.09</v>
      </c>
      <c r="AH193">
        <v>0</v>
      </c>
      <c r="AI193">
        <f t="shared" si="79"/>
        <v>0</v>
      </c>
      <c r="AJ193" t="str">
        <f t="shared" si="80"/>
        <v>OK</v>
      </c>
      <c r="AK193">
        <v>783.09</v>
      </c>
      <c r="AL193">
        <v>503.89</v>
      </c>
      <c r="AM193">
        <v>279.2</v>
      </c>
      <c r="AN193" t="s">
        <v>199</v>
      </c>
      <c r="AO193" t="str">
        <f t="shared" si="72"/>
        <v>FAILED</v>
      </c>
      <c r="AP193" t="str">
        <f t="shared" si="81"/>
        <v>EXCLUDE_FROM_SALES</v>
      </c>
      <c r="AQ193" t="s">
        <v>77</v>
      </c>
      <c r="AR193" t="str">
        <f t="shared" si="73"/>
        <v>CANCELLED</v>
      </c>
      <c r="AS193" t="str">
        <f t="shared" si="82"/>
        <v>EXCLUDE_FROM_SALES</v>
      </c>
      <c r="AT193">
        <f t="shared" si="83"/>
        <v>783.09</v>
      </c>
      <c r="AU193">
        <f t="shared" si="84"/>
        <v>279.20000000000005</v>
      </c>
      <c r="AV193" s="6">
        <f t="shared" si="85"/>
        <v>4.0537103014979117</v>
      </c>
      <c r="AW193" t="str">
        <f t="shared" si="86"/>
        <v>CLEAN</v>
      </c>
      <c r="AX193" s="10" t="str">
        <f t="shared" si="87"/>
        <v>MATCH</v>
      </c>
      <c r="AY193" t="str">
        <f t="shared" si="88"/>
        <v>MATCH</v>
      </c>
    </row>
    <row r="194" spans="1:51">
      <c r="A194" t="s">
        <v>1676</v>
      </c>
      <c r="B194">
        <f t="shared" ref="B194:B257" si="94">COUNTIF($A:$A,A194)</f>
        <v>2</v>
      </c>
      <c r="C194" t="s">
        <v>704</v>
      </c>
      <c r="D194" s="3">
        <v>45630</v>
      </c>
      <c r="E194" t="str">
        <f t="shared" ref="E194:E257" si="95">IFERROR(
TEXT(
  IF(ISNUMBER(SEARCH("/",D194)),
     DATE(RIGHT(D194,4),LEFT(D194,FIND("/",D194)-1),
          MID(D194,FIND("/",D194)+1,FIND("/",D194,FIND("/",D194)+1)-FIND("/",D194)-1)),
     IF(ISNUMBER(SEARCH("-",D194)),
        DATEVALUE(SUBSTITUTE(D194,"-","/")),
        DATEVALUE(TEXT(D194,"dd mmm yyyy"))
     )
  ),
"yyyy/mm/dd"
),
"")</f>
        <v>2024/12/04</v>
      </c>
      <c r="F194" t="str">
        <f t="shared" si="74"/>
        <v>December</v>
      </c>
      <c r="G194">
        <f t="shared" si="75"/>
        <v>2024</v>
      </c>
      <c r="H194" t="s">
        <v>1677</v>
      </c>
      <c r="I194" s="4">
        <v>45632</v>
      </c>
      <c r="J194" s="8">
        <f t="shared" ref="J194:J257" si="96">I194-E194</f>
        <v>2</v>
      </c>
      <c r="K194" s="8" t="str">
        <f t="shared" si="76"/>
        <v>OK</v>
      </c>
      <c r="L194" t="s">
        <v>1678</v>
      </c>
      <c r="M194" t="s">
        <v>167</v>
      </c>
      <c r="N194" t="str">
        <f t="shared" ref="N194:N257" si="97">PROPER(TRIM(SUBSTITUTE(M194,CHAR(160)," ")))</f>
        <v>Sneha Kapoor</v>
      </c>
      <c r="O194" t="s">
        <v>114</v>
      </c>
      <c r="P194" t="str">
        <f t="shared" si="90"/>
        <v>Home Office</v>
      </c>
      <c r="Q194" t="s">
        <v>41</v>
      </c>
      <c r="R194" t="str">
        <f t="shared" si="92"/>
        <v>East</v>
      </c>
      <c r="S194" t="str">
        <f t="shared" si="77"/>
        <v>OK</v>
      </c>
      <c r="T194" t="s">
        <v>42</v>
      </c>
      <c r="U194" t="str">
        <f t="shared" ref="U194:U257" si="98">PROPER(TRIM(SUBSTITUTE(T194,CHAR(160)," ")))</f>
        <v>Odisha</v>
      </c>
      <c r="V194" t="s">
        <v>43</v>
      </c>
      <c r="W194" t="str">
        <f t="shared" ref="W194:W257" si="99">PROPER(TRIM(SUBSTITUTE(V194,CHAR(160)," ")))</f>
        <v>Bhubaneswar</v>
      </c>
      <c r="X194" t="str">
        <f t="shared" ref="X194:X257" si="100">PROPER(TRIM(SUBSTITUTE(Y194,CHAR(160)," ")))</f>
        <v>Office Supplies</v>
      </c>
      <c r="Y194" t="s">
        <v>29</v>
      </c>
      <c r="Z194" t="s">
        <v>197</v>
      </c>
      <c r="AA194" t="str">
        <f t="shared" ref="AA194:AA257" si="101">PROPER(TRIM(SUBSTITUTE(Z194,CHAR(160)," ")))</f>
        <v>Binders</v>
      </c>
      <c r="AB194" t="s">
        <v>1679</v>
      </c>
      <c r="AC194" t="s">
        <v>32</v>
      </c>
      <c r="AD194" t="str">
        <f t="shared" si="93"/>
        <v>Second Class</v>
      </c>
      <c r="AE194" t="str">
        <f t="shared" si="78"/>
        <v>OK</v>
      </c>
      <c r="AF194">
        <v>4</v>
      </c>
      <c r="AG194">
        <v>2685.66</v>
      </c>
      <c r="AH194">
        <v>0</v>
      </c>
      <c r="AI194">
        <f t="shared" si="79"/>
        <v>0</v>
      </c>
      <c r="AJ194" t="str">
        <f t="shared" si="80"/>
        <v>OK</v>
      </c>
      <c r="AK194">
        <v>10742.64</v>
      </c>
      <c r="AL194">
        <v>6477.37</v>
      </c>
      <c r="AM194">
        <v>4265.2700000000004</v>
      </c>
      <c r="AN194" t="s">
        <v>33</v>
      </c>
      <c r="AO194" t="str">
        <f t="shared" ref="AO194:AO257" si="102">UPPER(TRIM(SUBSTITUTE(AN194,CHAR(160)," ")))</f>
        <v>PAID</v>
      </c>
      <c r="AP194" t="str">
        <f t="shared" si="81"/>
        <v>OK</v>
      </c>
      <c r="AQ194" t="s">
        <v>124</v>
      </c>
      <c r="AR194" t="str">
        <f t="shared" ref="AR194:AR257" si="103">UPPER(TRIM(SUBSTITUTE(AQ194,CHAR(160)," ")))</f>
        <v>RETURNED</v>
      </c>
      <c r="AS194" t="str">
        <f t="shared" si="82"/>
        <v>RETURNED_ORDER</v>
      </c>
      <c r="AT194">
        <f t="shared" si="83"/>
        <v>10742.64</v>
      </c>
      <c r="AU194">
        <f t="shared" si="84"/>
        <v>4265.2699999999995</v>
      </c>
      <c r="AV194" s="6">
        <f t="shared" si="85"/>
        <v>3.4534574369056381E-2</v>
      </c>
      <c r="AW194" t="str">
        <f t="shared" si="86"/>
        <v>CLEAN</v>
      </c>
      <c r="AX194" s="10" t="str">
        <f t="shared" si="87"/>
        <v>MATCH</v>
      </c>
      <c r="AY194" t="str">
        <f t="shared" si="88"/>
        <v>MATCH</v>
      </c>
    </row>
    <row r="195" spans="1:51">
      <c r="A195" t="s">
        <v>1676</v>
      </c>
      <c r="B195">
        <f t="shared" si="94"/>
        <v>2</v>
      </c>
      <c r="C195" t="s">
        <v>704</v>
      </c>
      <c r="D195" s="3">
        <v>45630</v>
      </c>
      <c r="E195" t="str">
        <f t="shared" si="95"/>
        <v>2024/12/04</v>
      </c>
      <c r="F195" t="str">
        <f t="shared" ref="F195:F258" si="104">TEXT(E195,"MMMM")</f>
        <v>December</v>
      </c>
      <c r="G195">
        <f t="shared" ref="G195:G258" si="105">YEAR(E195)</f>
        <v>2024</v>
      </c>
      <c r="H195" t="s">
        <v>1677</v>
      </c>
      <c r="I195" s="4">
        <v>45632</v>
      </c>
      <c r="J195" s="8">
        <f t="shared" si="96"/>
        <v>2</v>
      </c>
      <c r="K195" s="8" t="str">
        <f t="shared" ref="K195:K258" si="106">IF(J195&lt;0,"INVAILD_SHIPPING","OK")</f>
        <v>OK</v>
      </c>
      <c r="L195" t="s">
        <v>1678</v>
      </c>
      <c r="M195" t="s">
        <v>167</v>
      </c>
      <c r="N195" t="str">
        <f t="shared" si="97"/>
        <v>Sneha Kapoor</v>
      </c>
      <c r="O195" t="s">
        <v>114</v>
      </c>
      <c r="P195" t="str">
        <f t="shared" si="90"/>
        <v>Home Office</v>
      </c>
      <c r="Q195" t="s">
        <v>41</v>
      </c>
      <c r="R195" t="str">
        <f t="shared" si="92"/>
        <v>East</v>
      </c>
      <c r="S195" t="str">
        <f t="shared" ref="S195:S258" si="107">IF(R195="Unknown","MISSING_REGION","OK")</f>
        <v>OK</v>
      </c>
      <c r="T195" t="s">
        <v>42</v>
      </c>
      <c r="U195" t="str">
        <f t="shared" si="98"/>
        <v>Odisha</v>
      </c>
      <c r="V195" t="s">
        <v>43</v>
      </c>
      <c r="W195" t="str">
        <f t="shared" si="99"/>
        <v>Bhubaneswar</v>
      </c>
      <c r="X195" t="str">
        <f t="shared" si="100"/>
        <v>Office Supplies</v>
      </c>
      <c r="Y195" t="s">
        <v>29</v>
      </c>
      <c r="Z195" t="s">
        <v>197</v>
      </c>
      <c r="AA195" t="str">
        <f t="shared" si="101"/>
        <v>Binders</v>
      </c>
      <c r="AB195" t="s">
        <v>1679</v>
      </c>
      <c r="AC195" t="s">
        <v>32</v>
      </c>
      <c r="AD195" t="str">
        <f t="shared" si="93"/>
        <v>Second Class</v>
      </c>
      <c r="AE195" t="str">
        <f t="shared" ref="AE195:AE258" si="108">IF(AD195="Unknown","MISSING_SHIP_MODE","OK")</f>
        <v>OK</v>
      </c>
      <c r="AF195">
        <v>4</v>
      </c>
      <c r="AG195">
        <v>2685.66</v>
      </c>
      <c r="AH195">
        <v>0</v>
      </c>
      <c r="AI195">
        <f t="shared" ref="AI195:AI258" si="109">IF(RIGHT(AH195,1)="%",VALUE(SUBSTITUTE(AH195,"%",""))/100,AH195)</f>
        <v>0</v>
      </c>
      <c r="AJ195" t="str">
        <f t="shared" ref="AJ195:AJ258" si="110">IF(AH195="","Missing Discount",
IF(AH195&lt;0,"Invalid Negative Discount",
"OK"))</f>
        <v>OK</v>
      </c>
      <c r="AK195">
        <v>10989.89</v>
      </c>
      <c r="AL195">
        <v>6477.37</v>
      </c>
      <c r="AM195">
        <v>4265.2700000000004</v>
      </c>
      <c r="AN195" t="s">
        <v>33</v>
      </c>
      <c r="AO195" t="str">
        <f t="shared" si="102"/>
        <v>PAID</v>
      </c>
      <c r="AP195" t="str">
        <f t="shared" ref="AP195:AP258" si="111">IF(AO195="Failed","EXCLUDE_FROM_SALES",
IF(AO195="Refunded","REFUNDED_PAYMENT",
"OK"))</f>
        <v>OK</v>
      </c>
      <c r="AQ195" t="s">
        <v>34</v>
      </c>
      <c r="AR195" t="str">
        <f t="shared" si="103"/>
        <v>COMPLETED</v>
      </c>
      <c r="AS195" t="str">
        <f t="shared" ref="AS195:AS258" si="112">IF(AR195="Cancelled","EXCLUDE_FROM_SALES",
IF(AR195="Returned","RETURNED_ORDER",
"OK"))</f>
        <v>OK</v>
      </c>
      <c r="AT195">
        <f t="shared" ref="AT195:AT258" si="113">IF(AI195&lt;0,"INVAILD",AF195*AG195*(1-AI195))</f>
        <v>10742.64</v>
      </c>
      <c r="AU195">
        <f t="shared" ref="AU195:AU258" si="114">IF(AT195="INVAILD","INVAILD",AT195-AL195)</f>
        <v>4265.2699999999995</v>
      </c>
      <c r="AV195" s="6">
        <f t="shared" ref="AV195:AV258" si="115">IF(OR(AT195="INVALID",AU195="INVALID"),"",AU216/AT195)</f>
        <v>0.13227605132444181</v>
      </c>
      <c r="AW195" t="str">
        <f t="shared" ref="AW195:AW258" si="116">IF(OR(AJ195&lt;&gt;"OK",K195="INVALID_SHIPPING"),
"INVALID",
IF(OR(S195&lt;&gt;"OK",AE195&lt;&gt;"OK"),
"WARNING",
"CLEAN"))</f>
        <v>CLEAN</v>
      </c>
      <c r="AX195" s="10" t="str">
        <f t="shared" ref="AX195:AX258" si="117">IF(AT195="INVALID","INVALID",
IF(ROUND(AK195,2)=ROUND(AT195,2),"MATCH","MISMATCH"))</f>
        <v>MISMATCH</v>
      </c>
      <c r="AY195" t="str">
        <f t="shared" ref="AY195:AY258" si="118">IF(AU195="INVALID","INVALID",IF(ROUND(AM195,2)=ROUND(AU195,2),"MATCH","MISMATCH"))</f>
        <v>MATCH</v>
      </c>
    </row>
    <row r="196" spans="1:51">
      <c r="A196" t="s">
        <v>1691</v>
      </c>
      <c r="B196">
        <f t="shared" si="94"/>
        <v>1</v>
      </c>
      <c r="C196" t="s">
        <v>1692</v>
      </c>
      <c r="D196" s="2">
        <v>45635</v>
      </c>
      <c r="E196" t="str">
        <f t="shared" si="95"/>
        <v>2024/12/09</v>
      </c>
      <c r="F196" t="str">
        <f t="shared" si="104"/>
        <v>December</v>
      </c>
      <c r="G196">
        <f t="shared" si="105"/>
        <v>2024</v>
      </c>
      <c r="H196" t="s">
        <v>1693</v>
      </c>
      <c r="I196" s="4">
        <v>45552</v>
      </c>
      <c r="J196" s="8">
        <f t="shared" si="96"/>
        <v>-83</v>
      </c>
      <c r="K196" s="8" t="str">
        <f t="shared" si="106"/>
        <v>INVAILD_SHIPPING</v>
      </c>
      <c r="L196" t="s">
        <v>1694</v>
      </c>
      <c r="M196" t="s">
        <v>71</v>
      </c>
      <c r="N196" t="str">
        <f t="shared" si="97"/>
        <v>Ananya Rao</v>
      </c>
      <c r="O196" t="s">
        <v>25</v>
      </c>
      <c r="P196" t="str">
        <f t="shared" si="90"/>
        <v>Consumer</v>
      </c>
      <c r="Q196" t="s">
        <v>41</v>
      </c>
      <c r="R196" t="str">
        <f t="shared" ref="R196:R227" si="119">PROPER(TRIM(SUBSTITUTE(Q196,CHAR(160)," ")))</f>
        <v>East</v>
      </c>
      <c r="S196" t="str">
        <f t="shared" si="107"/>
        <v>OK</v>
      </c>
      <c r="T196" t="s">
        <v>310</v>
      </c>
      <c r="U196" t="str">
        <f t="shared" si="98"/>
        <v>Jharkhand</v>
      </c>
      <c r="V196" t="s">
        <v>311</v>
      </c>
      <c r="W196" t="str">
        <f t="shared" si="99"/>
        <v>Ranchi</v>
      </c>
      <c r="X196" t="str">
        <f t="shared" si="100"/>
        <v>Office Supplies</v>
      </c>
      <c r="Y196" t="s">
        <v>29</v>
      </c>
      <c r="Z196" t="s">
        <v>155</v>
      </c>
      <c r="AA196" t="str">
        <f t="shared" si="101"/>
        <v>Storage</v>
      </c>
      <c r="AB196" t="s">
        <v>1695</v>
      </c>
      <c r="AC196" t="s">
        <v>55</v>
      </c>
      <c r="AD196" t="str">
        <f t="shared" si="93"/>
        <v>First Class</v>
      </c>
      <c r="AE196" t="str">
        <f t="shared" si="108"/>
        <v>OK</v>
      </c>
      <c r="AF196">
        <v>9</v>
      </c>
      <c r="AG196">
        <v>1921.47</v>
      </c>
      <c r="AH196">
        <v>0.25</v>
      </c>
      <c r="AI196">
        <f t="shared" si="109"/>
        <v>0.25</v>
      </c>
      <c r="AJ196" t="str">
        <f t="shared" si="110"/>
        <v>OK</v>
      </c>
      <c r="AK196">
        <v>12969.92</v>
      </c>
      <c r="AL196">
        <v>9398.4599999999991</v>
      </c>
      <c r="AM196">
        <v>3571.46</v>
      </c>
      <c r="AN196" t="s">
        <v>33</v>
      </c>
      <c r="AO196" t="str">
        <f t="shared" si="102"/>
        <v>PAID</v>
      </c>
      <c r="AP196" t="str">
        <f t="shared" si="111"/>
        <v>OK</v>
      </c>
      <c r="AQ196" t="s">
        <v>34</v>
      </c>
      <c r="AR196" t="str">
        <f t="shared" si="103"/>
        <v>COMPLETED</v>
      </c>
      <c r="AS196" t="str">
        <f t="shared" si="112"/>
        <v>OK</v>
      </c>
      <c r="AT196">
        <f t="shared" si="113"/>
        <v>12969.922500000001</v>
      </c>
      <c r="AU196">
        <f t="shared" si="114"/>
        <v>3571.4625000000015</v>
      </c>
      <c r="AV196" s="6">
        <f t="shared" si="115"/>
        <v>0.24342628107453998</v>
      </c>
      <c r="AW196" t="str">
        <f t="shared" si="116"/>
        <v>CLEAN</v>
      </c>
      <c r="AX196" s="10" t="str">
        <f t="shared" si="117"/>
        <v>MATCH</v>
      </c>
      <c r="AY196" t="str">
        <f t="shared" si="118"/>
        <v>MATCH</v>
      </c>
    </row>
    <row r="197" spans="1:51">
      <c r="A197" t="s">
        <v>1701</v>
      </c>
      <c r="B197">
        <f t="shared" si="94"/>
        <v>1</v>
      </c>
      <c r="C197" t="s">
        <v>303</v>
      </c>
      <c r="D197" s="3">
        <v>45368</v>
      </c>
      <c r="E197" t="str">
        <f t="shared" si="95"/>
        <v>2024/03/17</v>
      </c>
      <c r="F197" t="str">
        <f t="shared" si="104"/>
        <v>March</v>
      </c>
      <c r="G197">
        <f t="shared" si="105"/>
        <v>2024</v>
      </c>
      <c r="H197" t="s">
        <v>1702</v>
      </c>
      <c r="I197" s="4">
        <v>45372</v>
      </c>
      <c r="J197" s="8">
        <f t="shared" si="96"/>
        <v>4</v>
      </c>
      <c r="K197" s="8" t="str">
        <f t="shared" si="106"/>
        <v>OK</v>
      </c>
      <c r="L197" t="s">
        <v>1320</v>
      </c>
      <c r="M197" t="s">
        <v>161</v>
      </c>
      <c r="N197" t="str">
        <f t="shared" si="97"/>
        <v>Aarav Sharma</v>
      </c>
      <c r="O197" t="s">
        <v>25</v>
      </c>
      <c r="P197" t="str">
        <f t="shared" si="90"/>
        <v>Consumer</v>
      </c>
      <c r="Q197" t="s">
        <v>26</v>
      </c>
      <c r="R197" t="str">
        <f t="shared" si="119"/>
        <v>North</v>
      </c>
      <c r="S197" t="str">
        <f t="shared" si="107"/>
        <v>OK</v>
      </c>
      <c r="T197" t="s">
        <v>27</v>
      </c>
      <c r="U197" t="str">
        <f t="shared" si="98"/>
        <v>Rajasthan</v>
      </c>
      <c r="V197" t="s">
        <v>28</v>
      </c>
      <c r="W197" t="str">
        <f t="shared" si="99"/>
        <v>Jaipur</v>
      </c>
      <c r="X197" t="str">
        <f t="shared" si="100"/>
        <v>Technology</v>
      </c>
      <c r="Y197" t="s">
        <v>85</v>
      </c>
      <c r="Z197" t="s">
        <v>93</v>
      </c>
      <c r="AA197" t="str">
        <f t="shared" si="101"/>
        <v>Copiers</v>
      </c>
      <c r="AB197" t="s">
        <v>1703</v>
      </c>
      <c r="AC197" t="s">
        <v>55</v>
      </c>
      <c r="AD197" t="str">
        <f t="shared" si="93"/>
        <v>First Class</v>
      </c>
      <c r="AE197" t="str">
        <f t="shared" si="108"/>
        <v>OK</v>
      </c>
      <c r="AF197">
        <v>8</v>
      </c>
      <c r="AG197">
        <v>1992.57</v>
      </c>
      <c r="AH197">
        <v>0</v>
      </c>
      <c r="AI197">
        <f t="shared" si="109"/>
        <v>0</v>
      </c>
      <c r="AJ197" t="str">
        <f t="shared" si="110"/>
        <v>OK</v>
      </c>
      <c r="AK197">
        <v>15940.56</v>
      </c>
      <c r="AL197">
        <v>12347.15</v>
      </c>
      <c r="AM197">
        <v>3593.41</v>
      </c>
      <c r="AN197" t="s">
        <v>33</v>
      </c>
      <c r="AO197" t="str">
        <f t="shared" si="102"/>
        <v>PAID</v>
      </c>
      <c r="AP197" t="str">
        <f t="shared" si="111"/>
        <v>OK</v>
      </c>
      <c r="AQ197" t="s">
        <v>34</v>
      </c>
      <c r="AR197" t="str">
        <f t="shared" si="103"/>
        <v>COMPLETED</v>
      </c>
      <c r="AS197" t="str">
        <f t="shared" si="112"/>
        <v>OK</v>
      </c>
      <c r="AT197">
        <f t="shared" si="113"/>
        <v>15940.56</v>
      </c>
      <c r="AU197">
        <f t="shared" si="114"/>
        <v>3593.41</v>
      </c>
      <c r="AV197" s="6">
        <f t="shared" si="115"/>
        <v>0.22699814184696146</v>
      </c>
      <c r="AW197" t="str">
        <f t="shared" si="116"/>
        <v>CLEAN</v>
      </c>
      <c r="AX197" s="10" t="str">
        <f t="shared" si="117"/>
        <v>MATCH</v>
      </c>
      <c r="AY197" t="str">
        <f t="shared" si="118"/>
        <v>MATCH</v>
      </c>
    </row>
    <row r="198" spans="1:51">
      <c r="A198" t="s">
        <v>1704</v>
      </c>
      <c r="B198">
        <f t="shared" si="94"/>
        <v>1</v>
      </c>
      <c r="C198" t="s">
        <v>1705</v>
      </c>
      <c r="D198" s="2">
        <v>45634</v>
      </c>
      <c r="E198" t="str">
        <f t="shared" si="95"/>
        <v>2024/12/08</v>
      </c>
      <c r="F198" t="str">
        <f t="shared" si="104"/>
        <v>December</v>
      </c>
      <c r="G198">
        <f t="shared" si="105"/>
        <v>2024</v>
      </c>
      <c r="H198" t="s">
        <v>1706</v>
      </c>
      <c r="I198" s="4">
        <v>45522</v>
      </c>
      <c r="J198" s="8">
        <f t="shared" si="96"/>
        <v>-112</v>
      </c>
      <c r="K198" s="8" t="str">
        <f t="shared" si="106"/>
        <v>INVAILD_SHIPPING</v>
      </c>
      <c r="L198" t="s">
        <v>1707</v>
      </c>
      <c r="M198" t="s">
        <v>71</v>
      </c>
      <c r="N198" t="str">
        <f t="shared" si="97"/>
        <v>Ananya Rao</v>
      </c>
      <c r="O198" t="s">
        <v>25</v>
      </c>
      <c r="P198" t="str">
        <f t="shared" si="90"/>
        <v>Consumer</v>
      </c>
      <c r="Q198" t="s">
        <v>41</v>
      </c>
      <c r="R198" t="str">
        <f t="shared" si="119"/>
        <v>East</v>
      </c>
      <c r="S198" t="str">
        <f t="shared" si="107"/>
        <v>OK</v>
      </c>
      <c r="T198" t="s">
        <v>215</v>
      </c>
      <c r="U198" t="str">
        <f t="shared" si="98"/>
        <v>Assam</v>
      </c>
      <c r="V198" t="s">
        <v>216</v>
      </c>
      <c r="W198" t="str">
        <f t="shared" si="99"/>
        <v>Guwahati</v>
      </c>
      <c r="X198" t="str">
        <f t="shared" si="100"/>
        <v>Office Supplies</v>
      </c>
      <c r="Y198" t="s">
        <v>29</v>
      </c>
      <c r="Z198" t="s">
        <v>108</v>
      </c>
      <c r="AA198" t="str">
        <f t="shared" si="101"/>
        <v>Labels</v>
      </c>
      <c r="AB198" t="s">
        <v>1708</v>
      </c>
      <c r="AC198" t="s">
        <v>47</v>
      </c>
      <c r="AD198" t="str">
        <f t="shared" si="93"/>
        <v>Same Day</v>
      </c>
      <c r="AE198" t="str">
        <f t="shared" si="108"/>
        <v>OK</v>
      </c>
      <c r="AF198">
        <v>6</v>
      </c>
      <c r="AG198">
        <v>1181.74</v>
      </c>
      <c r="AH198">
        <v>0</v>
      </c>
      <c r="AI198">
        <f t="shared" si="109"/>
        <v>0</v>
      </c>
      <c r="AJ198" t="str">
        <f t="shared" si="110"/>
        <v>OK</v>
      </c>
      <c r="AK198">
        <v>7090.44</v>
      </c>
      <c r="AL198">
        <v>5672.27</v>
      </c>
      <c r="AM198">
        <v>1262.8699999999999</v>
      </c>
      <c r="AN198" t="s">
        <v>33</v>
      </c>
      <c r="AO198" t="str">
        <f t="shared" si="102"/>
        <v>PAID</v>
      </c>
      <c r="AP198" t="str">
        <f t="shared" si="111"/>
        <v>OK</v>
      </c>
      <c r="AQ198" t="s">
        <v>34</v>
      </c>
      <c r="AR198" t="str">
        <f t="shared" si="103"/>
        <v>COMPLETED</v>
      </c>
      <c r="AS198" t="str">
        <f t="shared" si="112"/>
        <v>OK</v>
      </c>
      <c r="AT198">
        <f t="shared" si="113"/>
        <v>7090.4400000000005</v>
      </c>
      <c r="AU198">
        <f t="shared" si="114"/>
        <v>1418.17</v>
      </c>
      <c r="AV198" s="6">
        <f t="shared" si="115"/>
        <v>0.16889360885925278</v>
      </c>
      <c r="AW198" t="str">
        <f t="shared" si="116"/>
        <v>CLEAN</v>
      </c>
      <c r="AX198" s="10" t="str">
        <f t="shared" si="117"/>
        <v>MATCH</v>
      </c>
      <c r="AY198" t="str">
        <f t="shared" si="118"/>
        <v>MISMATCH</v>
      </c>
    </row>
    <row r="199" spans="1:51">
      <c r="A199" t="s">
        <v>1709</v>
      </c>
      <c r="B199">
        <f t="shared" si="94"/>
        <v>1</v>
      </c>
      <c r="C199" t="s">
        <v>1710</v>
      </c>
      <c r="D199" s="3">
        <v>45634</v>
      </c>
      <c r="E199" t="str">
        <f t="shared" si="95"/>
        <v>2024/12/08</v>
      </c>
      <c r="F199" t="str">
        <f t="shared" si="104"/>
        <v>December</v>
      </c>
      <c r="G199">
        <f t="shared" si="105"/>
        <v>2024</v>
      </c>
      <c r="H199" t="s">
        <v>1463</v>
      </c>
      <c r="I199" s="4">
        <v>45634</v>
      </c>
      <c r="J199" s="8">
        <f t="shared" si="96"/>
        <v>0</v>
      </c>
      <c r="K199" s="8" t="str">
        <f t="shared" si="106"/>
        <v>OK</v>
      </c>
      <c r="L199" t="s">
        <v>1711</v>
      </c>
      <c r="M199" t="s">
        <v>60</v>
      </c>
      <c r="N199" t="str">
        <f t="shared" si="97"/>
        <v>Arjun Bose</v>
      </c>
      <c r="O199" t="s">
        <v>40</v>
      </c>
      <c r="P199" t="str">
        <f t="shared" si="90"/>
        <v>Small Business</v>
      </c>
      <c r="Q199" t="s">
        <v>61</v>
      </c>
      <c r="R199" t="str">
        <f t="shared" si="119"/>
        <v>South</v>
      </c>
      <c r="S199" t="str">
        <f t="shared" si="107"/>
        <v>OK</v>
      </c>
      <c r="T199" t="s">
        <v>99</v>
      </c>
      <c r="U199" t="str">
        <f t="shared" si="98"/>
        <v>Andhra Pradesh</v>
      </c>
      <c r="V199" t="s">
        <v>100</v>
      </c>
      <c r="W199" t="str">
        <f t="shared" si="99"/>
        <v>Vijayawada</v>
      </c>
      <c r="X199" t="str">
        <f t="shared" si="100"/>
        <v>Technology</v>
      </c>
      <c r="Y199" t="s">
        <v>85</v>
      </c>
      <c r="Z199" t="s">
        <v>86</v>
      </c>
      <c r="AA199" t="str">
        <f t="shared" si="101"/>
        <v>Accessories</v>
      </c>
      <c r="AB199" t="s">
        <v>1712</v>
      </c>
      <c r="AC199" t="s">
        <v>55</v>
      </c>
      <c r="AD199" t="str">
        <f t="shared" si="93"/>
        <v>First Class</v>
      </c>
      <c r="AE199" t="str">
        <f t="shared" si="108"/>
        <v>OK</v>
      </c>
      <c r="AF199">
        <v>8</v>
      </c>
      <c r="AG199">
        <v>4402.3599999999997</v>
      </c>
      <c r="AH199">
        <v>0.25</v>
      </c>
      <c r="AI199">
        <f t="shared" si="109"/>
        <v>0.25</v>
      </c>
      <c r="AJ199" t="str">
        <f t="shared" si="110"/>
        <v>OK</v>
      </c>
      <c r="AK199">
        <v>26414.16</v>
      </c>
      <c r="AL199">
        <v>21822.53</v>
      </c>
      <c r="AM199">
        <v>4591.63</v>
      </c>
      <c r="AN199" t="s">
        <v>33</v>
      </c>
      <c r="AO199" t="str">
        <f t="shared" si="102"/>
        <v>PAID</v>
      </c>
      <c r="AP199" t="str">
        <f t="shared" si="111"/>
        <v>OK</v>
      </c>
      <c r="AQ199" t="s">
        <v>34</v>
      </c>
      <c r="AR199" t="str">
        <f t="shared" si="103"/>
        <v>COMPLETED</v>
      </c>
      <c r="AS199" t="str">
        <f t="shared" si="112"/>
        <v>OK</v>
      </c>
      <c r="AT199">
        <f t="shared" si="113"/>
        <v>26414.159999999996</v>
      </c>
      <c r="AU199">
        <f t="shared" si="114"/>
        <v>4591.6299999999974</v>
      </c>
      <c r="AV199" s="6">
        <f t="shared" si="115"/>
        <v>9.5150858478937103E-2</v>
      </c>
      <c r="AW199" t="str">
        <f t="shared" si="116"/>
        <v>CLEAN</v>
      </c>
      <c r="AX199" s="10" t="str">
        <f t="shared" si="117"/>
        <v>MATCH</v>
      </c>
      <c r="AY199" t="str">
        <f t="shared" si="118"/>
        <v>MATCH</v>
      </c>
    </row>
    <row r="200" spans="1:51">
      <c r="A200" t="s">
        <v>1717</v>
      </c>
      <c r="B200">
        <f t="shared" si="94"/>
        <v>1</v>
      </c>
      <c r="C200" t="s">
        <v>1718</v>
      </c>
      <c r="D200" s="2">
        <v>45312</v>
      </c>
      <c r="E200" t="str">
        <f t="shared" si="95"/>
        <v>2024/01/21</v>
      </c>
      <c r="F200" t="str">
        <f t="shared" si="104"/>
        <v>January</v>
      </c>
      <c r="G200">
        <f t="shared" si="105"/>
        <v>2024</v>
      </c>
      <c r="H200" t="s">
        <v>1719</v>
      </c>
      <c r="I200" s="4">
        <v>45320</v>
      </c>
      <c r="J200" s="8">
        <f t="shared" si="96"/>
        <v>8</v>
      </c>
      <c r="K200" s="8" t="str">
        <f t="shared" si="106"/>
        <v>OK</v>
      </c>
      <c r="L200" t="s">
        <v>1720</v>
      </c>
      <c r="M200" t="s">
        <v>92</v>
      </c>
      <c r="N200" t="str">
        <f t="shared" si="97"/>
        <v>Neha Gupta</v>
      </c>
      <c r="O200" t="s">
        <v>25</v>
      </c>
      <c r="P200" t="str">
        <f t="shared" si="90"/>
        <v>Consumer</v>
      </c>
      <c r="Q200" t="s">
        <v>61</v>
      </c>
      <c r="R200" t="str">
        <f t="shared" si="119"/>
        <v>South</v>
      </c>
      <c r="S200" t="str">
        <f t="shared" si="107"/>
        <v>OK</v>
      </c>
      <c r="T200" t="s">
        <v>228</v>
      </c>
      <c r="U200" t="str">
        <f t="shared" si="98"/>
        <v>Karnataka</v>
      </c>
      <c r="V200" t="s">
        <v>229</v>
      </c>
      <c r="W200" t="str">
        <f t="shared" si="99"/>
        <v>Bengaluru</v>
      </c>
      <c r="X200" t="str">
        <f t="shared" si="100"/>
        <v>Office Supplies</v>
      </c>
      <c r="Y200" t="s">
        <v>29</v>
      </c>
      <c r="Z200" t="s">
        <v>197</v>
      </c>
      <c r="AA200" t="str">
        <f t="shared" si="101"/>
        <v>Binders</v>
      </c>
      <c r="AB200" t="s">
        <v>1721</v>
      </c>
      <c r="AC200" t="s">
        <v>66</v>
      </c>
      <c r="AD200" t="str">
        <f t="shared" ref="AD200:AD227" si="120">PROPER(TRIM(SUBSTITUTE(AC200,CHAR(160)," ")))</f>
        <v>Standard Class</v>
      </c>
      <c r="AE200" t="str">
        <f t="shared" si="108"/>
        <v>OK</v>
      </c>
      <c r="AF200">
        <v>5</v>
      </c>
      <c r="AG200">
        <v>4058.08</v>
      </c>
      <c r="AH200">
        <v>0.1</v>
      </c>
      <c r="AI200">
        <f t="shared" si="109"/>
        <v>0.1</v>
      </c>
      <c r="AJ200" t="str">
        <f t="shared" si="110"/>
        <v>OK</v>
      </c>
      <c r="AK200">
        <v>18261.36</v>
      </c>
      <c r="AL200">
        <v>11399.94</v>
      </c>
      <c r="AM200">
        <v>6861.42</v>
      </c>
      <c r="AN200" t="s">
        <v>33</v>
      </c>
      <c r="AO200" t="str">
        <f t="shared" si="102"/>
        <v>PAID</v>
      </c>
      <c r="AP200" t="str">
        <f t="shared" si="111"/>
        <v>OK</v>
      </c>
      <c r="AQ200" t="s">
        <v>34</v>
      </c>
      <c r="AR200" t="str">
        <f t="shared" si="103"/>
        <v>COMPLETED</v>
      </c>
      <c r="AS200" t="str">
        <f t="shared" si="112"/>
        <v>OK</v>
      </c>
      <c r="AT200">
        <f t="shared" si="113"/>
        <v>18261.36</v>
      </c>
      <c r="AU200">
        <f t="shared" si="114"/>
        <v>6861.42</v>
      </c>
      <c r="AV200" s="6">
        <f t="shared" si="115"/>
        <v>0.12681749880622256</v>
      </c>
      <c r="AW200" t="str">
        <f t="shared" si="116"/>
        <v>CLEAN</v>
      </c>
      <c r="AX200" s="10" t="str">
        <f t="shared" si="117"/>
        <v>MATCH</v>
      </c>
      <c r="AY200" t="str">
        <f t="shared" si="118"/>
        <v>MATCH</v>
      </c>
    </row>
    <row r="201" spans="1:51">
      <c r="A201" t="s">
        <v>1736</v>
      </c>
      <c r="B201">
        <f t="shared" si="94"/>
        <v>1</v>
      </c>
      <c r="C201" t="s">
        <v>1506</v>
      </c>
      <c r="D201" s="3">
        <v>45362</v>
      </c>
      <c r="E201" t="str">
        <f t="shared" si="95"/>
        <v>2024/03/11</v>
      </c>
      <c r="F201" t="str">
        <f t="shared" si="104"/>
        <v>March</v>
      </c>
      <c r="G201">
        <f t="shared" si="105"/>
        <v>2024</v>
      </c>
      <c r="H201" t="s">
        <v>1506</v>
      </c>
      <c r="I201" s="4">
        <v>45599</v>
      </c>
      <c r="J201" s="8">
        <f t="shared" si="96"/>
        <v>237</v>
      </c>
      <c r="K201" s="8" t="str">
        <f t="shared" si="106"/>
        <v>OK</v>
      </c>
      <c r="L201" t="s">
        <v>1737</v>
      </c>
      <c r="M201" t="s">
        <v>141</v>
      </c>
      <c r="N201" t="str">
        <f t="shared" si="97"/>
        <v>Priya Menon</v>
      </c>
      <c r="O201" t="s">
        <v>25</v>
      </c>
      <c r="P201" t="str">
        <f t="shared" ref="P201:P264" si="121">PROPER(TRIM(SUBSTITUTE(O201,CHAR(160)," ")))</f>
        <v>Consumer</v>
      </c>
      <c r="Q201" t="s">
        <v>26</v>
      </c>
      <c r="R201" t="str">
        <f t="shared" si="119"/>
        <v>North</v>
      </c>
      <c r="S201" t="str">
        <f t="shared" si="107"/>
        <v>OK</v>
      </c>
      <c r="T201" t="s">
        <v>153</v>
      </c>
      <c r="U201" t="str">
        <f t="shared" si="98"/>
        <v>Punjab</v>
      </c>
      <c r="V201" t="s">
        <v>154</v>
      </c>
      <c r="W201" t="str">
        <f t="shared" si="99"/>
        <v>Ludhiana</v>
      </c>
      <c r="X201" t="str">
        <f t="shared" si="100"/>
        <v>Furniture</v>
      </c>
      <c r="Y201" t="s">
        <v>44</v>
      </c>
      <c r="Z201" t="s">
        <v>203</v>
      </c>
      <c r="AA201" t="str">
        <f t="shared" si="101"/>
        <v>Bookcases</v>
      </c>
      <c r="AB201" t="s">
        <v>1738</v>
      </c>
      <c r="AC201" t="s">
        <v>47</v>
      </c>
      <c r="AD201" t="str">
        <f t="shared" si="120"/>
        <v>Same Day</v>
      </c>
      <c r="AE201" t="str">
        <f t="shared" si="108"/>
        <v>OK</v>
      </c>
      <c r="AF201">
        <v>9</v>
      </c>
      <c r="AG201">
        <v>3456.38</v>
      </c>
      <c r="AH201">
        <v>0</v>
      </c>
      <c r="AI201">
        <f t="shared" si="109"/>
        <v>0</v>
      </c>
      <c r="AJ201" t="str">
        <f t="shared" si="110"/>
        <v>OK</v>
      </c>
      <c r="AK201">
        <v>31107.42</v>
      </c>
      <c r="AL201">
        <v>20146.66</v>
      </c>
      <c r="AM201">
        <v>10960.76</v>
      </c>
      <c r="AN201" t="s">
        <v>136</v>
      </c>
      <c r="AO201" t="str">
        <f t="shared" si="102"/>
        <v>PENDING</v>
      </c>
      <c r="AP201" t="str">
        <f t="shared" si="111"/>
        <v>OK</v>
      </c>
      <c r="AQ201" t="s">
        <v>124</v>
      </c>
      <c r="AR201" t="str">
        <f t="shared" si="103"/>
        <v>RETURNED</v>
      </c>
      <c r="AS201" t="str">
        <f t="shared" si="112"/>
        <v>RETURNED_ORDER</v>
      </c>
      <c r="AT201">
        <f t="shared" si="113"/>
        <v>31107.420000000002</v>
      </c>
      <c r="AU201">
        <f t="shared" si="114"/>
        <v>10960.760000000002</v>
      </c>
      <c r="AV201" s="6">
        <f t="shared" si="115"/>
        <v>8.6649487485622401E-2</v>
      </c>
      <c r="AW201" t="str">
        <f t="shared" si="116"/>
        <v>CLEAN</v>
      </c>
      <c r="AX201" s="10" t="str">
        <f t="shared" si="117"/>
        <v>MATCH</v>
      </c>
      <c r="AY201" t="str">
        <f t="shared" si="118"/>
        <v>MATCH</v>
      </c>
    </row>
    <row r="202" spans="1:51">
      <c r="A202" t="s">
        <v>1739</v>
      </c>
      <c r="B202">
        <f t="shared" si="94"/>
        <v>1</v>
      </c>
      <c r="C202" t="s">
        <v>1740</v>
      </c>
      <c r="D202" s="3">
        <v>45549</v>
      </c>
      <c r="E202" t="str">
        <f t="shared" si="95"/>
        <v>2024/09/14</v>
      </c>
      <c r="F202" t="str">
        <f t="shared" si="104"/>
        <v>September</v>
      </c>
      <c r="G202">
        <f t="shared" si="105"/>
        <v>2024</v>
      </c>
      <c r="H202" t="s">
        <v>1741</v>
      </c>
      <c r="I202" s="4">
        <v>45557</v>
      </c>
      <c r="J202" s="8">
        <f t="shared" si="96"/>
        <v>8</v>
      </c>
      <c r="K202" s="8" t="str">
        <f t="shared" si="106"/>
        <v>OK</v>
      </c>
      <c r="L202" t="s">
        <v>1742</v>
      </c>
      <c r="M202" t="s">
        <v>24</v>
      </c>
      <c r="N202" t="str">
        <f t="shared" si="97"/>
        <v>Karan Malhotra</v>
      </c>
      <c r="O202" t="s">
        <v>25</v>
      </c>
      <c r="P202" t="str">
        <f t="shared" si="121"/>
        <v>Consumer</v>
      </c>
      <c r="Q202" t="s">
        <v>72</v>
      </c>
      <c r="R202" t="str">
        <f t="shared" si="119"/>
        <v>West</v>
      </c>
      <c r="S202" t="str">
        <f t="shared" si="107"/>
        <v>OK</v>
      </c>
      <c r="T202" t="s">
        <v>83</v>
      </c>
      <c r="U202" t="str">
        <f t="shared" si="98"/>
        <v>Madhya Pradesh</v>
      </c>
      <c r="V202" t="s">
        <v>84</v>
      </c>
      <c r="W202" t="str">
        <f t="shared" si="99"/>
        <v>Indore</v>
      </c>
      <c r="X202" t="str">
        <f t="shared" si="100"/>
        <v>Furniture</v>
      </c>
      <c r="Y202" t="s">
        <v>44</v>
      </c>
      <c r="Z202" t="s">
        <v>64</v>
      </c>
      <c r="AA202" t="str">
        <f t="shared" si="101"/>
        <v>Furnishings</v>
      </c>
      <c r="AB202" t="s">
        <v>1743</v>
      </c>
      <c r="AC202" t="s">
        <v>32</v>
      </c>
      <c r="AD202" t="str">
        <f t="shared" si="120"/>
        <v>Second Class</v>
      </c>
      <c r="AE202" t="str">
        <f t="shared" si="108"/>
        <v>OK</v>
      </c>
      <c r="AF202">
        <v>2</v>
      </c>
      <c r="AG202">
        <v>2765.3</v>
      </c>
      <c r="AH202">
        <v>0</v>
      </c>
      <c r="AI202">
        <f t="shared" si="109"/>
        <v>0</v>
      </c>
      <c r="AJ202" t="str">
        <f t="shared" si="110"/>
        <v>OK</v>
      </c>
      <c r="AK202">
        <v>5530.6</v>
      </c>
      <c r="AL202">
        <v>4453.1099999999997</v>
      </c>
      <c r="AM202">
        <v>1077.49</v>
      </c>
      <c r="AN202" t="s">
        <v>33</v>
      </c>
      <c r="AO202" t="str">
        <f t="shared" si="102"/>
        <v>PAID</v>
      </c>
      <c r="AP202" t="str">
        <f t="shared" si="111"/>
        <v>OK</v>
      </c>
      <c r="AQ202" t="s">
        <v>34</v>
      </c>
      <c r="AR202" t="str">
        <f t="shared" si="103"/>
        <v>COMPLETED</v>
      </c>
      <c r="AS202" t="str">
        <f t="shared" si="112"/>
        <v>OK</v>
      </c>
      <c r="AT202">
        <f t="shared" si="113"/>
        <v>5530.6</v>
      </c>
      <c r="AU202">
        <f t="shared" si="114"/>
        <v>1077.4900000000007</v>
      </c>
      <c r="AV202" s="6">
        <f t="shared" si="115"/>
        <v>2.1609969985173407</v>
      </c>
      <c r="AW202" t="str">
        <f t="shared" si="116"/>
        <v>CLEAN</v>
      </c>
      <c r="AX202" s="10" t="str">
        <f t="shared" si="117"/>
        <v>MATCH</v>
      </c>
      <c r="AY202" t="str">
        <f t="shared" si="118"/>
        <v>MATCH</v>
      </c>
    </row>
    <row r="203" spans="1:51">
      <c r="A203" t="s">
        <v>1748</v>
      </c>
      <c r="B203">
        <f t="shared" si="94"/>
        <v>1</v>
      </c>
      <c r="C203" t="s">
        <v>1749</v>
      </c>
      <c r="D203" s="3">
        <v>45627</v>
      </c>
      <c r="E203" t="str">
        <f t="shared" si="95"/>
        <v>2024/12/01</v>
      </c>
      <c r="F203" t="str">
        <f t="shared" si="104"/>
        <v>December</v>
      </c>
      <c r="G203">
        <f t="shared" si="105"/>
        <v>2024</v>
      </c>
      <c r="H203" t="s">
        <v>1463</v>
      </c>
      <c r="I203" s="4">
        <v>45634</v>
      </c>
      <c r="J203" s="8">
        <f t="shared" si="96"/>
        <v>7</v>
      </c>
      <c r="K203" s="8" t="str">
        <f t="shared" si="106"/>
        <v>OK</v>
      </c>
      <c r="L203" t="s">
        <v>1750</v>
      </c>
      <c r="M203" t="s">
        <v>161</v>
      </c>
      <c r="N203" t="str">
        <f t="shared" si="97"/>
        <v>Aarav Sharma</v>
      </c>
      <c r="O203" t="s">
        <v>40</v>
      </c>
      <c r="P203" t="str">
        <f t="shared" si="121"/>
        <v>Small Business</v>
      </c>
      <c r="Q203" t="s">
        <v>72</v>
      </c>
      <c r="R203" t="str">
        <f t="shared" si="119"/>
        <v>West</v>
      </c>
      <c r="S203" t="str">
        <f t="shared" si="107"/>
        <v>OK</v>
      </c>
      <c r="T203" t="s">
        <v>248</v>
      </c>
      <c r="U203" t="str">
        <f t="shared" si="98"/>
        <v>Goa</v>
      </c>
      <c r="V203" t="s">
        <v>249</v>
      </c>
      <c r="W203" t="str">
        <f t="shared" si="99"/>
        <v>Panaji</v>
      </c>
      <c r="X203" t="str">
        <f t="shared" si="100"/>
        <v>Furniture</v>
      </c>
      <c r="Y203" t="s">
        <v>44</v>
      </c>
      <c r="Z203" t="s">
        <v>75</v>
      </c>
      <c r="AA203" t="str">
        <f t="shared" si="101"/>
        <v>Chairs</v>
      </c>
      <c r="AB203" t="s">
        <v>1751</v>
      </c>
      <c r="AC203" t="s">
        <v>32</v>
      </c>
      <c r="AD203" t="str">
        <f t="shared" si="120"/>
        <v>Second Class</v>
      </c>
      <c r="AE203" t="str">
        <f t="shared" si="108"/>
        <v>OK</v>
      </c>
      <c r="AF203">
        <v>5</v>
      </c>
      <c r="AG203">
        <v>2981.49</v>
      </c>
      <c r="AH203">
        <v>0.2</v>
      </c>
      <c r="AI203">
        <f t="shared" si="109"/>
        <v>0.2</v>
      </c>
      <c r="AJ203" t="str">
        <f t="shared" si="110"/>
        <v>OK</v>
      </c>
      <c r="AK203">
        <v>11925.96</v>
      </c>
      <c r="AL203">
        <v>10103.51</v>
      </c>
      <c r="AM203">
        <v>1822.45</v>
      </c>
      <c r="AN203" t="s">
        <v>123</v>
      </c>
      <c r="AO203" t="str">
        <f t="shared" si="102"/>
        <v>REFUNDED</v>
      </c>
      <c r="AP203" t="str">
        <f t="shared" si="111"/>
        <v>REFUNDED_PAYMENT</v>
      </c>
      <c r="AQ203" t="s">
        <v>124</v>
      </c>
      <c r="AR203" t="str">
        <f t="shared" si="103"/>
        <v>RETURNED</v>
      </c>
      <c r="AS203" t="str">
        <f t="shared" si="112"/>
        <v>RETURNED_ORDER</v>
      </c>
      <c r="AT203">
        <f t="shared" si="113"/>
        <v>11925.96</v>
      </c>
      <c r="AU203">
        <f t="shared" si="114"/>
        <v>1822.4499999999989</v>
      </c>
      <c r="AV203" s="6">
        <f t="shared" si="115"/>
        <v>5.9757788890789497E-2</v>
      </c>
      <c r="AW203" t="str">
        <f t="shared" si="116"/>
        <v>CLEAN</v>
      </c>
      <c r="AX203" s="10" t="str">
        <f t="shared" si="117"/>
        <v>MATCH</v>
      </c>
      <c r="AY203" t="str">
        <f t="shared" si="118"/>
        <v>MATCH</v>
      </c>
    </row>
    <row r="204" spans="1:51">
      <c r="A204" t="s">
        <v>1752</v>
      </c>
      <c r="B204">
        <f t="shared" si="94"/>
        <v>1</v>
      </c>
      <c r="C204" t="s">
        <v>1302</v>
      </c>
      <c r="D204" s="3">
        <v>45328</v>
      </c>
      <c r="E204" t="str">
        <f t="shared" si="95"/>
        <v>2024/02/06</v>
      </c>
      <c r="F204" t="str">
        <f t="shared" si="104"/>
        <v>February</v>
      </c>
      <c r="G204">
        <f t="shared" si="105"/>
        <v>2024</v>
      </c>
      <c r="H204" t="s">
        <v>1753</v>
      </c>
      <c r="I204" s="4">
        <v>45450</v>
      </c>
      <c r="J204" s="8">
        <f t="shared" si="96"/>
        <v>122</v>
      </c>
      <c r="K204" s="8" t="str">
        <f t="shared" si="106"/>
        <v>OK</v>
      </c>
      <c r="L204" t="s">
        <v>1754</v>
      </c>
      <c r="M204" t="s">
        <v>161</v>
      </c>
      <c r="N204" t="str">
        <f t="shared" si="97"/>
        <v>Aarav Sharma</v>
      </c>
      <c r="O204" t="s">
        <v>107</v>
      </c>
      <c r="P204" t="str">
        <f t="shared" si="121"/>
        <v>Corporate</v>
      </c>
      <c r="Q204" t="s">
        <v>61</v>
      </c>
      <c r="R204" t="str">
        <f t="shared" si="119"/>
        <v>South</v>
      </c>
      <c r="S204" t="str">
        <f t="shared" si="107"/>
        <v>OK</v>
      </c>
      <c r="T204" t="s">
        <v>228</v>
      </c>
      <c r="U204" t="str">
        <f t="shared" si="98"/>
        <v>Karnataka</v>
      </c>
      <c r="V204" t="s">
        <v>229</v>
      </c>
      <c r="W204" t="str">
        <f t="shared" si="99"/>
        <v>Bengaluru</v>
      </c>
      <c r="X204" t="str">
        <f t="shared" si="100"/>
        <v>Technology</v>
      </c>
      <c r="Y204" t="s">
        <v>85</v>
      </c>
      <c r="Z204" t="s">
        <v>222</v>
      </c>
      <c r="AA204" t="str">
        <f t="shared" si="101"/>
        <v>Phones</v>
      </c>
      <c r="AB204" t="s">
        <v>1755</v>
      </c>
      <c r="AC204" t="s">
        <v>47</v>
      </c>
      <c r="AD204" t="str">
        <f t="shared" si="120"/>
        <v>Same Day</v>
      </c>
      <c r="AE204" t="str">
        <f t="shared" si="108"/>
        <v>OK</v>
      </c>
      <c r="AF204">
        <v>9</v>
      </c>
      <c r="AG204">
        <v>2860.26</v>
      </c>
      <c r="AH204">
        <v>0.25</v>
      </c>
      <c r="AI204">
        <f t="shared" si="109"/>
        <v>0.25</v>
      </c>
      <c r="AJ204" t="str">
        <f t="shared" si="110"/>
        <v>OK</v>
      </c>
      <c r="AK204">
        <v>19306.759999999998</v>
      </c>
      <c r="AL204">
        <v>14442.38</v>
      </c>
      <c r="AM204">
        <v>4864.38</v>
      </c>
      <c r="AN204" t="s">
        <v>33</v>
      </c>
      <c r="AO204" t="str">
        <f t="shared" si="102"/>
        <v>PAID</v>
      </c>
      <c r="AP204" t="str">
        <f t="shared" si="111"/>
        <v>OK</v>
      </c>
      <c r="AQ204" t="s">
        <v>34</v>
      </c>
      <c r="AR204" t="str">
        <f t="shared" si="103"/>
        <v>COMPLETED</v>
      </c>
      <c r="AS204" t="str">
        <f t="shared" si="112"/>
        <v>OK</v>
      </c>
      <c r="AT204">
        <f t="shared" si="113"/>
        <v>19306.755000000005</v>
      </c>
      <c r="AU204">
        <f t="shared" si="114"/>
        <v>4864.3750000000055</v>
      </c>
      <c r="AV204" s="6">
        <f t="shared" si="115"/>
        <v>0.33103491498182896</v>
      </c>
      <c r="AW204" t="str">
        <f t="shared" si="116"/>
        <v>CLEAN</v>
      </c>
      <c r="AX204" s="10" t="str">
        <f t="shared" si="117"/>
        <v>MATCH</v>
      </c>
      <c r="AY204" t="str">
        <f t="shared" si="118"/>
        <v>MATCH</v>
      </c>
    </row>
    <row r="205" spans="1:51">
      <c r="A205" t="s">
        <v>1760</v>
      </c>
      <c r="B205">
        <f t="shared" si="94"/>
        <v>1</v>
      </c>
      <c r="C205" t="s">
        <v>1761</v>
      </c>
      <c r="D205" s="3">
        <v>45298</v>
      </c>
      <c r="E205" t="str">
        <f t="shared" si="95"/>
        <v>2024/01/07</v>
      </c>
      <c r="F205" t="str">
        <f t="shared" si="104"/>
        <v>January</v>
      </c>
      <c r="G205">
        <f t="shared" si="105"/>
        <v>2024</v>
      </c>
      <c r="H205" t="s">
        <v>1762</v>
      </c>
      <c r="I205" s="4">
        <v>45305</v>
      </c>
      <c r="J205" s="8">
        <f t="shared" si="96"/>
        <v>7</v>
      </c>
      <c r="K205" s="8" t="str">
        <f t="shared" si="106"/>
        <v>OK</v>
      </c>
      <c r="L205" t="s">
        <v>1763</v>
      </c>
      <c r="M205" t="s">
        <v>167</v>
      </c>
      <c r="N205" t="str">
        <f t="shared" si="97"/>
        <v>Sneha Kapoor</v>
      </c>
      <c r="O205" t="s">
        <v>40</v>
      </c>
      <c r="P205" t="str">
        <f t="shared" si="121"/>
        <v>Small Business</v>
      </c>
      <c r="Q205" t="s">
        <v>41</v>
      </c>
      <c r="R205" t="str">
        <f t="shared" si="119"/>
        <v>East</v>
      </c>
      <c r="S205" t="str">
        <f t="shared" si="107"/>
        <v>OK</v>
      </c>
      <c r="T205" t="s">
        <v>310</v>
      </c>
      <c r="U205" t="str">
        <f t="shared" si="98"/>
        <v>Jharkhand</v>
      </c>
      <c r="V205" t="s">
        <v>311</v>
      </c>
      <c r="W205" t="str">
        <f t="shared" si="99"/>
        <v>Ranchi</v>
      </c>
      <c r="X205" t="str">
        <f t="shared" si="100"/>
        <v>Furniture</v>
      </c>
      <c r="Y205" t="s">
        <v>44</v>
      </c>
      <c r="Z205" t="s">
        <v>64</v>
      </c>
      <c r="AA205" t="str">
        <f t="shared" si="101"/>
        <v>Furnishings</v>
      </c>
      <c r="AB205" t="s">
        <v>1764</v>
      </c>
      <c r="AC205" t="s">
        <v>32</v>
      </c>
      <c r="AD205" t="str">
        <f t="shared" si="120"/>
        <v>Second Class</v>
      </c>
      <c r="AE205" t="str">
        <f t="shared" si="108"/>
        <v>OK</v>
      </c>
      <c r="AF205">
        <v>4</v>
      </c>
      <c r="AG205">
        <v>3309.54</v>
      </c>
      <c r="AH205">
        <v>0.1</v>
      </c>
      <c r="AI205">
        <f t="shared" si="109"/>
        <v>0.1</v>
      </c>
      <c r="AJ205" t="str">
        <f t="shared" si="110"/>
        <v>OK</v>
      </c>
      <c r="AK205">
        <v>11914.34</v>
      </c>
      <c r="AL205">
        <v>9771.24</v>
      </c>
      <c r="AM205">
        <v>2143.1</v>
      </c>
      <c r="AN205" t="s">
        <v>123</v>
      </c>
      <c r="AO205" t="str">
        <f t="shared" si="102"/>
        <v>REFUNDED</v>
      </c>
      <c r="AP205" t="str">
        <f t="shared" si="111"/>
        <v>REFUNDED_PAYMENT</v>
      </c>
      <c r="AQ205" t="s">
        <v>124</v>
      </c>
      <c r="AR205" t="str">
        <f t="shared" si="103"/>
        <v>RETURNED</v>
      </c>
      <c r="AS205" t="str">
        <f t="shared" si="112"/>
        <v>RETURNED_ORDER</v>
      </c>
      <c r="AT205">
        <f t="shared" si="113"/>
        <v>11914.344000000001</v>
      </c>
      <c r="AU205">
        <f t="shared" si="114"/>
        <v>2143.1040000000012</v>
      </c>
      <c r="AV205" s="6">
        <f t="shared" si="115"/>
        <v>0.1356467045101265</v>
      </c>
      <c r="AW205" t="str">
        <f t="shared" si="116"/>
        <v>CLEAN</v>
      </c>
      <c r="AX205" s="10" t="str">
        <f t="shared" si="117"/>
        <v>MATCH</v>
      </c>
      <c r="AY205" t="str">
        <f t="shared" si="118"/>
        <v>MATCH</v>
      </c>
    </row>
    <row r="206" spans="1:51">
      <c r="A206" t="s">
        <v>1777</v>
      </c>
      <c r="B206">
        <f t="shared" si="94"/>
        <v>1</v>
      </c>
      <c r="C206" t="s">
        <v>144</v>
      </c>
      <c r="D206" s="2">
        <v>45653</v>
      </c>
      <c r="E206" t="str">
        <f t="shared" si="95"/>
        <v>2024/12/27</v>
      </c>
      <c r="F206" t="str">
        <f t="shared" si="104"/>
        <v>December</v>
      </c>
      <c r="G206">
        <f t="shared" si="105"/>
        <v>2024</v>
      </c>
      <c r="H206" t="s">
        <v>1778</v>
      </c>
      <c r="I206" s="4">
        <v>45657</v>
      </c>
      <c r="J206" s="8">
        <f t="shared" si="96"/>
        <v>4</v>
      </c>
      <c r="K206" s="8" t="str">
        <f t="shared" si="106"/>
        <v>OK</v>
      </c>
      <c r="L206" t="s">
        <v>1779</v>
      </c>
      <c r="M206" t="s">
        <v>365</v>
      </c>
      <c r="N206" t="str">
        <f t="shared" si="97"/>
        <v>Kabir Singh</v>
      </c>
      <c r="O206" t="s">
        <v>1780</v>
      </c>
      <c r="P206" t="str">
        <f t="shared" si="121"/>
        <v>Corporate</v>
      </c>
      <c r="Q206" t="s">
        <v>26</v>
      </c>
      <c r="R206" t="str">
        <f t="shared" si="119"/>
        <v>North</v>
      </c>
      <c r="S206" t="str">
        <f t="shared" si="107"/>
        <v>OK</v>
      </c>
      <c r="T206" t="s">
        <v>153</v>
      </c>
      <c r="U206" t="str">
        <f t="shared" si="98"/>
        <v>Punjab</v>
      </c>
      <c r="V206" t="s">
        <v>154</v>
      </c>
      <c r="W206" t="str">
        <f t="shared" si="99"/>
        <v>Ludhiana</v>
      </c>
      <c r="X206" t="str">
        <f t="shared" si="100"/>
        <v>Furniture</v>
      </c>
      <c r="Y206" t="s">
        <v>44</v>
      </c>
      <c r="Z206" t="s">
        <v>64</v>
      </c>
      <c r="AA206" t="str">
        <f t="shared" si="101"/>
        <v>Furnishings</v>
      </c>
      <c r="AB206" t="s">
        <v>1781</v>
      </c>
      <c r="AC206" t="s">
        <v>66</v>
      </c>
      <c r="AD206" t="str">
        <f t="shared" si="120"/>
        <v>Standard Class</v>
      </c>
      <c r="AE206" t="str">
        <f t="shared" si="108"/>
        <v>OK</v>
      </c>
      <c r="AF206">
        <v>6</v>
      </c>
      <c r="AG206">
        <v>3346.78</v>
      </c>
      <c r="AH206">
        <v>-0.06</v>
      </c>
      <c r="AI206">
        <f t="shared" si="109"/>
        <v>-0.06</v>
      </c>
      <c r="AJ206" t="str">
        <f t="shared" si="110"/>
        <v>Invalid Negative Discount</v>
      </c>
      <c r="AK206">
        <v>20080.68</v>
      </c>
      <c r="AL206">
        <v>12908.84</v>
      </c>
      <c r="AM206">
        <v>7171.84</v>
      </c>
      <c r="AN206" t="s">
        <v>136</v>
      </c>
      <c r="AO206" t="str">
        <f t="shared" si="102"/>
        <v>PENDING</v>
      </c>
      <c r="AP206" t="str">
        <f t="shared" si="111"/>
        <v>OK</v>
      </c>
      <c r="AQ206" t="s">
        <v>77</v>
      </c>
      <c r="AR206" t="str">
        <f t="shared" si="103"/>
        <v>CANCELLED</v>
      </c>
      <c r="AS206" t="str">
        <f t="shared" si="112"/>
        <v>EXCLUDE_FROM_SALES</v>
      </c>
      <c r="AT206" t="str">
        <f t="shared" si="113"/>
        <v>INVAILD</v>
      </c>
      <c r="AU206" t="str">
        <f t="shared" si="114"/>
        <v>INVAILD</v>
      </c>
      <c r="AW206" t="str">
        <f t="shared" si="116"/>
        <v>INVALID</v>
      </c>
      <c r="AX206" s="10" t="s">
        <v>4116</v>
      </c>
      <c r="AY206" t="s">
        <v>4116</v>
      </c>
    </row>
    <row r="207" spans="1:51">
      <c r="A207" t="s">
        <v>1782</v>
      </c>
      <c r="B207">
        <f t="shared" si="94"/>
        <v>1</v>
      </c>
      <c r="C207" t="s">
        <v>1783</v>
      </c>
      <c r="D207" s="3">
        <v>45424</v>
      </c>
      <c r="E207" t="str">
        <f t="shared" si="95"/>
        <v>2024/05/12</v>
      </c>
      <c r="F207" t="str">
        <f t="shared" si="104"/>
        <v>May</v>
      </c>
      <c r="G207">
        <f t="shared" si="105"/>
        <v>2024</v>
      </c>
      <c r="H207" t="s">
        <v>1784</v>
      </c>
      <c r="I207" s="4">
        <v>45421</v>
      </c>
      <c r="J207" s="8">
        <f t="shared" si="96"/>
        <v>-3</v>
      </c>
      <c r="K207" s="8" t="str">
        <f t="shared" si="106"/>
        <v>INVAILD_SHIPPING</v>
      </c>
      <c r="L207" t="s">
        <v>1785</v>
      </c>
      <c r="M207" t="s">
        <v>141</v>
      </c>
      <c r="N207" t="str">
        <f t="shared" si="97"/>
        <v>Priya Menon</v>
      </c>
      <c r="O207" t="s">
        <v>107</v>
      </c>
      <c r="P207" t="str">
        <f t="shared" si="121"/>
        <v>Corporate</v>
      </c>
      <c r="Q207" t="s">
        <v>72</v>
      </c>
      <c r="R207" t="str">
        <f t="shared" si="119"/>
        <v>West</v>
      </c>
      <c r="S207" t="str">
        <f t="shared" si="107"/>
        <v>OK</v>
      </c>
      <c r="T207" t="s">
        <v>27</v>
      </c>
      <c r="U207" t="str">
        <f t="shared" si="98"/>
        <v>Rajasthan</v>
      </c>
      <c r="V207" t="s">
        <v>134</v>
      </c>
      <c r="W207" t="str">
        <f t="shared" si="99"/>
        <v>Udaipur</v>
      </c>
      <c r="X207" t="str">
        <f t="shared" si="100"/>
        <v>Furniture</v>
      </c>
      <c r="Y207" t="s">
        <v>44</v>
      </c>
      <c r="Z207" t="s">
        <v>45</v>
      </c>
      <c r="AA207" t="str">
        <f t="shared" si="101"/>
        <v>Tables</v>
      </c>
      <c r="AB207" t="s">
        <v>1786</v>
      </c>
      <c r="AC207" t="s">
        <v>66</v>
      </c>
      <c r="AD207" t="str">
        <f t="shared" si="120"/>
        <v>Standard Class</v>
      </c>
      <c r="AE207" t="str">
        <f t="shared" si="108"/>
        <v>OK</v>
      </c>
      <c r="AF207">
        <v>5</v>
      </c>
      <c r="AG207">
        <v>3203.48</v>
      </c>
      <c r="AH207">
        <v>0</v>
      </c>
      <c r="AI207">
        <f t="shared" si="109"/>
        <v>0</v>
      </c>
      <c r="AJ207" t="str">
        <f t="shared" si="110"/>
        <v>OK</v>
      </c>
      <c r="AK207">
        <v>16017.4</v>
      </c>
      <c r="AL207">
        <v>9557.7999999999993</v>
      </c>
      <c r="AM207">
        <v>6459.6</v>
      </c>
      <c r="AN207" t="s">
        <v>136</v>
      </c>
      <c r="AO207" t="str">
        <f t="shared" si="102"/>
        <v>PENDING</v>
      </c>
      <c r="AP207" t="str">
        <f t="shared" si="111"/>
        <v>OK</v>
      </c>
      <c r="AQ207" t="s">
        <v>77</v>
      </c>
      <c r="AR207" t="str">
        <f t="shared" si="103"/>
        <v>CANCELLED</v>
      </c>
      <c r="AS207" t="str">
        <f t="shared" si="112"/>
        <v>EXCLUDE_FROM_SALES</v>
      </c>
      <c r="AT207">
        <f t="shared" si="113"/>
        <v>16017.4</v>
      </c>
      <c r="AU207">
        <f t="shared" si="114"/>
        <v>6459.6</v>
      </c>
      <c r="AV207" s="6">
        <f t="shared" si="115"/>
        <v>8.0413175671457282E-2</v>
      </c>
      <c r="AW207" t="str">
        <f t="shared" si="116"/>
        <v>CLEAN</v>
      </c>
      <c r="AX207" s="10" t="str">
        <f t="shared" si="117"/>
        <v>MATCH</v>
      </c>
      <c r="AY207" t="str">
        <f t="shared" si="118"/>
        <v>MATCH</v>
      </c>
    </row>
    <row r="208" spans="1:51">
      <c r="A208" t="s">
        <v>1801</v>
      </c>
      <c r="B208">
        <f t="shared" si="94"/>
        <v>1</v>
      </c>
      <c r="C208" t="s">
        <v>1625</v>
      </c>
      <c r="D208" s="2">
        <v>45525</v>
      </c>
      <c r="E208" t="str">
        <f t="shared" si="95"/>
        <v>2024/08/21</v>
      </c>
      <c r="F208" t="str">
        <f t="shared" si="104"/>
        <v>August</v>
      </c>
      <c r="G208">
        <f t="shared" si="105"/>
        <v>2024</v>
      </c>
      <c r="H208" t="s">
        <v>1802</v>
      </c>
      <c r="I208" s="4">
        <v>45526</v>
      </c>
      <c r="J208" s="8">
        <f t="shared" si="96"/>
        <v>1</v>
      </c>
      <c r="K208" s="8" t="str">
        <f t="shared" si="106"/>
        <v>OK</v>
      </c>
      <c r="L208" t="s">
        <v>1803</v>
      </c>
      <c r="M208" t="s">
        <v>52</v>
      </c>
      <c r="N208" t="str">
        <f t="shared" si="97"/>
        <v>Isha Nair</v>
      </c>
      <c r="O208" t="s">
        <v>25</v>
      </c>
      <c r="P208" t="str">
        <f t="shared" si="121"/>
        <v>Consumer</v>
      </c>
      <c r="Q208" t="s">
        <v>61</v>
      </c>
      <c r="R208" t="str">
        <f t="shared" si="119"/>
        <v>South</v>
      </c>
      <c r="S208" t="str">
        <f t="shared" si="107"/>
        <v>OK</v>
      </c>
      <c r="T208" t="s">
        <v>338</v>
      </c>
      <c r="U208" t="str">
        <f t="shared" si="98"/>
        <v>Tamil Nadu</v>
      </c>
      <c r="V208" t="s">
        <v>339</v>
      </c>
      <c r="W208" t="str">
        <f t="shared" si="99"/>
        <v>Chennai</v>
      </c>
      <c r="X208" t="str">
        <f t="shared" si="100"/>
        <v>Technology</v>
      </c>
      <c r="Y208" t="s">
        <v>85</v>
      </c>
      <c r="Z208" t="s">
        <v>222</v>
      </c>
      <c r="AA208" t="str">
        <f t="shared" si="101"/>
        <v>Phones</v>
      </c>
      <c r="AB208" t="s">
        <v>1804</v>
      </c>
      <c r="AC208" t="s">
        <v>47</v>
      </c>
      <c r="AD208" t="str">
        <f t="shared" si="120"/>
        <v>Same Day</v>
      </c>
      <c r="AE208" t="str">
        <f t="shared" si="108"/>
        <v>OK</v>
      </c>
      <c r="AF208">
        <v>9</v>
      </c>
      <c r="AG208">
        <v>616.96</v>
      </c>
      <c r="AH208">
        <v>0.1</v>
      </c>
      <c r="AI208">
        <f t="shared" si="109"/>
        <v>0.1</v>
      </c>
      <c r="AJ208" t="str">
        <f t="shared" si="110"/>
        <v>OK</v>
      </c>
      <c r="AK208">
        <v>4997.38</v>
      </c>
      <c r="AL208">
        <v>2971.39</v>
      </c>
      <c r="AM208">
        <v>2025.99</v>
      </c>
      <c r="AN208" t="s">
        <v>33</v>
      </c>
      <c r="AO208" t="str">
        <f t="shared" si="102"/>
        <v>PAID</v>
      </c>
      <c r="AP208" t="str">
        <f t="shared" si="111"/>
        <v>OK</v>
      </c>
      <c r="AQ208" t="s">
        <v>34</v>
      </c>
      <c r="AR208" t="str">
        <f t="shared" si="103"/>
        <v>COMPLETED</v>
      </c>
      <c r="AS208" t="str">
        <f t="shared" si="112"/>
        <v>OK</v>
      </c>
      <c r="AT208">
        <f t="shared" si="113"/>
        <v>4997.3760000000002</v>
      </c>
      <c r="AU208">
        <f t="shared" si="114"/>
        <v>2025.9860000000003</v>
      </c>
      <c r="AV208" s="6">
        <f t="shared" si="115"/>
        <v>1.2770757093322576</v>
      </c>
      <c r="AW208" t="str">
        <f t="shared" si="116"/>
        <v>CLEAN</v>
      </c>
      <c r="AX208" s="10" t="str">
        <f t="shared" si="117"/>
        <v>MATCH</v>
      </c>
      <c r="AY208" t="str">
        <f t="shared" si="118"/>
        <v>MATCH</v>
      </c>
    </row>
    <row r="209" spans="1:51">
      <c r="A209" t="s">
        <v>1805</v>
      </c>
      <c r="B209">
        <f t="shared" si="94"/>
        <v>1</v>
      </c>
      <c r="C209" t="s">
        <v>1806</v>
      </c>
      <c r="D209" s="2">
        <v>45460</v>
      </c>
      <c r="E209" t="str">
        <f t="shared" si="95"/>
        <v>2024/06/17</v>
      </c>
      <c r="F209" t="str">
        <f t="shared" si="104"/>
        <v>June</v>
      </c>
      <c r="G209">
        <f t="shared" si="105"/>
        <v>2024</v>
      </c>
      <c r="H209" t="s">
        <v>1807</v>
      </c>
      <c r="I209" s="4">
        <v>45463</v>
      </c>
      <c r="J209" s="8">
        <f t="shared" si="96"/>
        <v>3</v>
      </c>
      <c r="K209" s="8" t="str">
        <f t="shared" si="106"/>
        <v>OK</v>
      </c>
      <c r="L209" t="s">
        <v>1808</v>
      </c>
      <c r="M209" t="s">
        <v>167</v>
      </c>
      <c r="N209" t="str">
        <f t="shared" si="97"/>
        <v>Sneha Kapoor</v>
      </c>
      <c r="O209" t="s">
        <v>40</v>
      </c>
      <c r="P209" t="str">
        <f t="shared" si="121"/>
        <v>Small Business</v>
      </c>
      <c r="Q209" t="s">
        <v>72</v>
      </c>
      <c r="R209" t="str">
        <f t="shared" si="119"/>
        <v>West</v>
      </c>
      <c r="S209" t="str">
        <f t="shared" si="107"/>
        <v>OK</v>
      </c>
      <c r="T209" t="s">
        <v>234</v>
      </c>
      <c r="U209" t="str">
        <f t="shared" si="98"/>
        <v>Gujarat</v>
      </c>
      <c r="V209" t="s">
        <v>235</v>
      </c>
      <c r="W209" t="str">
        <f t="shared" si="99"/>
        <v>Ahmedabad</v>
      </c>
      <c r="X209" t="str">
        <f t="shared" si="100"/>
        <v>Furniture</v>
      </c>
      <c r="Y209" t="s">
        <v>44</v>
      </c>
      <c r="Z209" t="s">
        <v>64</v>
      </c>
      <c r="AA209" t="str">
        <f t="shared" si="101"/>
        <v>Furnishings</v>
      </c>
      <c r="AB209" t="s">
        <v>1809</v>
      </c>
      <c r="AC209" t="s">
        <v>66</v>
      </c>
      <c r="AD209" t="str">
        <f t="shared" si="120"/>
        <v>Standard Class</v>
      </c>
      <c r="AE209" t="str">
        <f t="shared" si="108"/>
        <v>OK</v>
      </c>
      <c r="AF209">
        <v>7</v>
      </c>
      <c r="AG209">
        <v>3155.25</v>
      </c>
      <c r="AH209">
        <v>0.2</v>
      </c>
      <c r="AI209">
        <f t="shared" si="109"/>
        <v>0.2</v>
      </c>
      <c r="AJ209" t="str">
        <f t="shared" si="110"/>
        <v>OK</v>
      </c>
      <c r="AK209">
        <v>17669.400000000001</v>
      </c>
      <c r="AL209">
        <v>13718.77</v>
      </c>
      <c r="AM209">
        <v>3950.63</v>
      </c>
      <c r="AN209" t="s">
        <v>123</v>
      </c>
      <c r="AO209" t="str">
        <f t="shared" si="102"/>
        <v>REFUNDED</v>
      </c>
      <c r="AP209" t="str">
        <f t="shared" si="111"/>
        <v>REFUNDED_PAYMENT</v>
      </c>
      <c r="AQ209" t="s">
        <v>77</v>
      </c>
      <c r="AR209" t="str">
        <f t="shared" si="103"/>
        <v>CANCELLED</v>
      </c>
      <c r="AS209" t="str">
        <f t="shared" si="112"/>
        <v>EXCLUDE_FROM_SALES</v>
      </c>
      <c r="AT209">
        <f t="shared" si="113"/>
        <v>17669.400000000001</v>
      </c>
      <c r="AU209">
        <f t="shared" si="114"/>
        <v>3950.630000000001</v>
      </c>
      <c r="AV209" s="6">
        <f t="shared" si="115"/>
        <v>8.6296082492897264E-3</v>
      </c>
      <c r="AW209" t="str">
        <f t="shared" si="116"/>
        <v>CLEAN</v>
      </c>
      <c r="AX209" s="10" t="str">
        <f t="shared" si="117"/>
        <v>MATCH</v>
      </c>
      <c r="AY209" t="str">
        <f t="shared" si="118"/>
        <v>MATCH</v>
      </c>
    </row>
    <row r="210" spans="1:51">
      <c r="A210" t="s">
        <v>1814</v>
      </c>
      <c r="B210">
        <f t="shared" si="94"/>
        <v>1</v>
      </c>
      <c r="C210" t="s">
        <v>1815</v>
      </c>
      <c r="D210" s="2">
        <v>45527</v>
      </c>
      <c r="E210" t="str">
        <f t="shared" si="95"/>
        <v>2024/08/23</v>
      </c>
      <c r="F210" t="str">
        <f t="shared" si="104"/>
        <v>August</v>
      </c>
      <c r="G210">
        <f t="shared" si="105"/>
        <v>2024</v>
      </c>
      <c r="H210" t="s">
        <v>1816</v>
      </c>
      <c r="I210" s="4">
        <v>45529</v>
      </c>
      <c r="J210" s="8">
        <f t="shared" si="96"/>
        <v>2</v>
      </c>
      <c r="K210" s="8" t="str">
        <f t="shared" si="106"/>
        <v>OK</v>
      </c>
      <c r="L210" t="s">
        <v>1817</v>
      </c>
      <c r="M210" t="s">
        <v>82</v>
      </c>
      <c r="N210" t="str">
        <f t="shared" si="97"/>
        <v>Vikram Iyer</v>
      </c>
      <c r="O210" t="s">
        <v>25</v>
      </c>
      <c r="P210" t="str">
        <f t="shared" si="121"/>
        <v>Consumer</v>
      </c>
      <c r="Q210" t="s">
        <v>72</v>
      </c>
      <c r="R210" t="str">
        <f t="shared" si="119"/>
        <v>West</v>
      </c>
      <c r="S210" t="str">
        <f t="shared" si="107"/>
        <v>OK</v>
      </c>
      <c r="T210" t="s">
        <v>248</v>
      </c>
      <c r="U210" t="str">
        <f t="shared" si="98"/>
        <v>Goa</v>
      </c>
      <c r="V210" t="s">
        <v>249</v>
      </c>
      <c r="W210" t="str">
        <f t="shared" si="99"/>
        <v>Panaji</v>
      </c>
      <c r="X210" t="str">
        <f t="shared" si="100"/>
        <v>Technology</v>
      </c>
      <c r="Y210" t="s">
        <v>85</v>
      </c>
      <c r="Z210" t="s">
        <v>381</v>
      </c>
      <c r="AA210" t="str">
        <f t="shared" si="101"/>
        <v>Machines</v>
      </c>
      <c r="AB210" t="s">
        <v>1818</v>
      </c>
      <c r="AC210" t="s">
        <v>47</v>
      </c>
      <c r="AD210" t="str">
        <f t="shared" si="120"/>
        <v>Same Day</v>
      </c>
      <c r="AE210" t="str">
        <f t="shared" si="108"/>
        <v>OK</v>
      </c>
      <c r="AF210">
        <v>4</v>
      </c>
      <c r="AG210">
        <v>491.16</v>
      </c>
      <c r="AH210">
        <v>0.05</v>
      </c>
      <c r="AI210">
        <f t="shared" si="109"/>
        <v>0.05</v>
      </c>
      <c r="AJ210" t="str">
        <f t="shared" si="110"/>
        <v>OK</v>
      </c>
      <c r="AK210">
        <v>1866.41</v>
      </c>
      <c r="AL210">
        <v>1576.49</v>
      </c>
      <c r="AM210">
        <v>289.92</v>
      </c>
      <c r="AN210" t="s">
        <v>33</v>
      </c>
      <c r="AO210" t="str">
        <f t="shared" si="102"/>
        <v>PAID</v>
      </c>
      <c r="AP210" t="str">
        <f t="shared" si="111"/>
        <v>OK</v>
      </c>
      <c r="AQ210" t="s">
        <v>34</v>
      </c>
      <c r="AR210" t="str">
        <f t="shared" si="103"/>
        <v>COMPLETED</v>
      </c>
      <c r="AS210" t="str">
        <f t="shared" si="112"/>
        <v>OK</v>
      </c>
      <c r="AT210">
        <f t="shared" si="113"/>
        <v>1866.4079999999999</v>
      </c>
      <c r="AU210">
        <f t="shared" si="114"/>
        <v>289.91799999999989</v>
      </c>
      <c r="AV210" s="6">
        <f t="shared" si="115"/>
        <v>3.3374819439265151</v>
      </c>
      <c r="AW210" t="str">
        <f t="shared" si="116"/>
        <v>CLEAN</v>
      </c>
      <c r="AX210" s="10" t="str">
        <f t="shared" si="117"/>
        <v>MATCH</v>
      </c>
      <c r="AY210" t="str">
        <f t="shared" si="118"/>
        <v>MATCH</v>
      </c>
    </row>
    <row r="211" spans="1:51">
      <c r="A211" t="s">
        <v>1829</v>
      </c>
      <c r="B211">
        <f t="shared" si="94"/>
        <v>1</v>
      </c>
      <c r="C211" t="s">
        <v>1830</v>
      </c>
      <c r="D211" s="3">
        <v>45458</v>
      </c>
      <c r="E211" t="str">
        <f t="shared" si="95"/>
        <v>2024/06/15</v>
      </c>
      <c r="F211" t="str">
        <f t="shared" si="104"/>
        <v>June</v>
      </c>
      <c r="G211">
        <f t="shared" si="105"/>
        <v>2024</v>
      </c>
      <c r="H211" t="s">
        <v>1831</v>
      </c>
      <c r="I211" s="4">
        <v>45464</v>
      </c>
      <c r="J211" s="8">
        <f t="shared" si="96"/>
        <v>6</v>
      </c>
      <c r="K211" s="8" t="str">
        <f t="shared" si="106"/>
        <v>OK</v>
      </c>
      <c r="L211" t="s">
        <v>1832</v>
      </c>
      <c r="M211" t="s">
        <v>106</v>
      </c>
      <c r="N211" t="str">
        <f t="shared" si="97"/>
        <v>Aditi Sen</v>
      </c>
      <c r="O211" t="s">
        <v>107</v>
      </c>
      <c r="P211" t="str">
        <f t="shared" si="121"/>
        <v>Corporate</v>
      </c>
      <c r="Q211" t="s">
        <v>72</v>
      </c>
      <c r="R211" t="str">
        <f t="shared" si="119"/>
        <v>West</v>
      </c>
      <c r="S211" t="str">
        <f t="shared" si="107"/>
        <v>OK</v>
      </c>
      <c r="T211" t="s">
        <v>248</v>
      </c>
      <c r="U211" t="str">
        <f t="shared" si="98"/>
        <v>Goa</v>
      </c>
      <c r="V211" t="s">
        <v>249</v>
      </c>
      <c r="W211" t="str">
        <f t="shared" si="99"/>
        <v>Panaji</v>
      </c>
      <c r="X211" t="str">
        <f t="shared" si="100"/>
        <v>Technology</v>
      </c>
      <c r="Y211" t="s">
        <v>85</v>
      </c>
      <c r="Z211" t="s">
        <v>86</v>
      </c>
      <c r="AA211" t="str">
        <f t="shared" si="101"/>
        <v>Accessories</v>
      </c>
      <c r="AB211" t="s">
        <v>1833</v>
      </c>
      <c r="AC211" t="s">
        <v>55</v>
      </c>
      <c r="AD211" t="str">
        <f t="shared" si="120"/>
        <v>First Class</v>
      </c>
      <c r="AE211" t="str">
        <f t="shared" si="108"/>
        <v>OK</v>
      </c>
      <c r="AF211">
        <v>8</v>
      </c>
      <c r="AG211">
        <v>1706.4</v>
      </c>
      <c r="AI211">
        <f t="shared" si="109"/>
        <v>0</v>
      </c>
      <c r="AJ211" t="str">
        <f t="shared" si="110"/>
        <v>Missing Discount</v>
      </c>
      <c r="AK211">
        <v>12968.64</v>
      </c>
      <c r="AL211">
        <v>10119.61</v>
      </c>
      <c r="AM211">
        <v>2849.03</v>
      </c>
      <c r="AN211" t="s">
        <v>33</v>
      </c>
      <c r="AO211" t="str">
        <f t="shared" si="102"/>
        <v>PAID</v>
      </c>
      <c r="AP211" t="str">
        <f t="shared" si="111"/>
        <v>OK</v>
      </c>
      <c r="AQ211" t="s">
        <v>34</v>
      </c>
      <c r="AR211" t="str">
        <f t="shared" si="103"/>
        <v>COMPLETED</v>
      </c>
      <c r="AS211" t="str">
        <f t="shared" si="112"/>
        <v>OK</v>
      </c>
      <c r="AT211">
        <f t="shared" si="113"/>
        <v>13651.2</v>
      </c>
      <c r="AU211">
        <f t="shared" si="114"/>
        <v>3531.59</v>
      </c>
      <c r="AV211" s="6">
        <f t="shared" si="115"/>
        <v>0.16373871894045947</v>
      </c>
      <c r="AW211" t="str">
        <f t="shared" si="116"/>
        <v>INVALID</v>
      </c>
      <c r="AX211" s="10" t="str">
        <f t="shared" si="117"/>
        <v>MISMATCH</v>
      </c>
      <c r="AY211" t="str">
        <f t="shared" si="118"/>
        <v>MISMATCH</v>
      </c>
    </row>
    <row r="212" spans="1:51">
      <c r="A212" t="s">
        <v>1839</v>
      </c>
      <c r="B212">
        <f t="shared" si="94"/>
        <v>1</v>
      </c>
      <c r="C212" t="s">
        <v>977</v>
      </c>
      <c r="D212" s="3">
        <v>45366</v>
      </c>
      <c r="E212" t="str">
        <f t="shared" si="95"/>
        <v>2024/03/15</v>
      </c>
      <c r="F212" t="str">
        <f t="shared" si="104"/>
        <v>March</v>
      </c>
      <c r="G212">
        <f t="shared" si="105"/>
        <v>2024</v>
      </c>
      <c r="H212" t="s">
        <v>1840</v>
      </c>
      <c r="I212" s="4">
        <v>45367</v>
      </c>
      <c r="J212" s="8">
        <f t="shared" si="96"/>
        <v>1</v>
      </c>
      <c r="K212" s="8" t="str">
        <f t="shared" si="106"/>
        <v>OK</v>
      </c>
      <c r="L212" t="s">
        <v>1841</v>
      </c>
      <c r="M212" t="s">
        <v>179</v>
      </c>
      <c r="N212" t="str">
        <f t="shared" si="97"/>
        <v>Rohan Mehta</v>
      </c>
      <c r="O212" t="s">
        <v>25</v>
      </c>
      <c r="P212" t="str">
        <f t="shared" si="121"/>
        <v>Consumer</v>
      </c>
      <c r="Q212" t="s">
        <v>26</v>
      </c>
      <c r="R212" t="str">
        <f t="shared" si="119"/>
        <v>North</v>
      </c>
      <c r="S212" t="str">
        <f t="shared" si="107"/>
        <v>OK</v>
      </c>
      <c r="T212" t="s">
        <v>505</v>
      </c>
      <c r="U212" t="str">
        <f t="shared" si="98"/>
        <v>Delhi</v>
      </c>
      <c r="V212" t="s">
        <v>506</v>
      </c>
      <c r="W212" t="str">
        <f t="shared" si="99"/>
        <v>New Delhi</v>
      </c>
      <c r="X212" t="str">
        <f t="shared" si="100"/>
        <v>Office Supplies</v>
      </c>
      <c r="Y212" t="s">
        <v>29</v>
      </c>
      <c r="Z212" t="s">
        <v>53</v>
      </c>
      <c r="AA212" t="str">
        <f t="shared" si="101"/>
        <v>Art</v>
      </c>
      <c r="AB212" t="s">
        <v>1842</v>
      </c>
      <c r="AC212" t="s">
        <v>66</v>
      </c>
      <c r="AD212" t="str">
        <f t="shared" si="120"/>
        <v>Standard Class</v>
      </c>
      <c r="AE212" t="str">
        <f t="shared" si="108"/>
        <v>OK</v>
      </c>
      <c r="AF212">
        <v>6</v>
      </c>
      <c r="AG212">
        <v>3815.09</v>
      </c>
      <c r="AH212">
        <v>0.15</v>
      </c>
      <c r="AI212">
        <f t="shared" si="109"/>
        <v>0.15</v>
      </c>
      <c r="AJ212" t="str">
        <f t="shared" si="110"/>
        <v>OK</v>
      </c>
      <c r="AK212">
        <v>19456.96</v>
      </c>
      <c r="AL212">
        <v>14520.06</v>
      </c>
      <c r="AM212">
        <v>4936.8999999999996</v>
      </c>
      <c r="AN212" t="s">
        <v>199</v>
      </c>
      <c r="AO212" t="str">
        <f t="shared" si="102"/>
        <v>FAILED</v>
      </c>
      <c r="AP212" t="str">
        <f t="shared" si="111"/>
        <v>EXCLUDE_FROM_SALES</v>
      </c>
      <c r="AQ212" t="s">
        <v>77</v>
      </c>
      <c r="AR212" t="str">
        <f t="shared" si="103"/>
        <v>CANCELLED</v>
      </c>
      <c r="AS212" t="str">
        <f t="shared" si="112"/>
        <v>EXCLUDE_FROM_SALES</v>
      </c>
      <c r="AT212">
        <f t="shared" si="113"/>
        <v>19456.958999999999</v>
      </c>
      <c r="AU212">
        <f t="shared" si="114"/>
        <v>4936.8989999999994</v>
      </c>
      <c r="AV212" s="6">
        <f t="shared" si="115"/>
        <v>0.13384989915433343</v>
      </c>
      <c r="AW212" t="str">
        <f t="shared" si="116"/>
        <v>CLEAN</v>
      </c>
      <c r="AX212" s="10" t="str">
        <f t="shared" si="117"/>
        <v>MATCH</v>
      </c>
      <c r="AY212" t="str">
        <f t="shared" si="118"/>
        <v>MATCH</v>
      </c>
    </row>
    <row r="213" spans="1:51">
      <c r="A213" t="s">
        <v>1849</v>
      </c>
      <c r="B213">
        <f t="shared" si="94"/>
        <v>1</v>
      </c>
      <c r="C213" t="s">
        <v>1850</v>
      </c>
      <c r="D213" s="3">
        <v>45519</v>
      </c>
      <c r="E213" t="str">
        <f t="shared" si="95"/>
        <v>2024/08/15</v>
      </c>
      <c r="F213" t="str">
        <f t="shared" si="104"/>
        <v>August</v>
      </c>
      <c r="G213">
        <f t="shared" si="105"/>
        <v>2024</v>
      </c>
      <c r="H213" t="s">
        <v>1625</v>
      </c>
      <c r="I213" s="4">
        <v>45525</v>
      </c>
      <c r="J213" s="8">
        <f t="shared" si="96"/>
        <v>6</v>
      </c>
      <c r="K213" s="8" t="str">
        <f t="shared" si="106"/>
        <v>OK</v>
      </c>
      <c r="L213" t="s">
        <v>1851</v>
      </c>
      <c r="M213" t="s">
        <v>71</v>
      </c>
      <c r="N213" t="str">
        <f t="shared" si="97"/>
        <v>Ananya Rao</v>
      </c>
      <c r="O213" t="s">
        <v>40</v>
      </c>
      <c r="P213" t="str">
        <f t="shared" si="121"/>
        <v>Small Business</v>
      </c>
      <c r="Q213" t="s">
        <v>72</v>
      </c>
      <c r="R213" t="str">
        <f t="shared" si="119"/>
        <v>West</v>
      </c>
      <c r="S213" t="str">
        <f t="shared" si="107"/>
        <v>OK</v>
      </c>
      <c r="T213" t="s">
        <v>27</v>
      </c>
      <c r="U213" t="str">
        <f t="shared" si="98"/>
        <v>Rajasthan</v>
      </c>
      <c r="V213" t="s">
        <v>134</v>
      </c>
      <c r="W213" t="str">
        <f t="shared" si="99"/>
        <v>Udaipur</v>
      </c>
      <c r="X213" t="str">
        <f t="shared" si="100"/>
        <v>Technology</v>
      </c>
      <c r="Y213" t="s">
        <v>85</v>
      </c>
      <c r="Z213" t="s">
        <v>93</v>
      </c>
      <c r="AA213" t="str">
        <f t="shared" si="101"/>
        <v>Copiers</v>
      </c>
      <c r="AB213" t="s">
        <v>1852</v>
      </c>
      <c r="AC213" t="s">
        <v>55</v>
      </c>
      <c r="AD213" t="str">
        <f t="shared" si="120"/>
        <v>First Class</v>
      </c>
      <c r="AE213" t="str">
        <f t="shared" si="108"/>
        <v>OK</v>
      </c>
      <c r="AF213">
        <v>7</v>
      </c>
      <c r="AG213">
        <v>2333.81</v>
      </c>
      <c r="AH213">
        <v>0.2</v>
      </c>
      <c r="AI213">
        <f t="shared" si="109"/>
        <v>0.2</v>
      </c>
      <c r="AJ213" t="str">
        <f t="shared" si="110"/>
        <v>OK</v>
      </c>
      <c r="AK213">
        <v>13069.34</v>
      </c>
      <c r="AL213">
        <v>8768.59</v>
      </c>
      <c r="AM213">
        <v>4300.75</v>
      </c>
      <c r="AN213" t="s">
        <v>33</v>
      </c>
      <c r="AO213" t="str">
        <f t="shared" si="102"/>
        <v>PAID</v>
      </c>
      <c r="AP213" t="str">
        <f t="shared" si="111"/>
        <v>OK</v>
      </c>
      <c r="AQ213" t="s">
        <v>34</v>
      </c>
      <c r="AR213" t="str">
        <f t="shared" si="103"/>
        <v>COMPLETED</v>
      </c>
      <c r="AS213" t="str">
        <f t="shared" si="112"/>
        <v>OK</v>
      </c>
      <c r="AT213">
        <f t="shared" si="113"/>
        <v>13069.336000000001</v>
      </c>
      <c r="AU213">
        <f t="shared" si="114"/>
        <v>4300.746000000001</v>
      </c>
      <c r="AV213" s="6">
        <f t="shared" si="115"/>
        <v>4.3563995906142433E-2</v>
      </c>
      <c r="AW213" t="str">
        <f t="shared" si="116"/>
        <v>CLEAN</v>
      </c>
      <c r="AX213" s="10" t="str">
        <f t="shared" si="117"/>
        <v>MATCH</v>
      </c>
      <c r="AY213" t="str">
        <f t="shared" si="118"/>
        <v>MATCH</v>
      </c>
    </row>
    <row r="214" spans="1:51">
      <c r="A214" t="s">
        <v>1853</v>
      </c>
      <c r="B214">
        <f t="shared" si="94"/>
        <v>1</v>
      </c>
      <c r="C214" t="s">
        <v>1057</v>
      </c>
      <c r="D214" s="3">
        <v>45313</v>
      </c>
      <c r="E214" t="str">
        <f t="shared" si="95"/>
        <v>2024/01/22</v>
      </c>
      <c r="F214" t="str">
        <f t="shared" si="104"/>
        <v>January</v>
      </c>
      <c r="G214">
        <f t="shared" si="105"/>
        <v>2024</v>
      </c>
      <c r="H214" t="s">
        <v>1854</v>
      </c>
      <c r="I214" s="4">
        <v>45315</v>
      </c>
      <c r="J214" s="8">
        <f t="shared" si="96"/>
        <v>2</v>
      </c>
      <c r="K214" s="8" t="str">
        <f t="shared" si="106"/>
        <v>OK</v>
      </c>
      <c r="L214" t="s">
        <v>1855</v>
      </c>
      <c r="M214" t="s">
        <v>209</v>
      </c>
      <c r="N214" t="str">
        <f t="shared" si="97"/>
        <v>Diya Patel</v>
      </c>
      <c r="O214" t="s">
        <v>114</v>
      </c>
      <c r="P214" t="str">
        <f t="shared" si="121"/>
        <v>Home Office</v>
      </c>
      <c r="Q214" t="s">
        <v>72</v>
      </c>
      <c r="R214" t="str">
        <f t="shared" si="119"/>
        <v>West</v>
      </c>
      <c r="S214" t="str">
        <f t="shared" si="107"/>
        <v>OK</v>
      </c>
      <c r="T214" t="s">
        <v>73</v>
      </c>
      <c r="U214" t="str">
        <f t="shared" si="98"/>
        <v>Maharashtra</v>
      </c>
      <c r="V214" t="s">
        <v>74</v>
      </c>
      <c r="W214" t="str">
        <f t="shared" si="99"/>
        <v>Mumbai</v>
      </c>
      <c r="X214" t="str">
        <f t="shared" si="100"/>
        <v>Office Supplies</v>
      </c>
      <c r="Y214" t="s">
        <v>29</v>
      </c>
      <c r="Z214" t="s">
        <v>53</v>
      </c>
      <c r="AA214" t="str">
        <f t="shared" si="101"/>
        <v>Art</v>
      </c>
      <c r="AB214" t="s">
        <v>1856</v>
      </c>
      <c r="AC214" t="s">
        <v>66</v>
      </c>
      <c r="AD214" t="str">
        <f t="shared" si="120"/>
        <v>Standard Class</v>
      </c>
      <c r="AE214" t="str">
        <f t="shared" si="108"/>
        <v>OK</v>
      </c>
      <c r="AF214">
        <v>6</v>
      </c>
      <c r="AG214">
        <v>1026.06</v>
      </c>
      <c r="AI214">
        <f t="shared" si="109"/>
        <v>0</v>
      </c>
      <c r="AJ214" t="str">
        <f t="shared" si="110"/>
        <v>Missing Discount</v>
      </c>
      <c r="AK214">
        <v>4617.2700000000004</v>
      </c>
      <c r="AL214">
        <v>2981.94</v>
      </c>
      <c r="AM214">
        <v>1635.33</v>
      </c>
      <c r="AN214" t="s">
        <v>123</v>
      </c>
      <c r="AO214" t="str">
        <f t="shared" si="102"/>
        <v>REFUNDED</v>
      </c>
      <c r="AP214" t="str">
        <f t="shared" si="111"/>
        <v>REFUNDED_PAYMENT</v>
      </c>
      <c r="AQ214" t="s">
        <v>77</v>
      </c>
      <c r="AR214" t="str">
        <f t="shared" si="103"/>
        <v>CANCELLED</v>
      </c>
      <c r="AS214" t="str">
        <f t="shared" si="112"/>
        <v>EXCLUDE_FROM_SALES</v>
      </c>
      <c r="AT214">
        <f t="shared" si="113"/>
        <v>6156.36</v>
      </c>
      <c r="AU214">
        <f t="shared" si="114"/>
        <v>3174.4199999999996</v>
      </c>
      <c r="AV214" s="6">
        <f t="shared" si="115"/>
        <v>0.63675840918984572</v>
      </c>
      <c r="AW214" t="str">
        <f t="shared" si="116"/>
        <v>INVALID</v>
      </c>
      <c r="AX214" s="10" t="str">
        <f t="shared" si="117"/>
        <v>MISMATCH</v>
      </c>
      <c r="AY214" t="str">
        <f t="shared" si="118"/>
        <v>MISMATCH</v>
      </c>
    </row>
    <row r="215" spans="1:51">
      <c r="A215" t="s">
        <v>1869</v>
      </c>
      <c r="B215">
        <f t="shared" si="94"/>
        <v>1</v>
      </c>
      <c r="C215" t="s">
        <v>1870</v>
      </c>
      <c r="D215" s="3">
        <v>45657</v>
      </c>
      <c r="E215" t="str">
        <f t="shared" si="95"/>
        <v>2024/12/31</v>
      </c>
      <c r="F215" t="str">
        <f t="shared" si="104"/>
        <v>December</v>
      </c>
      <c r="G215">
        <f t="shared" si="105"/>
        <v>2024</v>
      </c>
      <c r="H215" t="s">
        <v>1871</v>
      </c>
      <c r="I215" s="4">
        <v>45661</v>
      </c>
      <c r="J215" s="8">
        <f t="shared" si="96"/>
        <v>4</v>
      </c>
      <c r="K215" s="8" t="str">
        <f t="shared" si="106"/>
        <v>OK</v>
      </c>
      <c r="L215" t="s">
        <v>1872</v>
      </c>
      <c r="M215" t="s">
        <v>82</v>
      </c>
      <c r="N215" t="str">
        <f t="shared" si="97"/>
        <v>Vikram Iyer</v>
      </c>
      <c r="O215" t="s">
        <v>25</v>
      </c>
      <c r="P215" t="str">
        <f t="shared" si="121"/>
        <v>Consumer</v>
      </c>
      <c r="Q215" t="s">
        <v>26</v>
      </c>
      <c r="R215" t="str">
        <f t="shared" si="119"/>
        <v>North</v>
      </c>
      <c r="S215" t="str">
        <f t="shared" si="107"/>
        <v>OK</v>
      </c>
      <c r="T215" t="s">
        <v>505</v>
      </c>
      <c r="U215" t="str">
        <f t="shared" si="98"/>
        <v>Delhi</v>
      </c>
      <c r="V215" t="s">
        <v>506</v>
      </c>
      <c r="W215" t="str">
        <f t="shared" si="99"/>
        <v>New Delhi</v>
      </c>
      <c r="X215" t="str">
        <f t="shared" si="100"/>
        <v>Furniture</v>
      </c>
      <c r="Y215" t="s">
        <v>44</v>
      </c>
      <c r="Z215" t="s">
        <v>75</v>
      </c>
      <c r="AA215" t="str">
        <f t="shared" si="101"/>
        <v>Chairs</v>
      </c>
      <c r="AB215" t="s">
        <v>1873</v>
      </c>
      <c r="AC215" t="s">
        <v>47</v>
      </c>
      <c r="AD215" t="str">
        <f t="shared" si="120"/>
        <v>Same Day</v>
      </c>
      <c r="AE215" t="str">
        <f t="shared" si="108"/>
        <v>OK</v>
      </c>
      <c r="AF215">
        <v>3</v>
      </c>
      <c r="AG215">
        <v>1166.6099999999999</v>
      </c>
      <c r="AH215">
        <v>0.25</v>
      </c>
      <c r="AI215">
        <f t="shared" si="109"/>
        <v>0.25</v>
      </c>
      <c r="AJ215" t="str">
        <f t="shared" si="110"/>
        <v>OK</v>
      </c>
      <c r="AK215">
        <v>2624.87</v>
      </c>
      <c r="AL215">
        <v>2253.88</v>
      </c>
      <c r="AM215">
        <v>370.99</v>
      </c>
      <c r="AN215" t="s">
        <v>33</v>
      </c>
      <c r="AO215" t="str">
        <f t="shared" si="102"/>
        <v>PAID</v>
      </c>
      <c r="AP215" t="str">
        <f t="shared" si="111"/>
        <v>OK</v>
      </c>
      <c r="AQ215" t="s">
        <v>34</v>
      </c>
      <c r="AR215" t="str">
        <f t="shared" si="103"/>
        <v>COMPLETED</v>
      </c>
      <c r="AS215" t="str">
        <f t="shared" si="112"/>
        <v>OK</v>
      </c>
      <c r="AT215">
        <f t="shared" si="113"/>
        <v>2624.8724999999999</v>
      </c>
      <c r="AU215">
        <f t="shared" si="114"/>
        <v>370.99249999999984</v>
      </c>
      <c r="AV215" s="6">
        <f t="shared" si="115"/>
        <v>0.90316653475549769</v>
      </c>
      <c r="AW215" t="str">
        <f t="shared" si="116"/>
        <v>CLEAN</v>
      </c>
      <c r="AX215" s="10" t="str">
        <f t="shared" si="117"/>
        <v>MATCH</v>
      </c>
      <c r="AY215" t="str">
        <f t="shared" si="118"/>
        <v>MATCH</v>
      </c>
    </row>
    <row r="216" spans="1:51">
      <c r="A216" t="s">
        <v>1874</v>
      </c>
      <c r="B216">
        <f t="shared" si="94"/>
        <v>1</v>
      </c>
      <c r="C216" t="s">
        <v>1875</v>
      </c>
      <c r="D216" s="3">
        <v>45655</v>
      </c>
      <c r="E216" t="str">
        <f t="shared" si="95"/>
        <v>2024/12/29</v>
      </c>
      <c r="F216" t="str">
        <f t="shared" si="104"/>
        <v>December</v>
      </c>
      <c r="G216">
        <f t="shared" si="105"/>
        <v>2024</v>
      </c>
      <c r="H216" t="s">
        <v>1778</v>
      </c>
      <c r="I216" s="4">
        <v>45657</v>
      </c>
      <c r="J216" s="8">
        <f t="shared" si="96"/>
        <v>2</v>
      </c>
      <c r="K216" s="8" t="str">
        <f t="shared" si="106"/>
        <v>OK</v>
      </c>
      <c r="L216" t="s">
        <v>1876</v>
      </c>
      <c r="M216" t="s">
        <v>52</v>
      </c>
      <c r="N216" t="str">
        <f t="shared" si="97"/>
        <v>Isha Nair</v>
      </c>
      <c r="O216" t="s">
        <v>40</v>
      </c>
      <c r="P216" t="str">
        <f t="shared" si="121"/>
        <v>Small Business</v>
      </c>
      <c r="Q216" t="s">
        <v>41</v>
      </c>
      <c r="R216" t="str">
        <f t="shared" si="119"/>
        <v>East</v>
      </c>
      <c r="S216" t="str">
        <f t="shared" si="107"/>
        <v>OK</v>
      </c>
      <c r="T216" t="s">
        <v>185</v>
      </c>
      <c r="U216" t="str">
        <f t="shared" si="98"/>
        <v>Bihar</v>
      </c>
      <c r="V216" t="s">
        <v>186</v>
      </c>
      <c r="W216" t="str">
        <f t="shared" si="99"/>
        <v>Patna</v>
      </c>
      <c r="X216" t="str">
        <f t="shared" si="100"/>
        <v>Furniture</v>
      </c>
      <c r="Y216" t="s">
        <v>44</v>
      </c>
      <c r="Z216" t="s">
        <v>75</v>
      </c>
      <c r="AA216" t="str">
        <f t="shared" si="101"/>
        <v>Chairs</v>
      </c>
      <c r="AB216" t="s">
        <v>1877</v>
      </c>
      <c r="AC216" t="s">
        <v>55</v>
      </c>
      <c r="AD216" t="str">
        <f t="shared" si="120"/>
        <v>First Class</v>
      </c>
      <c r="AE216" t="str">
        <f t="shared" si="108"/>
        <v>OK</v>
      </c>
      <c r="AF216">
        <v>6</v>
      </c>
      <c r="AG216">
        <v>1844.78</v>
      </c>
      <c r="AH216">
        <v>0.2</v>
      </c>
      <c r="AI216">
        <f t="shared" si="109"/>
        <v>0.2</v>
      </c>
      <c r="AJ216" t="str">
        <f t="shared" si="110"/>
        <v>OK</v>
      </c>
      <c r="AK216">
        <v>8854.94</v>
      </c>
      <c r="AL216">
        <v>7433.95</v>
      </c>
      <c r="AM216">
        <v>1420.99</v>
      </c>
      <c r="AN216" t="s">
        <v>33</v>
      </c>
      <c r="AO216" t="str">
        <f t="shared" si="102"/>
        <v>PAID</v>
      </c>
      <c r="AP216" t="str">
        <f t="shared" si="111"/>
        <v>OK</v>
      </c>
      <c r="AQ216" t="s">
        <v>34</v>
      </c>
      <c r="AR216" t="str">
        <f t="shared" si="103"/>
        <v>COMPLETED</v>
      </c>
      <c r="AS216" t="str">
        <f t="shared" si="112"/>
        <v>OK</v>
      </c>
      <c r="AT216">
        <f t="shared" si="113"/>
        <v>8854.9440000000013</v>
      </c>
      <c r="AU216">
        <f t="shared" si="114"/>
        <v>1420.9940000000015</v>
      </c>
      <c r="AV216" s="6">
        <f t="shared" si="115"/>
        <v>0.74878056823397199</v>
      </c>
      <c r="AW216" t="str">
        <f t="shared" si="116"/>
        <v>CLEAN</v>
      </c>
      <c r="AX216" s="10" t="str">
        <f t="shared" si="117"/>
        <v>MATCH</v>
      </c>
      <c r="AY216" t="str">
        <f t="shared" si="118"/>
        <v>MATCH</v>
      </c>
    </row>
    <row r="217" spans="1:51">
      <c r="A217" t="s">
        <v>1887</v>
      </c>
      <c r="B217">
        <f t="shared" si="94"/>
        <v>1</v>
      </c>
      <c r="C217" t="s">
        <v>1888</v>
      </c>
      <c r="D217" s="3">
        <v>45554</v>
      </c>
      <c r="E217" t="str">
        <f t="shared" si="95"/>
        <v>2024/09/19</v>
      </c>
      <c r="F217" t="str">
        <f t="shared" si="104"/>
        <v>September</v>
      </c>
      <c r="G217">
        <f t="shared" si="105"/>
        <v>2024</v>
      </c>
      <c r="H217" t="s">
        <v>1889</v>
      </c>
      <c r="I217" s="4">
        <v>45558</v>
      </c>
      <c r="J217" s="8">
        <f t="shared" si="96"/>
        <v>4</v>
      </c>
      <c r="K217" s="8" t="str">
        <f t="shared" si="106"/>
        <v>OK</v>
      </c>
      <c r="L217" t="s">
        <v>1890</v>
      </c>
      <c r="M217" t="s">
        <v>39</v>
      </c>
      <c r="N217" t="str">
        <f t="shared" si="97"/>
        <v>Mira Das</v>
      </c>
      <c r="O217" t="s">
        <v>40</v>
      </c>
      <c r="P217" t="str">
        <f t="shared" si="121"/>
        <v>Small Business</v>
      </c>
      <c r="Q217" t="s">
        <v>61</v>
      </c>
      <c r="R217" t="str">
        <f t="shared" si="119"/>
        <v>South</v>
      </c>
      <c r="S217" t="str">
        <f t="shared" si="107"/>
        <v>OK</v>
      </c>
      <c r="T217" t="s">
        <v>241</v>
      </c>
      <c r="U217" t="str">
        <f t="shared" si="98"/>
        <v>Kerala</v>
      </c>
      <c r="V217" t="s">
        <v>242</v>
      </c>
      <c r="W217" t="str">
        <f t="shared" si="99"/>
        <v>Kochi</v>
      </c>
      <c r="X217" t="str">
        <f t="shared" si="100"/>
        <v>Office Supplies</v>
      </c>
      <c r="Y217" t="s">
        <v>29</v>
      </c>
      <c r="Z217" t="s">
        <v>30</v>
      </c>
      <c r="AA217" t="str">
        <f t="shared" si="101"/>
        <v>Paper</v>
      </c>
      <c r="AB217" t="s">
        <v>1891</v>
      </c>
      <c r="AC217" t="s">
        <v>66</v>
      </c>
      <c r="AD217" t="str">
        <f t="shared" si="120"/>
        <v>Standard Class</v>
      </c>
      <c r="AE217" t="str">
        <f t="shared" si="108"/>
        <v>OK</v>
      </c>
      <c r="AF217">
        <v>7</v>
      </c>
      <c r="AG217">
        <v>1136.68</v>
      </c>
      <c r="AI217">
        <f t="shared" si="109"/>
        <v>0</v>
      </c>
      <c r="AJ217" t="str">
        <f t="shared" si="110"/>
        <v>Missing Discount</v>
      </c>
      <c r="AK217">
        <v>7956.76</v>
      </c>
      <c r="AL217">
        <v>4799.54</v>
      </c>
      <c r="AM217">
        <v>3157.22</v>
      </c>
      <c r="AN217" t="s">
        <v>33</v>
      </c>
      <c r="AO217" t="str">
        <f t="shared" si="102"/>
        <v>PAID</v>
      </c>
      <c r="AP217" t="str">
        <f t="shared" si="111"/>
        <v>OK</v>
      </c>
      <c r="AQ217" t="s">
        <v>34</v>
      </c>
      <c r="AR217" t="str">
        <f t="shared" si="103"/>
        <v>COMPLETED</v>
      </c>
      <c r="AS217" t="str">
        <f t="shared" si="112"/>
        <v>OK</v>
      </c>
      <c r="AT217">
        <f t="shared" si="113"/>
        <v>7956.76</v>
      </c>
      <c r="AU217">
        <f t="shared" si="114"/>
        <v>3157.2200000000003</v>
      </c>
      <c r="AV217" s="6">
        <f t="shared" si="115"/>
        <v>1.1651227384010581</v>
      </c>
      <c r="AW217" t="str">
        <f t="shared" si="116"/>
        <v>INVALID</v>
      </c>
      <c r="AX217" s="10" t="str">
        <f t="shared" si="117"/>
        <v>MATCH</v>
      </c>
      <c r="AY217" t="str">
        <f t="shared" si="118"/>
        <v>MATCH</v>
      </c>
    </row>
    <row r="218" spans="1:51">
      <c r="A218" t="s">
        <v>1892</v>
      </c>
      <c r="B218">
        <f t="shared" si="94"/>
        <v>1</v>
      </c>
      <c r="C218" t="s">
        <v>1893</v>
      </c>
      <c r="D218" s="2">
        <v>45477</v>
      </c>
      <c r="E218" t="str">
        <f t="shared" si="95"/>
        <v>2024/07/04</v>
      </c>
      <c r="F218" t="str">
        <f t="shared" si="104"/>
        <v>July</v>
      </c>
      <c r="G218">
        <f t="shared" si="105"/>
        <v>2024</v>
      </c>
      <c r="H218" t="s">
        <v>1419</v>
      </c>
      <c r="I218" s="4">
        <v>45396</v>
      </c>
      <c r="J218" s="8">
        <f t="shared" si="96"/>
        <v>-81</v>
      </c>
      <c r="K218" s="8" t="str">
        <f t="shared" si="106"/>
        <v>INVAILD_SHIPPING</v>
      </c>
      <c r="L218" t="s">
        <v>1894</v>
      </c>
      <c r="M218" t="s">
        <v>82</v>
      </c>
      <c r="N218" t="str">
        <f t="shared" si="97"/>
        <v>Vikram Iyer</v>
      </c>
      <c r="O218" t="s">
        <v>25</v>
      </c>
      <c r="P218" t="str">
        <f t="shared" si="121"/>
        <v>Consumer</v>
      </c>
      <c r="Q218" t="s">
        <v>72</v>
      </c>
      <c r="R218" t="str">
        <f t="shared" si="119"/>
        <v>West</v>
      </c>
      <c r="S218" t="str">
        <f t="shared" si="107"/>
        <v>OK</v>
      </c>
      <c r="T218" t="s">
        <v>73</v>
      </c>
      <c r="U218" t="str">
        <f t="shared" si="98"/>
        <v>Maharashtra</v>
      </c>
      <c r="V218" t="s">
        <v>74</v>
      </c>
      <c r="W218" t="str">
        <f t="shared" si="99"/>
        <v>Mumbai</v>
      </c>
      <c r="X218" t="str">
        <f t="shared" si="100"/>
        <v>Furniture</v>
      </c>
      <c r="Y218" t="s">
        <v>44</v>
      </c>
      <c r="Z218" t="s">
        <v>203</v>
      </c>
      <c r="AA218" t="str">
        <f t="shared" si="101"/>
        <v>Bookcases</v>
      </c>
      <c r="AB218" t="s">
        <v>1895</v>
      </c>
      <c r="AC218" t="s">
        <v>47</v>
      </c>
      <c r="AD218" t="str">
        <f t="shared" si="120"/>
        <v>Same Day</v>
      </c>
      <c r="AE218" t="str">
        <f t="shared" si="108"/>
        <v>OK</v>
      </c>
      <c r="AF218">
        <v>5</v>
      </c>
      <c r="AG218">
        <v>2235.85</v>
      </c>
      <c r="AH218">
        <v>0.25</v>
      </c>
      <c r="AI218">
        <f t="shared" si="109"/>
        <v>0.25</v>
      </c>
      <c r="AJ218" t="str">
        <f t="shared" si="110"/>
        <v>OK</v>
      </c>
      <c r="AK218">
        <v>8384.44</v>
      </c>
      <c r="AL218">
        <v>4765.96</v>
      </c>
      <c r="AM218">
        <v>3618.48</v>
      </c>
      <c r="AN218" t="s">
        <v>33</v>
      </c>
      <c r="AO218" t="str">
        <f t="shared" si="102"/>
        <v>PAID</v>
      </c>
      <c r="AP218" t="str">
        <f t="shared" si="111"/>
        <v>OK</v>
      </c>
      <c r="AQ218" t="s">
        <v>124</v>
      </c>
      <c r="AR218" t="str">
        <f t="shared" si="103"/>
        <v>RETURNED</v>
      </c>
      <c r="AS218" t="str">
        <f t="shared" si="112"/>
        <v>RETURNED_ORDER</v>
      </c>
      <c r="AT218">
        <f t="shared" si="113"/>
        <v>8384.4375</v>
      </c>
      <c r="AU218">
        <f t="shared" si="114"/>
        <v>3618.4775</v>
      </c>
      <c r="AV218" s="6">
        <f t="shared" si="115"/>
        <v>1.1056915863467289</v>
      </c>
      <c r="AW218" t="str">
        <f t="shared" si="116"/>
        <v>CLEAN</v>
      </c>
      <c r="AX218" s="10" t="str">
        <f t="shared" si="117"/>
        <v>MATCH</v>
      </c>
      <c r="AY218" t="str">
        <f t="shared" si="118"/>
        <v>MATCH</v>
      </c>
    </row>
    <row r="219" spans="1:51">
      <c r="A219" t="s">
        <v>1909</v>
      </c>
      <c r="B219">
        <f t="shared" si="94"/>
        <v>1</v>
      </c>
      <c r="C219" t="s">
        <v>1910</v>
      </c>
      <c r="D219" s="3">
        <v>45366</v>
      </c>
      <c r="E219" t="str">
        <f t="shared" si="95"/>
        <v>2024/03/15</v>
      </c>
      <c r="F219" t="str">
        <f t="shared" si="104"/>
        <v>March</v>
      </c>
      <c r="G219">
        <f t="shared" si="105"/>
        <v>2024</v>
      </c>
      <c r="H219" t="s">
        <v>1911</v>
      </c>
      <c r="I219" s="4">
        <v>45371</v>
      </c>
      <c r="J219" s="8">
        <f t="shared" si="96"/>
        <v>5</v>
      </c>
      <c r="K219" s="8" t="str">
        <f t="shared" si="106"/>
        <v>OK</v>
      </c>
      <c r="L219" t="s">
        <v>1912</v>
      </c>
      <c r="M219" t="s">
        <v>179</v>
      </c>
      <c r="N219" t="str">
        <f t="shared" si="97"/>
        <v>Rohan Mehta</v>
      </c>
      <c r="O219" t="s">
        <v>25</v>
      </c>
      <c r="P219" t="str">
        <f t="shared" si="121"/>
        <v>Consumer</v>
      </c>
      <c r="Q219" t="s">
        <v>41</v>
      </c>
      <c r="R219" t="str">
        <f t="shared" si="119"/>
        <v>East</v>
      </c>
      <c r="S219" t="str">
        <f t="shared" si="107"/>
        <v>OK</v>
      </c>
      <c r="T219" t="s">
        <v>310</v>
      </c>
      <c r="U219" t="str">
        <f t="shared" si="98"/>
        <v>Jharkhand</v>
      </c>
      <c r="V219" t="s">
        <v>311</v>
      </c>
      <c r="W219" t="str">
        <f t="shared" si="99"/>
        <v>Ranchi</v>
      </c>
      <c r="X219" t="str">
        <f t="shared" si="100"/>
        <v>Technology</v>
      </c>
      <c r="Y219" t="s">
        <v>85</v>
      </c>
      <c r="Z219" t="s">
        <v>93</v>
      </c>
      <c r="AA219" t="str">
        <f t="shared" si="101"/>
        <v>Copiers</v>
      </c>
      <c r="AB219" t="s">
        <v>1913</v>
      </c>
      <c r="AC219" t="s">
        <v>66</v>
      </c>
      <c r="AD219" t="str">
        <f t="shared" si="120"/>
        <v>Standard Class</v>
      </c>
      <c r="AE219" t="str">
        <f t="shared" si="108"/>
        <v>OK</v>
      </c>
      <c r="AF219">
        <v>2</v>
      </c>
      <c r="AG219">
        <v>1881.4</v>
      </c>
      <c r="AH219">
        <v>0.25</v>
      </c>
      <c r="AI219">
        <f t="shared" si="109"/>
        <v>0.25</v>
      </c>
      <c r="AJ219" t="str">
        <f t="shared" si="110"/>
        <v>OK</v>
      </c>
      <c r="AK219">
        <v>2822.1</v>
      </c>
      <c r="AL219">
        <v>1624.57</v>
      </c>
      <c r="AM219">
        <v>1197.53</v>
      </c>
      <c r="AN219" t="s">
        <v>33</v>
      </c>
      <c r="AO219" t="str">
        <f t="shared" si="102"/>
        <v>PAID</v>
      </c>
      <c r="AP219" t="str">
        <f t="shared" si="111"/>
        <v>OK</v>
      </c>
      <c r="AQ219" t="s">
        <v>124</v>
      </c>
      <c r="AR219" t="str">
        <f t="shared" si="103"/>
        <v>RETURNED</v>
      </c>
      <c r="AS219" t="str">
        <f t="shared" si="112"/>
        <v>RETURNED_ORDER</v>
      </c>
      <c r="AT219">
        <f t="shared" si="113"/>
        <v>2822.1000000000004</v>
      </c>
      <c r="AU219">
        <f t="shared" si="114"/>
        <v>1197.5300000000004</v>
      </c>
      <c r="AV219" s="6">
        <f t="shared" si="115"/>
        <v>0.76975656426065686</v>
      </c>
      <c r="AW219" t="str">
        <f t="shared" si="116"/>
        <v>CLEAN</v>
      </c>
      <c r="AX219" s="10" t="str">
        <f t="shared" si="117"/>
        <v>MATCH</v>
      </c>
      <c r="AY219" t="str">
        <f t="shared" si="118"/>
        <v>MATCH</v>
      </c>
    </row>
    <row r="220" spans="1:51">
      <c r="A220" t="s">
        <v>1925</v>
      </c>
      <c r="B220">
        <f t="shared" si="94"/>
        <v>1</v>
      </c>
      <c r="C220" t="s">
        <v>1926</v>
      </c>
      <c r="D220" s="3">
        <v>45425</v>
      </c>
      <c r="E220" t="str">
        <f t="shared" si="95"/>
        <v>2024/05/13</v>
      </c>
      <c r="F220" t="str">
        <f t="shared" si="104"/>
        <v>May</v>
      </c>
      <c r="G220">
        <f t="shared" si="105"/>
        <v>2024</v>
      </c>
      <c r="H220" t="s">
        <v>1927</v>
      </c>
      <c r="I220" s="4">
        <v>45430</v>
      </c>
      <c r="J220" s="8">
        <f t="shared" si="96"/>
        <v>5</v>
      </c>
      <c r="K220" s="8" t="str">
        <f t="shared" si="106"/>
        <v>OK</v>
      </c>
      <c r="L220" t="s">
        <v>1928</v>
      </c>
      <c r="M220" t="s">
        <v>52</v>
      </c>
      <c r="N220" t="str">
        <f t="shared" si="97"/>
        <v>Isha Nair</v>
      </c>
      <c r="O220" t="s">
        <v>40</v>
      </c>
      <c r="P220" t="str">
        <f t="shared" si="121"/>
        <v>Small Business</v>
      </c>
      <c r="Q220" t="s">
        <v>72</v>
      </c>
      <c r="R220" t="str">
        <f t="shared" si="119"/>
        <v>West</v>
      </c>
      <c r="S220" t="str">
        <f t="shared" si="107"/>
        <v>OK</v>
      </c>
      <c r="T220" t="s">
        <v>234</v>
      </c>
      <c r="U220" t="str">
        <f t="shared" si="98"/>
        <v>Gujarat</v>
      </c>
      <c r="V220" t="s">
        <v>235</v>
      </c>
      <c r="W220" t="str">
        <f t="shared" si="99"/>
        <v>Ahmedabad</v>
      </c>
      <c r="X220" t="str">
        <f t="shared" si="100"/>
        <v>Furniture</v>
      </c>
      <c r="Y220" t="s">
        <v>44</v>
      </c>
      <c r="Z220" t="s">
        <v>75</v>
      </c>
      <c r="AA220" t="str">
        <f t="shared" si="101"/>
        <v>Chairs</v>
      </c>
      <c r="AB220" t="s">
        <v>1929</v>
      </c>
      <c r="AC220" t="s">
        <v>66</v>
      </c>
      <c r="AD220" t="str">
        <f t="shared" si="120"/>
        <v>Standard Class</v>
      </c>
      <c r="AE220" t="str">
        <f t="shared" si="108"/>
        <v>OK</v>
      </c>
      <c r="AF220">
        <v>3</v>
      </c>
      <c r="AG220">
        <v>3128.59</v>
      </c>
      <c r="AH220">
        <v>0</v>
      </c>
      <c r="AI220">
        <f t="shared" si="109"/>
        <v>0</v>
      </c>
      <c r="AJ220" t="str">
        <f t="shared" si="110"/>
        <v>OK</v>
      </c>
      <c r="AK220">
        <v>9385.77</v>
      </c>
      <c r="AL220">
        <v>6872.44</v>
      </c>
      <c r="AM220">
        <v>2783.66</v>
      </c>
      <c r="AN220" t="s">
        <v>33</v>
      </c>
      <c r="AO220" t="str">
        <f t="shared" si="102"/>
        <v>PAID</v>
      </c>
      <c r="AP220" t="str">
        <f t="shared" si="111"/>
        <v>OK</v>
      </c>
      <c r="AQ220" t="s">
        <v>34</v>
      </c>
      <c r="AR220" t="str">
        <f t="shared" si="103"/>
        <v>COMPLETED</v>
      </c>
      <c r="AS220" t="str">
        <f t="shared" si="112"/>
        <v>OK</v>
      </c>
      <c r="AT220">
        <f t="shared" si="113"/>
        <v>9385.77</v>
      </c>
      <c r="AU220">
        <f t="shared" si="114"/>
        <v>2513.3300000000008</v>
      </c>
      <c r="AV220" s="6">
        <f t="shared" si="115"/>
        <v>5.8037007086259328E-2</v>
      </c>
      <c r="AW220" t="str">
        <f t="shared" si="116"/>
        <v>CLEAN</v>
      </c>
      <c r="AX220" s="10" t="str">
        <f t="shared" si="117"/>
        <v>MATCH</v>
      </c>
      <c r="AY220" t="str">
        <f t="shared" si="118"/>
        <v>MISMATCH</v>
      </c>
    </row>
    <row r="221" spans="1:51">
      <c r="A221" t="s">
        <v>1930</v>
      </c>
      <c r="B221">
        <f t="shared" si="94"/>
        <v>1</v>
      </c>
      <c r="C221" t="s">
        <v>1931</v>
      </c>
      <c r="D221" s="2">
        <v>45416</v>
      </c>
      <c r="E221" t="str">
        <f t="shared" si="95"/>
        <v>2024/05/04</v>
      </c>
      <c r="F221" t="str">
        <f t="shared" si="104"/>
        <v>May</v>
      </c>
      <c r="G221">
        <f t="shared" si="105"/>
        <v>2024</v>
      </c>
      <c r="H221" t="s">
        <v>348</v>
      </c>
      <c r="I221" s="4">
        <v>45395</v>
      </c>
      <c r="J221" s="8">
        <f t="shared" si="96"/>
        <v>-21</v>
      </c>
      <c r="K221" s="8" t="str">
        <f t="shared" si="106"/>
        <v>INVAILD_SHIPPING</v>
      </c>
      <c r="L221" t="s">
        <v>1932</v>
      </c>
      <c r="M221" t="s">
        <v>209</v>
      </c>
      <c r="N221" t="str">
        <f t="shared" si="97"/>
        <v>Diya Patel</v>
      </c>
      <c r="O221" t="s">
        <v>107</v>
      </c>
      <c r="P221" t="str">
        <f t="shared" si="121"/>
        <v>Corporate</v>
      </c>
      <c r="Q221" t="s">
        <v>72</v>
      </c>
      <c r="R221" t="str">
        <f t="shared" si="119"/>
        <v>West</v>
      </c>
      <c r="S221" t="str">
        <f t="shared" si="107"/>
        <v>OK</v>
      </c>
      <c r="T221" t="s">
        <v>234</v>
      </c>
      <c r="U221" t="str">
        <f t="shared" si="98"/>
        <v>Gujarat</v>
      </c>
      <c r="V221" t="s">
        <v>235</v>
      </c>
      <c r="W221" t="str">
        <f t="shared" si="99"/>
        <v>Ahmedabad</v>
      </c>
      <c r="X221" t="str">
        <f t="shared" si="100"/>
        <v>Technology</v>
      </c>
      <c r="Y221" t="s">
        <v>85</v>
      </c>
      <c r="Z221" t="s">
        <v>381</v>
      </c>
      <c r="AA221" t="str">
        <f t="shared" si="101"/>
        <v>Machines</v>
      </c>
      <c r="AB221" t="s">
        <v>1933</v>
      </c>
      <c r="AC221" t="s">
        <v>32</v>
      </c>
      <c r="AD221" t="str">
        <f t="shared" si="120"/>
        <v>Second Class</v>
      </c>
      <c r="AE221" t="str">
        <f t="shared" si="108"/>
        <v>OK</v>
      </c>
      <c r="AF221">
        <v>5</v>
      </c>
      <c r="AG221">
        <v>1937.54</v>
      </c>
      <c r="AH221">
        <v>0.2</v>
      </c>
      <c r="AI221">
        <f t="shared" si="109"/>
        <v>0.2</v>
      </c>
      <c r="AJ221" t="str">
        <f t="shared" si="110"/>
        <v>OK</v>
      </c>
      <c r="AK221">
        <v>7750.16</v>
      </c>
      <c r="AL221">
        <v>5434.3</v>
      </c>
      <c r="AM221">
        <v>2315.86</v>
      </c>
      <c r="AN221" t="s">
        <v>136</v>
      </c>
      <c r="AO221" t="str">
        <f t="shared" si="102"/>
        <v>PENDING</v>
      </c>
      <c r="AP221" t="str">
        <f t="shared" si="111"/>
        <v>OK</v>
      </c>
      <c r="AQ221" t="s">
        <v>77</v>
      </c>
      <c r="AR221" t="str">
        <f t="shared" si="103"/>
        <v>CANCELLED</v>
      </c>
      <c r="AS221" t="str">
        <f t="shared" si="112"/>
        <v>EXCLUDE_FROM_SALES</v>
      </c>
      <c r="AT221">
        <f t="shared" si="113"/>
        <v>7750.1600000000008</v>
      </c>
      <c r="AU221">
        <f t="shared" si="114"/>
        <v>2315.8600000000006</v>
      </c>
      <c r="AV221" s="6">
        <f t="shared" si="115"/>
        <v>1.1117992402737491</v>
      </c>
      <c r="AW221" t="str">
        <f t="shared" si="116"/>
        <v>CLEAN</v>
      </c>
      <c r="AX221" s="10" t="str">
        <f t="shared" si="117"/>
        <v>MATCH</v>
      </c>
      <c r="AY221" t="str">
        <f t="shared" si="118"/>
        <v>MATCH</v>
      </c>
    </row>
    <row r="222" spans="1:51">
      <c r="A222" t="s">
        <v>1934</v>
      </c>
      <c r="B222">
        <f t="shared" si="94"/>
        <v>1</v>
      </c>
      <c r="C222" t="s">
        <v>1935</v>
      </c>
      <c r="D222" s="2">
        <v>45454</v>
      </c>
      <c r="E222" t="str">
        <f t="shared" si="95"/>
        <v>2024/06/11</v>
      </c>
      <c r="F222" t="str">
        <f t="shared" si="104"/>
        <v>June</v>
      </c>
      <c r="G222">
        <f t="shared" si="105"/>
        <v>2024</v>
      </c>
      <c r="H222" t="s">
        <v>483</v>
      </c>
      <c r="I222" s="4">
        <v>45607</v>
      </c>
      <c r="J222" s="8">
        <f t="shared" si="96"/>
        <v>153</v>
      </c>
      <c r="K222" s="8" t="str">
        <f t="shared" si="106"/>
        <v>OK</v>
      </c>
      <c r="L222" t="s">
        <v>1936</v>
      </c>
      <c r="M222" t="s">
        <v>52</v>
      </c>
      <c r="N222" t="str">
        <f t="shared" si="97"/>
        <v>Isha Nair</v>
      </c>
      <c r="O222" t="s">
        <v>25</v>
      </c>
      <c r="P222" t="str">
        <f t="shared" si="121"/>
        <v>Consumer</v>
      </c>
      <c r="Q222" t="s">
        <v>72</v>
      </c>
      <c r="R222" t="str">
        <f t="shared" si="119"/>
        <v>West</v>
      </c>
      <c r="S222" t="str">
        <f t="shared" si="107"/>
        <v>OK</v>
      </c>
      <c r="T222" t="s">
        <v>234</v>
      </c>
      <c r="U222" t="str">
        <f t="shared" si="98"/>
        <v>Gujarat</v>
      </c>
      <c r="V222" t="s">
        <v>235</v>
      </c>
      <c r="W222" t="str">
        <f t="shared" si="99"/>
        <v>Ahmedabad</v>
      </c>
      <c r="X222" t="str">
        <f t="shared" si="100"/>
        <v>Furniture</v>
      </c>
      <c r="Y222" t="s">
        <v>44</v>
      </c>
      <c r="Z222" t="s">
        <v>64</v>
      </c>
      <c r="AA222" t="str">
        <f t="shared" si="101"/>
        <v>Furnishings</v>
      </c>
      <c r="AB222" t="s">
        <v>1937</v>
      </c>
      <c r="AC222" t="s">
        <v>66</v>
      </c>
      <c r="AD222" t="str">
        <f t="shared" si="120"/>
        <v>Standard Class</v>
      </c>
      <c r="AE222" t="str">
        <f t="shared" si="108"/>
        <v>OK</v>
      </c>
      <c r="AF222">
        <v>4</v>
      </c>
      <c r="AG222">
        <v>1917.26</v>
      </c>
      <c r="AH222">
        <v>0.2</v>
      </c>
      <c r="AI222">
        <f t="shared" si="109"/>
        <v>0.2</v>
      </c>
      <c r="AJ222" t="str">
        <f t="shared" si="110"/>
        <v>OK</v>
      </c>
      <c r="AK222">
        <v>6135.23</v>
      </c>
      <c r="AL222">
        <v>3439.79</v>
      </c>
      <c r="AM222">
        <v>2695.44</v>
      </c>
      <c r="AN222" t="s">
        <v>33</v>
      </c>
      <c r="AO222" t="str">
        <f t="shared" si="102"/>
        <v>PAID</v>
      </c>
      <c r="AP222" t="str">
        <f t="shared" si="111"/>
        <v>OK</v>
      </c>
      <c r="AQ222" t="s">
        <v>34</v>
      </c>
      <c r="AR222" t="str">
        <f t="shared" si="103"/>
        <v>COMPLETED</v>
      </c>
      <c r="AS222" t="str">
        <f t="shared" si="112"/>
        <v>OK</v>
      </c>
      <c r="AT222">
        <f t="shared" si="113"/>
        <v>6135.232</v>
      </c>
      <c r="AU222">
        <f t="shared" si="114"/>
        <v>2695.442</v>
      </c>
      <c r="AV222" s="6">
        <f t="shared" si="115"/>
        <v>0.15622620301889154</v>
      </c>
      <c r="AW222" t="str">
        <f t="shared" si="116"/>
        <v>CLEAN</v>
      </c>
      <c r="AX222" s="10" t="str">
        <f t="shared" si="117"/>
        <v>MATCH</v>
      </c>
      <c r="AY222" t="str">
        <f t="shared" si="118"/>
        <v>MATCH</v>
      </c>
    </row>
    <row r="223" spans="1:51">
      <c r="A223" t="s">
        <v>1942</v>
      </c>
      <c r="B223">
        <f t="shared" si="94"/>
        <v>1</v>
      </c>
      <c r="C223" t="s">
        <v>1943</v>
      </c>
      <c r="D223" s="3">
        <v>45341</v>
      </c>
      <c r="E223" t="str">
        <f t="shared" si="95"/>
        <v>2024/02/19</v>
      </c>
      <c r="F223" t="str">
        <f t="shared" si="104"/>
        <v>February</v>
      </c>
      <c r="G223">
        <f t="shared" si="105"/>
        <v>2024</v>
      </c>
      <c r="H223" t="s">
        <v>1944</v>
      </c>
      <c r="I223" s="4">
        <v>45344</v>
      </c>
      <c r="J223" s="8">
        <f t="shared" si="96"/>
        <v>3</v>
      </c>
      <c r="K223" s="8" t="str">
        <f t="shared" si="106"/>
        <v>OK</v>
      </c>
      <c r="L223" t="s">
        <v>1945</v>
      </c>
      <c r="M223" t="s">
        <v>106</v>
      </c>
      <c r="N223" t="str">
        <f t="shared" si="97"/>
        <v>Aditi Sen</v>
      </c>
      <c r="O223" t="s">
        <v>40</v>
      </c>
      <c r="P223" t="str">
        <f t="shared" si="121"/>
        <v>Small Business</v>
      </c>
      <c r="Q223" t="s">
        <v>61</v>
      </c>
      <c r="R223" t="str">
        <f t="shared" si="119"/>
        <v>South</v>
      </c>
      <c r="S223" t="str">
        <f t="shared" si="107"/>
        <v>OK</v>
      </c>
      <c r="T223" t="s">
        <v>241</v>
      </c>
      <c r="U223" t="str">
        <f t="shared" si="98"/>
        <v>Kerala</v>
      </c>
      <c r="V223" t="s">
        <v>242</v>
      </c>
      <c r="W223" t="str">
        <f t="shared" si="99"/>
        <v>Kochi</v>
      </c>
      <c r="X223" t="str">
        <f t="shared" si="100"/>
        <v>Furniture</v>
      </c>
      <c r="Y223" t="s">
        <v>44</v>
      </c>
      <c r="Z223" t="s">
        <v>64</v>
      </c>
      <c r="AA223" t="str">
        <f t="shared" si="101"/>
        <v>Furnishings</v>
      </c>
      <c r="AB223" t="s">
        <v>1946</v>
      </c>
      <c r="AC223" t="s">
        <v>47</v>
      </c>
      <c r="AD223" t="str">
        <f t="shared" si="120"/>
        <v>Same Day</v>
      </c>
      <c r="AE223" t="str">
        <f t="shared" si="108"/>
        <v>OK</v>
      </c>
      <c r="AF223">
        <v>9</v>
      </c>
      <c r="AG223">
        <v>4053.01</v>
      </c>
      <c r="AH223">
        <v>0</v>
      </c>
      <c r="AI223">
        <f t="shared" si="109"/>
        <v>0</v>
      </c>
      <c r="AJ223" t="str">
        <f t="shared" si="110"/>
        <v>OK</v>
      </c>
      <c r="AK223">
        <v>36477.089999999997</v>
      </c>
      <c r="AL223">
        <v>24525.48</v>
      </c>
      <c r="AM223">
        <v>11951.61</v>
      </c>
      <c r="AN223" t="s">
        <v>33</v>
      </c>
      <c r="AO223" t="str">
        <f t="shared" si="102"/>
        <v>PAID</v>
      </c>
      <c r="AP223" t="str">
        <f t="shared" si="111"/>
        <v>OK</v>
      </c>
      <c r="AQ223" t="s">
        <v>34</v>
      </c>
      <c r="AR223" t="str">
        <f t="shared" si="103"/>
        <v>COMPLETED</v>
      </c>
      <c r="AS223" t="str">
        <f t="shared" si="112"/>
        <v>OK</v>
      </c>
      <c r="AT223">
        <f t="shared" si="113"/>
        <v>36477.090000000004</v>
      </c>
      <c r="AU223">
        <f t="shared" si="114"/>
        <v>11951.610000000004</v>
      </c>
      <c r="AV223" s="6">
        <f t="shared" si="115"/>
        <v>4.5423716639677099E-2</v>
      </c>
      <c r="AW223" t="str">
        <f t="shared" si="116"/>
        <v>CLEAN</v>
      </c>
      <c r="AX223" s="10" t="str">
        <f t="shared" si="117"/>
        <v>MATCH</v>
      </c>
      <c r="AY223" t="str">
        <f t="shared" si="118"/>
        <v>MATCH</v>
      </c>
    </row>
    <row r="224" spans="1:51">
      <c r="A224" t="s">
        <v>1947</v>
      </c>
      <c r="B224">
        <f t="shared" si="94"/>
        <v>1</v>
      </c>
      <c r="C224" t="s">
        <v>1948</v>
      </c>
      <c r="D224" s="3">
        <v>45527</v>
      </c>
      <c r="E224" t="str">
        <f t="shared" si="95"/>
        <v>2024/08/23</v>
      </c>
      <c r="F224" t="str">
        <f t="shared" si="104"/>
        <v>August</v>
      </c>
      <c r="G224">
        <f t="shared" si="105"/>
        <v>2024</v>
      </c>
      <c r="H224" t="s">
        <v>1949</v>
      </c>
      <c r="I224" s="4">
        <v>45533</v>
      </c>
      <c r="J224" s="8">
        <f t="shared" si="96"/>
        <v>6</v>
      </c>
      <c r="K224" s="8" t="str">
        <f t="shared" si="106"/>
        <v>OK</v>
      </c>
      <c r="L224" t="s">
        <v>1950</v>
      </c>
      <c r="M224" t="s">
        <v>39</v>
      </c>
      <c r="N224" t="str">
        <f t="shared" si="97"/>
        <v>Mira Das</v>
      </c>
      <c r="O224" t="s">
        <v>107</v>
      </c>
      <c r="P224" t="str">
        <f t="shared" si="121"/>
        <v>Corporate</v>
      </c>
      <c r="Q224" t="s">
        <v>26</v>
      </c>
      <c r="R224" t="str">
        <f t="shared" si="119"/>
        <v>North</v>
      </c>
      <c r="S224" t="str">
        <f t="shared" si="107"/>
        <v>OK</v>
      </c>
      <c r="T224" t="s">
        <v>173</v>
      </c>
      <c r="U224" t="str">
        <f t="shared" si="98"/>
        <v>Uttar Pradesh</v>
      </c>
      <c r="V224" t="s">
        <v>174</v>
      </c>
      <c r="W224" t="str">
        <f t="shared" si="99"/>
        <v>Noida</v>
      </c>
      <c r="X224" t="str">
        <f t="shared" si="100"/>
        <v>Office Supplies</v>
      </c>
      <c r="Y224" t="s">
        <v>29</v>
      </c>
      <c r="Z224" t="s">
        <v>108</v>
      </c>
      <c r="AA224" t="str">
        <f t="shared" si="101"/>
        <v>Labels</v>
      </c>
      <c r="AB224" t="s">
        <v>1951</v>
      </c>
      <c r="AC224" t="s">
        <v>47</v>
      </c>
      <c r="AD224" t="str">
        <f t="shared" si="120"/>
        <v>Same Day</v>
      </c>
      <c r="AE224" t="str">
        <f t="shared" si="108"/>
        <v>OK</v>
      </c>
      <c r="AF224">
        <v>2</v>
      </c>
      <c r="AG224">
        <v>1936.91</v>
      </c>
      <c r="AH224">
        <v>0.05</v>
      </c>
      <c r="AI224">
        <f t="shared" si="109"/>
        <v>0.05</v>
      </c>
      <c r="AJ224" t="str">
        <f t="shared" si="110"/>
        <v>OK</v>
      </c>
      <c r="AK224">
        <v>3680.13</v>
      </c>
      <c r="AL224">
        <v>2967.46</v>
      </c>
      <c r="AM224">
        <v>712.67</v>
      </c>
      <c r="AN224" t="s">
        <v>33</v>
      </c>
      <c r="AO224" t="str">
        <f t="shared" si="102"/>
        <v>PAID</v>
      </c>
      <c r="AP224" t="str">
        <f t="shared" si="111"/>
        <v>OK</v>
      </c>
      <c r="AQ224" t="s">
        <v>34</v>
      </c>
      <c r="AR224" t="str">
        <f t="shared" si="103"/>
        <v>COMPLETED</v>
      </c>
      <c r="AS224" t="str">
        <f t="shared" si="112"/>
        <v>OK</v>
      </c>
      <c r="AT224">
        <f t="shared" si="113"/>
        <v>3680.1289999999999</v>
      </c>
      <c r="AU224">
        <f t="shared" si="114"/>
        <v>712.66899999999987</v>
      </c>
      <c r="AV224" s="6">
        <f t="shared" si="115"/>
        <v>3.8203552103744202E-2</v>
      </c>
      <c r="AW224" t="str">
        <f t="shared" si="116"/>
        <v>CLEAN</v>
      </c>
      <c r="AX224" s="10" t="str">
        <f t="shared" si="117"/>
        <v>MATCH</v>
      </c>
      <c r="AY224" t="str">
        <f t="shared" si="118"/>
        <v>MATCH</v>
      </c>
    </row>
    <row r="225" spans="1:51">
      <c r="A225" t="s">
        <v>1952</v>
      </c>
      <c r="B225">
        <f t="shared" si="94"/>
        <v>1</v>
      </c>
      <c r="C225" t="s">
        <v>1953</v>
      </c>
      <c r="D225" s="3">
        <v>45385</v>
      </c>
      <c r="E225" t="str">
        <f t="shared" si="95"/>
        <v>2024/04/03</v>
      </c>
      <c r="F225" t="str">
        <f t="shared" si="104"/>
        <v>April</v>
      </c>
      <c r="G225">
        <f t="shared" si="105"/>
        <v>2024</v>
      </c>
      <c r="H225" t="s">
        <v>1954</v>
      </c>
      <c r="I225" s="4">
        <v>45386</v>
      </c>
      <c r="J225" s="8">
        <f t="shared" si="96"/>
        <v>1</v>
      </c>
      <c r="K225" s="8" t="str">
        <f t="shared" si="106"/>
        <v>OK</v>
      </c>
      <c r="L225" t="s">
        <v>1955</v>
      </c>
      <c r="M225" t="s">
        <v>365</v>
      </c>
      <c r="N225" t="str">
        <f t="shared" si="97"/>
        <v>Kabir Singh</v>
      </c>
      <c r="O225" t="s">
        <v>25</v>
      </c>
      <c r="P225" t="str">
        <f t="shared" si="121"/>
        <v>Consumer</v>
      </c>
      <c r="Q225" t="s">
        <v>72</v>
      </c>
      <c r="R225" t="str">
        <f t="shared" si="119"/>
        <v>West</v>
      </c>
      <c r="S225" t="str">
        <f t="shared" si="107"/>
        <v>OK</v>
      </c>
      <c r="T225" t="s">
        <v>73</v>
      </c>
      <c r="U225" t="str">
        <f t="shared" si="98"/>
        <v>Maharashtra</v>
      </c>
      <c r="V225" t="s">
        <v>74</v>
      </c>
      <c r="W225" t="str">
        <f t="shared" si="99"/>
        <v>Mumbai</v>
      </c>
      <c r="X225" t="str">
        <f t="shared" si="100"/>
        <v>Furniture</v>
      </c>
      <c r="Y225" t="s">
        <v>44</v>
      </c>
      <c r="Z225" t="s">
        <v>64</v>
      </c>
      <c r="AA225" t="str">
        <f t="shared" si="101"/>
        <v>Furnishings</v>
      </c>
      <c r="AB225" t="s">
        <v>1956</v>
      </c>
      <c r="AC225" t="s">
        <v>55</v>
      </c>
      <c r="AD225" t="str">
        <f t="shared" si="120"/>
        <v>First Class</v>
      </c>
      <c r="AE225" t="str">
        <f t="shared" si="108"/>
        <v>OK</v>
      </c>
      <c r="AF225">
        <v>7</v>
      </c>
      <c r="AG225">
        <v>3945.21</v>
      </c>
      <c r="AH225">
        <v>0</v>
      </c>
      <c r="AI225">
        <f t="shared" si="109"/>
        <v>0</v>
      </c>
      <c r="AJ225" t="str">
        <f t="shared" si="110"/>
        <v>OK</v>
      </c>
      <c r="AK225">
        <v>27616.47</v>
      </c>
      <c r="AL225">
        <v>21225.26</v>
      </c>
      <c r="AM225">
        <v>6391.21</v>
      </c>
      <c r="AN225" t="s">
        <v>33</v>
      </c>
      <c r="AO225" t="str">
        <f t="shared" si="102"/>
        <v>PAID</v>
      </c>
      <c r="AP225" t="str">
        <f t="shared" si="111"/>
        <v>OK</v>
      </c>
      <c r="AQ225" t="s">
        <v>34</v>
      </c>
      <c r="AR225" t="str">
        <f t="shared" si="103"/>
        <v>COMPLETED</v>
      </c>
      <c r="AS225" t="str">
        <f t="shared" si="112"/>
        <v>OK</v>
      </c>
      <c r="AT225">
        <f t="shared" si="113"/>
        <v>27616.47</v>
      </c>
      <c r="AU225">
        <f t="shared" si="114"/>
        <v>6391.2100000000028</v>
      </c>
      <c r="AV225" s="6">
        <f t="shared" si="115"/>
        <v>4.4255475084252267E-2</v>
      </c>
      <c r="AW225" t="str">
        <f t="shared" si="116"/>
        <v>CLEAN</v>
      </c>
      <c r="AX225" s="10" t="str">
        <f t="shared" si="117"/>
        <v>MATCH</v>
      </c>
      <c r="AY225" t="str">
        <f t="shared" si="118"/>
        <v>MATCH</v>
      </c>
    </row>
    <row r="226" spans="1:51">
      <c r="A226" t="s">
        <v>1957</v>
      </c>
      <c r="B226">
        <f t="shared" si="94"/>
        <v>1</v>
      </c>
      <c r="C226" t="s">
        <v>1066</v>
      </c>
      <c r="D226" s="3">
        <v>45449</v>
      </c>
      <c r="E226" t="str">
        <f t="shared" si="95"/>
        <v>2024/06/06</v>
      </c>
      <c r="F226" t="str">
        <f t="shared" si="104"/>
        <v>June</v>
      </c>
      <c r="G226">
        <f t="shared" si="105"/>
        <v>2024</v>
      </c>
      <c r="H226" t="s">
        <v>1753</v>
      </c>
      <c r="I226" s="4">
        <v>45450</v>
      </c>
      <c r="J226" s="8">
        <f t="shared" si="96"/>
        <v>1</v>
      </c>
      <c r="K226" s="8" t="str">
        <f t="shared" si="106"/>
        <v>OK</v>
      </c>
      <c r="L226" t="s">
        <v>1958</v>
      </c>
      <c r="M226" t="s">
        <v>147</v>
      </c>
      <c r="N226" t="str">
        <f t="shared" si="97"/>
        <v>Rahul Verma</v>
      </c>
      <c r="O226" t="s">
        <v>114</v>
      </c>
      <c r="P226" t="str">
        <f t="shared" si="121"/>
        <v>Home Office</v>
      </c>
      <c r="Q226" t="s">
        <v>61</v>
      </c>
      <c r="R226" t="str">
        <f t="shared" si="119"/>
        <v>South</v>
      </c>
      <c r="S226" t="str">
        <f t="shared" si="107"/>
        <v>OK</v>
      </c>
      <c r="T226" t="s">
        <v>338</v>
      </c>
      <c r="U226" t="str">
        <f t="shared" si="98"/>
        <v>Tamil Nadu</v>
      </c>
      <c r="V226" t="s">
        <v>339</v>
      </c>
      <c r="W226" t="str">
        <f t="shared" si="99"/>
        <v>Chennai</v>
      </c>
      <c r="X226" t="str">
        <f t="shared" si="100"/>
        <v>Furniture</v>
      </c>
      <c r="Y226" t="s">
        <v>44</v>
      </c>
      <c r="Z226" t="s">
        <v>45</v>
      </c>
      <c r="AA226" t="str">
        <f t="shared" si="101"/>
        <v>Tables</v>
      </c>
      <c r="AB226" t="s">
        <v>1959</v>
      </c>
      <c r="AC226" t="s">
        <v>47</v>
      </c>
      <c r="AD226" t="str">
        <f t="shared" si="120"/>
        <v>Same Day</v>
      </c>
      <c r="AE226" t="str">
        <f t="shared" si="108"/>
        <v>OK</v>
      </c>
      <c r="AF226">
        <v>7</v>
      </c>
      <c r="AG226">
        <v>861.91</v>
      </c>
      <c r="AH226">
        <v>0.05</v>
      </c>
      <c r="AI226">
        <f t="shared" si="109"/>
        <v>0.05</v>
      </c>
      <c r="AJ226" t="str">
        <f t="shared" si="110"/>
        <v>OK</v>
      </c>
      <c r="AK226">
        <v>5731.7</v>
      </c>
      <c r="AL226">
        <v>4115.5600000000004</v>
      </c>
      <c r="AM226">
        <v>1616.14</v>
      </c>
      <c r="AN226" t="s">
        <v>33</v>
      </c>
      <c r="AO226" t="str">
        <f t="shared" si="102"/>
        <v>PAID</v>
      </c>
      <c r="AP226" t="str">
        <f t="shared" si="111"/>
        <v>OK</v>
      </c>
      <c r="AQ226" t="s">
        <v>34</v>
      </c>
      <c r="AR226" t="str">
        <f t="shared" si="103"/>
        <v>COMPLETED</v>
      </c>
      <c r="AS226" t="str">
        <f t="shared" si="112"/>
        <v>OK</v>
      </c>
      <c r="AT226">
        <f t="shared" si="113"/>
        <v>5731.7014999999992</v>
      </c>
      <c r="AU226">
        <f t="shared" si="114"/>
        <v>1616.1414999999988</v>
      </c>
      <c r="AV226" s="6">
        <f t="shared" si="115"/>
        <v>0.38980676156984095</v>
      </c>
      <c r="AW226" t="str">
        <f t="shared" si="116"/>
        <v>CLEAN</v>
      </c>
      <c r="AX226" s="10" t="str">
        <f t="shared" si="117"/>
        <v>MATCH</v>
      </c>
      <c r="AY226" t="str">
        <f t="shared" si="118"/>
        <v>MATCH</v>
      </c>
    </row>
    <row r="227" spans="1:51">
      <c r="A227" t="s">
        <v>1970</v>
      </c>
      <c r="B227">
        <f t="shared" si="94"/>
        <v>1</v>
      </c>
      <c r="C227" t="s">
        <v>1971</v>
      </c>
      <c r="D227" s="2">
        <v>45492</v>
      </c>
      <c r="E227" t="str">
        <f t="shared" si="95"/>
        <v>2024/07/19</v>
      </c>
      <c r="F227" t="str">
        <f t="shared" si="104"/>
        <v>July</v>
      </c>
      <c r="G227">
        <f t="shared" si="105"/>
        <v>2024</v>
      </c>
      <c r="H227" t="s">
        <v>1972</v>
      </c>
      <c r="I227" s="4">
        <v>45499</v>
      </c>
      <c r="J227" s="8">
        <f t="shared" si="96"/>
        <v>7</v>
      </c>
      <c r="K227" s="8" t="str">
        <f t="shared" si="106"/>
        <v>OK</v>
      </c>
      <c r="L227" t="s">
        <v>1973</v>
      </c>
      <c r="M227" t="s">
        <v>82</v>
      </c>
      <c r="N227" t="str">
        <f t="shared" si="97"/>
        <v>Vikram Iyer</v>
      </c>
      <c r="O227" t="s">
        <v>107</v>
      </c>
      <c r="P227" t="str">
        <f t="shared" si="121"/>
        <v>Corporate</v>
      </c>
      <c r="Q227" t="s">
        <v>26</v>
      </c>
      <c r="R227" t="str">
        <f t="shared" si="119"/>
        <v>North</v>
      </c>
      <c r="S227" t="str">
        <f t="shared" si="107"/>
        <v>OK</v>
      </c>
      <c r="T227" t="s">
        <v>153</v>
      </c>
      <c r="U227" t="str">
        <f t="shared" si="98"/>
        <v>Punjab</v>
      </c>
      <c r="V227" t="s">
        <v>154</v>
      </c>
      <c r="W227" t="str">
        <f t="shared" si="99"/>
        <v>Ludhiana</v>
      </c>
      <c r="X227" t="str">
        <f t="shared" si="100"/>
        <v>Technology</v>
      </c>
      <c r="Y227" t="s">
        <v>85</v>
      </c>
      <c r="Z227" t="s">
        <v>381</v>
      </c>
      <c r="AA227" t="str">
        <f t="shared" si="101"/>
        <v>Machines</v>
      </c>
      <c r="AB227" t="s">
        <v>1974</v>
      </c>
      <c r="AC227" t="s">
        <v>47</v>
      </c>
      <c r="AD227" t="str">
        <f t="shared" si="120"/>
        <v>Same Day</v>
      </c>
      <c r="AE227" t="str">
        <f t="shared" si="108"/>
        <v>OK</v>
      </c>
      <c r="AF227">
        <v>2</v>
      </c>
      <c r="AG227">
        <v>1263.6500000000001</v>
      </c>
      <c r="AH227">
        <v>0.2</v>
      </c>
      <c r="AI227">
        <f t="shared" si="109"/>
        <v>0.2</v>
      </c>
      <c r="AJ227" t="str">
        <f t="shared" si="110"/>
        <v>OK</v>
      </c>
      <c r="AK227">
        <v>2021.84</v>
      </c>
      <c r="AL227">
        <v>1355.22</v>
      </c>
      <c r="AM227">
        <v>666.62</v>
      </c>
      <c r="AN227" t="s">
        <v>33</v>
      </c>
      <c r="AO227" t="str">
        <f t="shared" si="102"/>
        <v>PAID</v>
      </c>
      <c r="AP227" t="str">
        <f t="shared" si="111"/>
        <v>OK</v>
      </c>
      <c r="AQ227" t="s">
        <v>34</v>
      </c>
      <c r="AR227" t="str">
        <f t="shared" si="103"/>
        <v>COMPLETED</v>
      </c>
      <c r="AS227" t="str">
        <f t="shared" si="112"/>
        <v>OK</v>
      </c>
      <c r="AT227">
        <f t="shared" si="113"/>
        <v>2021.8400000000001</v>
      </c>
      <c r="AU227">
        <f t="shared" si="114"/>
        <v>666.62000000000012</v>
      </c>
      <c r="AV227" s="6">
        <f t="shared" si="115"/>
        <v>0.6421883037233409</v>
      </c>
      <c r="AW227" t="str">
        <f t="shared" si="116"/>
        <v>CLEAN</v>
      </c>
      <c r="AX227" s="10" t="str">
        <f t="shared" si="117"/>
        <v>MATCH</v>
      </c>
      <c r="AY227" t="str">
        <f t="shared" si="118"/>
        <v>MATCH</v>
      </c>
    </row>
    <row r="228" spans="1:51">
      <c r="A228" t="s">
        <v>1990</v>
      </c>
      <c r="B228">
        <f t="shared" si="94"/>
        <v>1</v>
      </c>
      <c r="C228" t="s">
        <v>1991</v>
      </c>
      <c r="D228" s="2">
        <v>45373</v>
      </c>
      <c r="E228" t="str">
        <f t="shared" si="95"/>
        <v>2024/03/22</v>
      </c>
      <c r="F228" t="str">
        <f t="shared" si="104"/>
        <v>March</v>
      </c>
      <c r="G228">
        <f t="shared" si="105"/>
        <v>2024</v>
      </c>
      <c r="H228" t="s">
        <v>1992</v>
      </c>
      <c r="I228" s="4">
        <v>45373</v>
      </c>
      <c r="J228" s="8">
        <f t="shared" si="96"/>
        <v>0</v>
      </c>
      <c r="K228" s="8" t="str">
        <f t="shared" si="106"/>
        <v>OK</v>
      </c>
      <c r="L228" t="s">
        <v>1993</v>
      </c>
      <c r="M228" t="s">
        <v>141</v>
      </c>
      <c r="N228" t="str">
        <f t="shared" si="97"/>
        <v>Priya Menon</v>
      </c>
      <c r="O228" t="s">
        <v>40</v>
      </c>
      <c r="P228" t="str">
        <f t="shared" si="121"/>
        <v>Small Business</v>
      </c>
      <c r="Q228" t="s">
        <v>61</v>
      </c>
      <c r="R228" t="str">
        <f t="shared" ref="R228:R259" si="122">PROPER(TRIM(SUBSTITUTE(Q228,CHAR(160)," ")))</f>
        <v>South</v>
      </c>
      <c r="S228" t="str">
        <f t="shared" si="107"/>
        <v>OK</v>
      </c>
      <c r="T228" t="s">
        <v>228</v>
      </c>
      <c r="U228" t="str">
        <f t="shared" si="98"/>
        <v>Karnataka</v>
      </c>
      <c r="V228" t="s">
        <v>229</v>
      </c>
      <c r="W228" t="str">
        <f t="shared" si="99"/>
        <v>Bengaluru</v>
      </c>
      <c r="X228" t="str">
        <f t="shared" si="100"/>
        <v>Furniture</v>
      </c>
      <c r="Y228" t="s">
        <v>44</v>
      </c>
      <c r="Z228" t="s">
        <v>45</v>
      </c>
      <c r="AA228" t="str">
        <f t="shared" si="101"/>
        <v>Tables</v>
      </c>
      <c r="AB228" t="s">
        <v>1994</v>
      </c>
      <c r="AD228" t="s">
        <v>4109</v>
      </c>
      <c r="AE228" t="str">
        <f t="shared" si="108"/>
        <v>MISSING_SHIP_MODE</v>
      </c>
      <c r="AF228">
        <v>3</v>
      </c>
      <c r="AG228">
        <v>1365.26</v>
      </c>
      <c r="AH228">
        <v>0</v>
      </c>
      <c r="AI228">
        <f t="shared" si="109"/>
        <v>0</v>
      </c>
      <c r="AJ228" t="str">
        <f t="shared" si="110"/>
        <v>OK</v>
      </c>
      <c r="AK228">
        <v>4095.78</v>
      </c>
      <c r="AL228">
        <v>2807.77</v>
      </c>
      <c r="AM228">
        <v>1288.01</v>
      </c>
      <c r="AN228" t="s">
        <v>33</v>
      </c>
      <c r="AO228" t="str">
        <f t="shared" si="102"/>
        <v>PAID</v>
      </c>
      <c r="AP228" t="str">
        <f t="shared" si="111"/>
        <v>OK</v>
      </c>
      <c r="AQ228" t="s">
        <v>34</v>
      </c>
      <c r="AR228" t="str">
        <f t="shared" si="103"/>
        <v>COMPLETED</v>
      </c>
      <c r="AS228" t="str">
        <f t="shared" si="112"/>
        <v>OK</v>
      </c>
      <c r="AT228">
        <f t="shared" si="113"/>
        <v>4095.7799999999997</v>
      </c>
      <c r="AU228">
        <f t="shared" si="114"/>
        <v>1288.0099999999998</v>
      </c>
      <c r="AV228" s="6">
        <f t="shared" si="115"/>
        <v>1.3931002153435981</v>
      </c>
      <c r="AW228" t="str">
        <f t="shared" si="116"/>
        <v>WARNING</v>
      </c>
      <c r="AX228" s="10" t="str">
        <f t="shared" si="117"/>
        <v>MATCH</v>
      </c>
      <c r="AY228" t="str">
        <f t="shared" si="118"/>
        <v>MATCH</v>
      </c>
    </row>
    <row r="229" spans="1:51">
      <c r="A229" t="s">
        <v>1995</v>
      </c>
      <c r="B229">
        <f t="shared" si="94"/>
        <v>1</v>
      </c>
      <c r="C229" t="s">
        <v>1996</v>
      </c>
      <c r="D229" s="3">
        <v>45565</v>
      </c>
      <c r="E229" t="str">
        <f t="shared" si="95"/>
        <v>2024/09/30</v>
      </c>
      <c r="F229" t="str">
        <f t="shared" si="104"/>
        <v>September</v>
      </c>
      <c r="G229">
        <f t="shared" si="105"/>
        <v>2024</v>
      </c>
      <c r="H229" t="s">
        <v>1997</v>
      </c>
      <c r="I229" s="4">
        <v>45392</v>
      </c>
      <c r="J229" s="8">
        <f t="shared" si="96"/>
        <v>-173</v>
      </c>
      <c r="K229" s="8" t="str">
        <f t="shared" si="106"/>
        <v>INVAILD_SHIPPING</v>
      </c>
      <c r="L229" t="s">
        <v>1998</v>
      </c>
      <c r="M229" t="s">
        <v>60</v>
      </c>
      <c r="N229" t="str">
        <f t="shared" si="97"/>
        <v>Arjun Bose</v>
      </c>
      <c r="O229" t="s">
        <v>40</v>
      </c>
      <c r="P229" t="str">
        <f t="shared" si="121"/>
        <v>Small Business</v>
      </c>
      <c r="Q229" t="s">
        <v>61</v>
      </c>
      <c r="R229" t="str">
        <f t="shared" si="122"/>
        <v>South</v>
      </c>
      <c r="S229" t="str">
        <f t="shared" si="107"/>
        <v>OK</v>
      </c>
      <c r="T229" t="s">
        <v>241</v>
      </c>
      <c r="U229" t="str">
        <f t="shared" si="98"/>
        <v>Kerala</v>
      </c>
      <c r="V229" t="s">
        <v>242</v>
      </c>
      <c r="W229" t="str">
        <f t="shared" si="99"/>
        <v>Kochi</v>
      </c>
      <c r="X229" t="str">
        <f t="shared" si="100"/>
        <v>Office Supplies</v>
      </c>
      <c r="Y229" t="s">
        <v>29</v>
      </c>
      <c r="Z229" t="s">
        <v>1999</v>
      </c>
      <c r="AA229" t="str">
        <f t="shared" si="101"/>
        <v>Paper</v>
      </c>
      <c r="AB229" t="s">
        <v>2000</v>
      </c>
      <c r="AC229" t="s">
        <v>47</v>
      </c>
      <c r="AD229" t="str">
        <f>PROPER(TRIM(SUBSTITUTE(AC229,CHAR(160)," ")))</f>
        <v>Same Day</v>
      </c>
      <c r="AE229" t="str">
        <f t="shared" si="108"/>
        <v>OK</v>
      </c>
      <c r="AF229">
        <v>5</v>
      </c>
      <c r="AG229">
        <v>3512.25</v>
      </c>
      <c r="AH229">
        <v>0.05</v>
      </c>
      <c r="AI229">
        <f t="shared" si="109"/>
        <v>0.05</v>
      </c>
      <c r="AJ229" t="str">
        <f t="shared" si="110"/>
        <v>OK</v>
      </c>
      <c r="AK229">
        <v>16683.189999999999</v>
      </c>
      <c r="AL229">
        <v>10301.16</v>
      </c>
      <c r="AM229">
        <v>6382.03</v>
      </c>
      <c r="AN229" t="s">
        <v>33</v>
      </c>
      <c r="AO229" t="str">
        <f t="shared" si="102"/>
        <v>PAID</v>
      </c>
      <c r="AP229" t="str">
        <f t="shared" si="111"/>
        <v>OK</v>
      </c>
      <c r="AQ229" t="s">
        <v>124</v>
      </c>
      <c r="AR229" t="str">
        <f t="shared" si="103"/>
        <v>RETURNED</v>
      </c>
      <c r="AS229" t="str">
        <f t="shared" si="112"/>
        <v>RETURNED_ORDER</v>
      </c>
      <c r="AT229">
        <f t="shared" si="113"/>
        <v>16683.1875</v>
      </c>
      <c r="AU229">
        <f t="shared" si="114"/>
        <v>6382.0275000000001</v>
      </c>
      <c r="AV229" s="6">
        <f t="shared" si="115"/>
        <v>0.27171006739569392</v>
      </c>
      <c r="AW229" t="str">
        <f t="shared" si="116"/>
        <v>CLEAN</v>
      </c>
      <c r="AX229" s="10" t="str">
        <f t="shared" si="117"/>
        <v>MATCH</v>
      </c>
      <c r="AY229" t="str">
        <f t="shared" si="118"/>
        <v>MATCH</v>
      </c>
    </row>
    <row r="230" spans="1:51">
      <c r="A230" t="s">
        <v>2001</v>
      </c>
      <c r="B230">
        <f t="shared" si="94"/>
        <v>1</v>
      </c>
      <c r="C230" t="s">
        <v>2002</v>
      </c>
      <c r="D230" s="2">
        <v>45318</v>
      </c>
      <c r="E230" t="str">
        <f t="shared" si="95"/>
        <v>2024/01/27</v>
      </c>
      <c r="F230" t="str">
        <f t="shared" si="104"/>
        <v>January</v>
      </c>
      <c r="G230">
        <f t="shared" si="105"/>
        <v>2024</v>
      </c>
      <c r="H230" t="s">
        <v>2003</v>
      </c>
      <c r="I230" s="4">
        <v>45325</v>
      </c>
      <c r="J230" s="8">
        <f t="shared" si="96"/>
        <v>7</v>
      </c>
      <c r="K230" s="8" t="str">
        <f t="shared" si="106"/>
        <v>OK</v>
      </c>
      <c r="L230" t="s">
        <v>2004</v>
      </c>
      <c r="M230" t="s">
        <v>106</v>
      </c>
      <c r="N230" t="str">
        <f t="shared" si="97"/>
        <v>Aditi Sen</v>
      </c>
      <c r="O230" t="s">
        <v>107</v>
      </c>
      <c r="P230" t="str">
        <f t="shared" si="121"/>
        <v>Corporate</v>
      </c>
      <c r="Q230" t="s">
        <v>72</v>
      </c>
      <c r="R230" t="str">
        <f t="shared" si="122"/>
        <v>West</v>
      </c>
      <c r="S230" t="str">
        <f t="shared" si="107"/>
        <v>OK</v>
      </c>
      <c r="T230" t="s">
        <v>27</v>
      </c>
      <c r="U230" t="str">
        <f t="shared" si="98"/>
        <v>Rajasthan</v>
      </c>
      <c r="V230" t="s">
        <v>134</v>
      </c>
      <c r="W230" t="str">
        <f t="shared" si="99"/>
        <v>Udaipur</v>
      </c>
      <c r="X230" t="str">
        <f t="shared" si="100"/>
        <v>Furniture</v>
      </c>
      <c r="Y230" t="s">
        <v>44</v>
      </c>
      <c r="Z230" t="s">
        <v>75</v>
      </c>
      <c r="AA230" t="str">
        <f t="shared" si="101"/>
        <v>Chairs</v>
      </c>
      <c r="AB230" t="s">
        <v>2005</v>
      </c>
      <c r="AC230" t="s">
        <v>47</v>
      </c>
      <c r="AD230" t="str">
        <f>PROPER(TRIM(SUBSTITUTE(AC230,CHAR(160)," ")))</f>
        <v>Same Day</v>
      </c>
      <c r="AE230" t="str">
        <f t="shared" si="108"/>
        <v>OK</v>
      </c>
      <c r="AF230">
        <v>3</v>
      </c>
      <c r="AG230">
        <v>359.61</v>
      </c>
      <c r="AH230">
        <v>0</v>
      </c>
      <c r="AI230">
        <f t="shared" si="109"/>
        <v>0</v>
      </c>
      <c r="AJ230" t="str">
        <f t="shared" si="110"/>
        <v>OK</v>
      </c>
      <c r="AK230">
        <v>1078.83</v>
      </c>
      <c r="AL230">
        <v>926.35</v>
      </c>
      <c r="AM230">
        <v>152.47999999999999</v>
      </c>
      <c r="AN230" t="s">
        <v>33</v>
      </c>
      <c r="AO230" t="str">
        <f t="shared" si="102"/>
        <v>PAID</v>
      </c>
      <c r="AP230" t="str">
        <f t="shared" si="111"/>
        <v>OK</v>
      </c>
      <c r="AQ230" t="s">
        <v>34</v>
      </c>
      <c r="AR230" t="str">
        <f t="shared" si="103"/>
        <v>COMPLETED</v>
      </c>
      <c r="AS230" t="str">
        <f t="shared" si="112"/>
        <v>OK</v>
      </c>
      <c r="AT230">
        <f t="shared" si="113"/>
        <v>1078.83</v>
      </c>
      <c r="AU230">
        <f t="shared" si="114"/>
        <v>152.4799999999999</v>
      </c>
      <c r="AV230" s="6">
        <f t="shared" si="115"/>
        <v>0.89698562331414611</v>
      </c>
      <c r="AW230" t="str">
        <f t="shared" si="116"/>
        <v>CLEAN</v>
      </c>
      <c r="AX230" s="10" t="str">
        <f t="shared" si="117"/>
        <v>MATCH</v>
      </c>
      <c r="AY230" t="str">
        <f t="shared" si="118"/>
        <v>MATCH</v>
      </c>
    </row>
    <row r="231" spans="1:51">
      <c r="A231" t="s">
        <v>2006</v>
      </c>
      <c r="B231">
        <f t="shared" si="94"/>
        <v>1</v>
      </c>
      <c r="C231" t="s">
        <v>2007</v>
      </c>
      <c r="D231" s="3">
        <v>45558</v>
      </c>
      <c r="E231" t="str">
        <f t="shared" si="95"/>
        <v>2024/09/23</v>
      </c>
      <c r="F231" t="str">
        <f t="shared" si="104"/>
        <v>September</v>
      </c>
      <c r="G231">
        <f t="shared" si="105"/>
        <v>2024</v>
      </c>
      <c r="H231" t="s">
        <v>2008</v>
      </c>
      <c r="I231" s="4">
        <v>45559</v>
      </c>
      <c r="J231" s="8">
        <f t="shared" si="96"/>
        <v>1</v>
      </c>
      <c r="K231" s="8" t="str">
        <f t="shared" si="106"/>
        <v>OK</v>
      </c>
      <c r="L231" t="s">
        <v>2009</v>
      </c>
      <c r="M231" t="s">
        <v>106</v>
      </c>
      <c r="N231" t="str">
        <f t="shared" si="97"/>
        <v>Aditi Sen</v>
      </c>
      <c r="O231" t="s">
        <v>114</v>
      </c>
      <c r="P231" t="str">
        <f t="shared" si="121"/>
        <v>Home Office</v>
      </c>
      <c r="Q231" t="s">
        <v>72</v>
      </c>
      <c r="R231" t="str">
        <f t="shared" si="122"/>
        <v>West</v>
      </c>
      <c r="S231" t="str">
        <f t="shared" si="107"/>
        <v>OK</v>
      </c>
      <c r="T231" t="s">
        <v>234</v>
      </c>
      <c r="U231" t="str">
        <f t="shared" si="98"/>
        <v>Gujarat</v>
      </c>
      <c r="V231" t="s">
        <v>235</v>
      </c>
      <c r="W231" t="str">
        <f t="shared" si="99"/>
        <v>Ahmedabad</v>
      </c>
      <c r="X231" t="str">
        <f t="shared" si="100"/>
        <v>Furniture</v>
      </c>
      <c r="Y231" t="s">
        <v>44</v>
      </c>
      <c r="Z231" t="s">
        <v>203</v>
      </c>
      <c r="AA231" t="str">
        <f t="shared" si="101"/>
        <v>Bookcases</v>
      </c>
      <c r="AB231" t="s">
        <v>2010</v>
      </c>
      <c r="AD231" t="s">
        <v>4109</v>
      </c>
      <c r="AE231" t="str">
        <f t="shared" si="108"/>
        <v>MISSING_SHIP_MODE</v>
      </c>
      <c r="AF231">
        <v>7</v>
      </c>
      <c r="AG231">
        <v>3878.01</v>
      </c>
      <c r="AH231">
        <v>0.1</v>
      </c>
      <c r="AI231">
        <f t="shared" si="109"/>
        <v>0.1</v>
      </c>
      <c r="AJ231" t="str">
        <f t="shared" si="110"/>
        <v>OK</v>
      </c>
      <c r="AK231">
        <v>24431.46</v>
      </c>
      <c r="AL231">
        <v>18202.36</v>
      </c>
      <c r="AM231">
        <v>6229.1</v>
      </c>
      <c r="AN231" t="s">
        <v>33</v>
      </c>
      <c r="AO231" t="str">
        <f t="shared" si="102"/>
        <v>PAID</v>
      </c>
      <c r="AP231" t="str">
        <f t="shared" si="111"/>
        <v>OK</v>
      </c>
      <c r="AQ231" t="s">
        <v>34</v>
      </c>
      <c r="AR231" t="str">
        <f t="shared" si="103"/>
        <v>COMPLETED</v>
      </c>
      <c r="AS231" t="str">
        <f t="shared" si="112"/>
        <v>OK</v>
      </c>
      <c r="AT231">
        <f t="shared" si="113"/>
        <v>24431.463</v>
      </c>
      <c r="AU231">
        <f t="shared" si="114"/>
        <v>6229.1029999999992</v>
      </c>
      <c r="AV231" s="6">
        <f t="shared" si="115"/>
        <v>3.6087810214230735E-2</v>
      </c>
      <c r="AW231" t="str">
        <f t="shared" si="116"/>
        <v>WARNING</v>
      </c>
      <c r="AX231" s="10" t="str">
        <f t="shared" si="117"/>
        <v>MATCH</v>
      </c>
      <c r="AY231" t="str">
        <f t="shared" si="118"/>
        <v>MATCH</v>
      </c>
    </row>
    <row r="232" spans="1:51">
      <c r="A232" t="s">
        <v>2015</v>
      </c>
      <c r="B232">
        <f t="shared" si="94"/>
        <v>1</v>
      </c>
      <c r="C232" t="s">
        <v>2016</v>
      </c>
      <c r="D232" s="2">
        <v>45631</v>
      </c>
      <c r="E232" t="str">
        <f t="shared" si="95"/>
        <v>2024/12/05</v>
      </c>
      <c r="F232" t="str">
        <f t="shared" si="104"/>
        <v>December</v>
      </c>
      <c r="G232">
        <f t="shared" si="105"/>
        <v>2024</v>
      </c>
      <c r="H232" t="s">
        <v>2017</v>
      </c>
      <c r="I232" s="4">
        <v>45425</v>
      </c>
      <c r="J232" s="8">
        <f t="shared" si="96"/>
        <v>-206</v>
      </c>
      <c r="K232" s="8" t="str">
        <f t="shared" si="106"/>
        <v>INVAILD_SHIPPING</v>
      </c>
      <c r="L232" t="s">
        <v>2018</v>
      </c>
      <c r="M232" t="s">
        <v>147</v>
      </c>
      <c r="N232" t="str">
        <f t="shared" si="97"/>
        <v>Rahul Verma</v>
      </c>
      <c r="O232" t="s">
        <v>107</v>
      </c>
      <c r="P232" t="str">
        <f t="shared" si="121"/>
        <v>Corporate</v>
      </c>
      <c r="Q232" t="s">
        <v>72</v>
      </c>
      <c r="R232" t="str">
        <f t="shared" si="122"/>
        <v>West</v>
      </c>
      <c r="S232" t="str">
        <f t="shared" si="107"/>
        <v>OK</v>
      </c>
      <c r="T232" t="s">
        <v>248</v>
      </c>
      <c r="U232" t="str">
        <f t="shared" si="98"/>
        <v>Goa</v>
      </c>
      <c r="V232" t="s">
        <v>249</v>
      </c>
      <c r="W232" t="str">
        <f t="shared" si="99"/>
        <v>Panaji</v>
      </c>
      <c r="X232" t="str">
        <f t="shared" si="100"/>
        <v>Office Supplies</v>
      </c>
      <c r="Y232" t="s">
        <v>29</v>
      </c>
      <c r="Z232" t="s">
        <v>108</v>
      </c>
      <c r="AA232" t="str">
        <f t="shared" si="101"/>
        <v>Labels</v>
      </c>
      <c r="AB232" t="s">
        <v>2019</v>
      </c>
      <c r="AC232" t="s">
        <v>32</v>
      </c>
      <c r="AD232" t="str">
        <f t="shared" ref="AD232:AD263" si="123">PROPER(TRIM(SUBSTITUTE(AC232,CHAR(160)," ")))</f>
        <v>Second Class</v>
      </c>
      <c r="AE232" t="str">
        <f t="shared" si="108"/>
        <v>OK</v>
      </c>
      <c r="AF232">
        <v>3</v>
      </c>
      <c r="AG232">
        <v>2644.55</v>
      </c>
      <c r="AH232">
        <v>0</v>
      </c>
      <c r="AI232">
        <f t="shared" si="109"/>
        <v>0</v>
      </c>
      <c r="AJ232" t="str">
        <f t="shared" si="110"/>
        <v>OK</v>
      </c>
      <c r="AK232">
        <v>7933.65</v>
      </c>
      <c r="AL232">
        <v>5698.42</v>
      </c>
      <c r="AM232">
        <v>2235.23</v>
      </c>
      <c r="AN232" t="s">
        <v>33</v>
      </c>
      <c r="AO232" t="str">
        <f t="shared" si="102"/>
        <v>PAID</v>
      </c>
      <c r="AP232" t="str">
        <f t="shared" si="111"/>
        <v>OK</v>
      </c>
      <c r="AQ232" t="s">
        <v>34</v>
      </c>
      <c r="AR232" t="str">
        <f t="shared" si="103"/>
        <v>COMPLETED</v>
      </c>
      <c r="AS232" t="str">
        <f t="shared" si="112"/>
        <v>OK</v>
      </c>
      <c r="AT232">
        <f t="shared" si="113"/>
        <v>7933.6500000000005</v>
      </c>
      <c r="AU232">
        <f t="shared" si="114"/>
        <v>2235.2300000000005</v>
      </c>
      <c r="AV232" s="6">
        <f t="shared" si="115"/>
        <v>1.228778683203822E-2</v>
      </c>
      <c r="AW232" t="str">
        <f t="shared" si="116"/>
        <v>CLEAN</v>
      </c>
      <c r="AX232" s="10" t="str">
        <f t="shared" si="117"/>
        <v>MATCH</v>
      </c>
      <c r="AY232" t="str">
        <f t="shared" si="118"/>
        <v>MATCH</v>
      </c>
    </row>
    <row r="233" spans="1:51">
      <c r="A233" t="s">
        <v>2026</v>
      </c>
      <c r="B233">
        <f t="shared" si="94"/>
        <v>1</v>
      </c>
      <c r="C233" t="s">
        <v>2027</v>
      </c>
      <c r="D233" s="3">
        <v>45630</v>
      </c>
      <c r="E233" t="str">
        <f t="shared" si="95"/>
        <v>2024/12/04</v>
      </c>
      <c r="F233" t="str">
        <f t="shared" si="104"/>
        <v>December</v>
      </c>
      <c r="G233">
        <f t="shared" si="105"/>
        <v>2024</v>
      </c>
      <c r="H233" t="s">
        <v>2028</v>
      </c>
      <c r="I233" s="4">
        <v>45402</v>
      </c>
      <c r="J233" s="8">
        <f t="shared" si="96"/>
        <v>-228</v>
      </c>
      <c r="K233" s="8" t="str">
        <f t="shared" si="106"/>
        <v>INVAILD_SHIPPING</v>
      </c>
      <c r="L233" t="s">
        <v>2029</v>
      </c>
      <c r="M233" t="s">
        <v>209</v>
      </c>
      <c r="N233" t="str">
        <f t="shared" si="97"/>
        <v>Diya Patel</v>
      </c>
      <c r="O233" t="s">
        <v>25</v>
      </c>
      <c r="P233" t="str">
        <f t="shared" si="121"/>
        <v>Consumer</v>
      </c>
      <c r="Q233" t="s">
        <v>72</v>
      </c>
      <c r="R233" t="str">
        <f t="shared" si="122"/>
        <v>West</v>
      </c>
      <c r="S233" t="str">
        <f t="shared" si="107"/>
        <v>OK</v>
      </c>
      <c r="T233" t="s">
        <v>248</v>
      </c>
      <c r="U233" t="str">
        <f t="shared" si="98"/>
        <v>Goa</v>
      </c>
      <c r="V233" t="s">
        <v>249</v>
      </c>
      <c r="W233" t="str">
        <f t="shared" si="99"/>
        <v>Panaji</v>
      </c>
      <c r="X233" t="str">
        <f t="shared" si="100"/>
        <v>Furniture</v>
      </c>
      <c r="Y233" t="s">
        <v>44</v>
      </c>
      <c r="Z233" t="s">
        <v>45</v>
      </c>
      <c r="AA233" t="str">
        <f t="shared" si="101"/>
        <v>Tables</v>
      </c>
      <c r="AB233" t="s">
        <v>2030</v>
      </c>
      <c r="AC233" t="s">
        <v>55</v>
      </c>
      <c r="AD233" t="str">
        <f t="shared" si="123"/>
        <v>First Class</v>
      </c>
      <c r="AE233" t="str">
        <f t="shared" si="108"/>
        <v>OK</v>
      </c>
      <c r="AF233">
        <v>9</v>
      </c>
      <c r="AG233">
        <v>1302.6099999999999</v>
      </c>
      <c r="AH233">
        <v>0.2</v>
      </c>
      <c r="AI233">
        <f t="shared" si="109"/>
        <v>0.2</v>
      </c>
      <c r="AJ233" t="str">
        <f t="shared" si="110"/>
        <v>OK</v>
      </c>
      <c r="AK233">
        <v>9378.7900000000009</v>
      </c>
      <c r="AL233">
        <v>6774.48</v>
      </c>
      <c r="AM233">
        <v>2604.31</v>
      </c>
      <c r="AN233" t="s">
        <v>33</v>
      </c>
      <c r="AO233" t="str">
        <f t="shared" si="102"/>
        <v>PAID</v>
      </c>
      <c r="AP233" t="str">
        <f t="shared" si="111"/>
        <v>OK</v>
      </c>
      <c r="AQ233" t="s">
        <v>34</v>
      </c>
      <c r="AR233" t="str">
        <f t="shared" si="103"/>
        <v>COMPLETED</v>
      </c>
      <c r="AS233" t="str">
        <f t="shared" si="112"/>
        <v>OK</v>
      </c>
      <c r="AT233">
        <f t="shared" si="113"/>
        <v>9378.7919999999995</v>
      </c>
      <c r="AU233">
        <f t="shared" si="114"/>
        <v>2604.3119999999999</v>
      </c>
      <c r="AV233" s="6">
        <f t="shared" si="115"/>
        <v>0.57053083168919827</v>
      </c>
      <c r="AW233" t="str">
        <f t="shared" si="116"/>
        <v>CLEAN</v>
      </c>
      <c r="AX233" s="10" t="str">
        <f t="shared" si="117"/>
        <v>MATCH</v>
      </c>
      <c r="AY233" t="str">
        <f t="shared" si="118"/>
        <v>MATCH</v>
      </c>
    </row>
    <row r="234" spans="1:51">
      <c r="A234" t="s">
        <v>2036</v>
      </c>
      <c r="B234">
        <f t="shared" si="94"/>
        <v>1</v>
      </c>
      <c r="C234" t="s">
        <v>2037</v>
      </c>
      <c r="D234" s="3">
        <v>45313</v>
      </c>
      <c r="E234" t="str">
        <f t="shared" si="95"/>
        <v>2024/01/22</v>
      </c>
      <c r="F234" t="str">
        <f t="shared" si="104"/>
        <v>January</v>
      </c>
      <c r="G234">
        <f t="shared" si="105"/>
        <v>2024</v>
      </c>
      <c r="H234" t="s">
        <v>833</v>
      </c>
      <c r="I234" s="4">
        <v>45321</v>
      </c>
      <c r="J234" s="8">
        <f t="shared" si="96"/>
        <v>8</v>
      </c>
      <c r="K234" s="8" t="str">
        <f t="shared" si="106"/>
        <v>OK</v>
      </c>
      <c r="L234" t="s">
        <v>2038</v>
      </c>
      <c r="M234" t="s">
        <v>52</v>
      </c>
      <c r="N234" t="str">
        <f t="shared" si="97"/>
        <v>Isha Nair</v>
      </c>
      <c r="O234" t="s">
        <v>107</v>
      </c>
      <c r="P234" t="str">
        <f t="shared" si="121"/>
        <v>Corporate</v>
      </c>
      <c r="Q234" t="s">
        <v>61</v>
      </c>
      <c r="R234" t="str">
        <f t="shared" si="122"/>
        <v>South</v>
      </c>
      <c r="S234" t="str">
        <f t="shared" si="107"/>
        <v>OK</v>
      </c>
      <c r="T234" t="s">
        <v>228</v>
      </c>
      <c r="U234" t="str">
        <f t="shared" si="98"/>
        <v>Karnataka</v>
      </c>
      <c r="V234" t="s">
        <v>229</v>
      </c>
      <c r="W234" t="str">
        <f t="shared" si="99"/>
        <v>Bengaluru</v>
      </c>
      <c r="X234" t="str">
        <f t="shared" si="100"/>
        <v>Furniture</v>
      </c>
      <c r="Y234" t="s">
        <v>44</v>
      </c>
      <c r="Z234" t="s">
        <v>75</v>
      </c>
      <c r="AA234" t="str">
        <f t="shared" si="101"/>
        <v>Chairs</v>
      </c>
      <c r="AB234" t="s">
        <v>2039</v>
      </c>
      <c r="AC234" t="s">
        <v>47</v>
      </c>
      <c r="AD234" t="str">
        <f t="shared" si="123"/>
        <v>Same Day</v>
      </c>
      <c r="AE234" t="str">
        <f t="shared" si="108"/>
        <v>OK</v>
      </c>
      <c r="AF234">
        <v>1</v>
      </c>
      <c r="AG234">
        <v>2111.39</v>
      </c>
      <c r="AH234">
        <v>0.25</v>
      </c>
      <c r="AI234">
        <f t="shared" si="109"/>
        <v>0.25</v>
      </c>
      <c r="AJ234" t="str">
        <f t="shared" si="110"/>
        <v>OK</v>
      </c>
      <c r="AK234">
        <v>1583.54</v>
      </c>
      <c r="AL234">
        <v>1014.19</v>
      </c>
      <c r="AM234">
        <v>569.35</v>
      </c>
      <c r="AN234" t="s">
        <v>33</v>
      </c>
      <c r="AO234" t="str">
        <f t="shared" si="102"/>
        <v>PAID</v>
      </c>
      <c r="AP234" t="str">
        <f t="shared" si="111"/>
        <v>OK</v>
      </c>
      <c r="AQ234" t="s">
        <v>34</v>
      </c>
      <c r="AR234" t="str">
        <f t="shared" si="103"/>
        <v>COMPLETED</v>
      </c>
      <c r="AS234" t="str">
        <f t="shared" si="112"/>
        <v>OK</v>
      </c>
      <c r="AT234">
        <f t="shared" si="113"/>
        <v>1583.5425</v>
      </c>
      <c r="AU234">
        <f t="shared" si="114"/>
        <v>569.35249999999996</v>
      </c>
      <c r="AV234" s="6">
        <f t="shared" si="115"/>
        <v>1.2075027983145394</v>
      </c>
      <c r="AW234" t="str">
        <f t="shared" si="116"/>
        <v>CLEAN</v>
      </c>
      <c r="AX234" s="10" t="str">
        <f t="shared" si="117"/>
        <v>MATCH</v>
      </c>
      <c r="AY234" t="str">
        <f t="shared" si="118"/>
        <v>MATCH</v>
      </c>
    </row>
    <row r="235" spans="1:51">
      <c r="A235" t="s">
        <v>2044</v>
      </c>
      <c r="B235">
        <f t="shared" si="94"/>
        <v>1</v>
      </c>
      <c r="C235" t="s">
        <v>2045</v>
      </c>
      <c r="D235" s="3">
        <v>45533</v>
      </c>
      <c r="E235" t="str">
        <f t="shared" si="95"/>
        <v>2024/08/29</v>
      </c>
      <c r="F235" t="str">
        <f t="shared" si="104"/>
        <v>August</v>
      </c>
      <c r="G235">
        <f t="shared" si="105"/>
        <v>2024</v>
      </c>
      <c r="H235" t="s">
        <v>2046</v>
      </c>
      <c r="I235" s="4">
        <v>45534</v>
      </c>
      <c r="J235" s="8">
        <f t="shared" si="96"/>
        <v>1</v>
      </c>
      <c r="K235" s="8" t="str">
        <f t="shared" si="106"/>
        <v>OK</v>
      </c>
      <c r="L235" t="s">
        <v>2047</v>
      </c>
      <c r="M235" t="s">
        <v>60</v>
      </c>
      <c r="N235" t="str">
        <f t="shared" si="97"/>
        <v>Arjun Bose</v>
      </c>
      <c r="O235" t="s">
        <v>114</v>
      </c>
      <c r="P235" t="str">
        <f t="shared" si="121"/>
        <v>Home Office</v>
      </c>
      <c r="Q235" t="s">
        <v>41</v>
      </c>
      <c r="R235" t="str">
        <f t="shared" si="122"/>
        <v>East</v>
      </c>
      <c r="S235" t="str">
        <f t="shared" si="107"/>
        <v>OK</v>
      </c>
      <c r="T235" t="s">
        <v>215</v>
      </c>
      <c r="U235" t="str">
        <f t="shared" si="98"/>
        <v>Assam</v>
      </c>
      <c r="V235" t="s">
        <v>216</v>
      </c>
      <c r="W235" t="str">
        <f t="shared" si="99"/>
        <v>Guwahati</v>
      </c>
      <c r="X235" t="str">
        <f t="shared" si="100"/>
        <v>Office Supplies</v>
      </c>
      <c r="Y235" t="s">
        <v>29</v>
      </c>
      <c r="Z235" t="s">
        <v>155</v>
      </c>
      <c r="AA235" t="str">
        <f t="shared" si="101"/>
        <v>Storage</v>
      </c>
      <c r="AB235" t="s">
        <v>2048</v>
      </c>
      <c r="AC235" t="s">
        <v>55</v>
      </c>
      <c r="AD235" t="str">
        <f t="shared" si="123"/>
        <v>First Class</v>
      </c>
      <c r="AE235" t="str">
        <f t="shared" si="108"/>
        <v>OK</v>
      </c>
      <c r="AF235">
        <v>4</v>
      </c>
      <c r="AG235">
        <v>2484.08</v>
      </c>
      <c r="AH235">
        <v>0.05</v>
      </c>
      <c r="AI235">
        <f t="shared" si="109"/>
        <v>0.05</v>
      </c>
      <c r="AJ235" t="str">
        <f t="shared" si="110"/>
        <v>OK</v>
      </c>
      <c r="AK235">
        <v>9439.5</v>
      </c>
      <c r="AL235">
        <v>5519.39</v>
      </c>
      <c r="AM235">
        <v>3920.11</v>
      </c>
      <c r="AN235" t="s">
        <v>33</v>
      </c>
      <c r="AO235" t="str">
        <f t="shared" si="102"/>
        <v>PAID</v>
      </c>
      <c r="AP235" t="str">
        <f t="shared" si="111"/>
        <v>OK</v>
      </c>
      <c r="AQ235" t="s">
        <v>34</v>
      </c>
      <c r="AR235" t="str">
        <f t="shared" si="103"/>
        <v>COMPLETED</v>
      </c>
      <c r="AS235" t="str">
        <f t="shared" si="112"/>
        <v>OK</v>
      </c>
      <c r="AT235">
        <f t="shared" si="113"/>
        <v>9439.503999999999</v>
      </c>
      <c r="AU235">
        <f t="shared" si="114"/>
        <v>3920.1139999999987</v>
      </c>
      <c r="AV235" s="6">
        <f t="shared" si="115"/>
        <v>0.42746462102246058</v>
      </c>
      <c r="AW235" t="str">
        <f t="shared" si="116"/>
        <v>CLEAN</v>
      </c>
      <c r="AX235" s="10" t="str">
        <f t="shared" si="117"/>
        <v>MATCH</v>
      </c>
      <c r="AY235" t="str">
        <f t="shared" si="118"/>
        <v>MATCH</v>
      </c>
    </row>
    <row r="236" spans="1:51">
      <c r="A236" t="s">
        <v>2049</v>
      </c>
      <c r="B236">
        <f t="shared" si="94"/>
        <v>1</v>
      </c>
      <c r="C236" t="s">
        <v>2050</v>
      </c>
      <c r="D236" s="3">
        <v>45316</v>
      </c>
      <c r="E236" t="str">
        <f t="shared" si="95"/>
        <v>2024/01/25</v>
      </c>
      <c r="F236" t="str">
        <f t="shared" si="104"/>
        <v>January</v>
      </c>
      <c r="G236">
        <f t="shared" si="105"/>
        <v>2024</v>
      </c>
      <c r="H236" t="s">
        <v>2002</v>
      </c>
      <c r="I236" s="4">
        <v>45318</v>
      </c>
      <c r="J236" s="8">
        <f t="shared" si="96"/>
        <v>2</v>
      </c>
      <c r="K236" s="8" t="str">
        <f t="shared" si="106"/>
        <v>OK</v>
      </c>
      <c r="L236" t="s">
        <v>2051</v>
      </c>
      <c r="M236" t="s">
        <v>161</v>
      </c>
      <c r="N236" t="str">
        <f t="shared" si="97"/>
        <v>Aarav Sharma</v>
      </c>
      <c r="O236" t="s">
        <v>107</v>
      </c>
      <c r="P236" t="str">
        <f t="shared" si="121"/>
        <v>Corporate</v>
      </c>
      <c r="Q236" t="s">
        <v>61</v>
      </c>
      <c r="R236" t="str">
        <f t="shared" si="122"/>
        <v>South</v>
      </c>
      <c r="S236" t="str">
        <f t="shared" si="107"/>
        <v>OK</v>
      </c>
      <c r="T236" t="s">
        <v>228</v>
      </c>
      <c r="U236" t="str">
        <f t="shared" si="98"/>
        <v>Karnataka</v>
      </c>
      <c r="V236" t="s">
        <v>229</v>
      </c>
      <c r="W236" t="str">
        <f t="shared" si="99"/>
        <v>Bengaluru</v>
      </c>
      <c r="X236" t="str">
        <f t="shared" si="100"/>
        <v>Office Supplies</v>
      </c>
      <c r="Y236" t="s">
        <v>29</v>
      </c>
      <c r="Z236" t="s">
        <v>155</v>
      </c>
      <c r="AA236" t="str">
        <f t="shared" si="101"/>
        <v>Storage</v>
      </c>
      <c r="AB236" t="s">
        <v>2052</v>
      </c>
      <c r="AC236" t="s">
        <v>47</v>
      </c>
      <c r="AD236" t="str">
        <f t="shared" si="123"/>
        <v>Same Day</v>
      </c>
      <c r="AE236" t="str">
        <f t="shared" si="108"/>
        <v>OK</v>
      </c>
      <c r="AF236">
        <v>7</v>
      </c>
      <c r="AG236">
        <v>1727.26</v>
      </c>
      <c r="AH236">
        <v>0.15</v>
      </c>
      <c r="AI236">
        <f t="shared" si="109"/>
        <v>0.15</v>
      </c>
      <c r="AJ236" t="str">
        <f t="shared" si="110"/>
        <v>OK</v>
      </c>
      <c r="AK236">
        <v>10277.200000000001</v>
      </c>
      <c r="AL236">
        <v>7906.5</v>
      </c>
      <c r="AM236">
        <v>2370.6999999999998</v>
      </c>
      <c r="AN236" t="s">
        <v>33</v>
      </c>
      <c r="AO236" t="str">
        <f t="shared" si="102"/>
        <v>PAID</v>
      </c>
      <c r="AP236" t="str">
        <f t="shared" si="111"/>
        <v>OK</v>
      </c>
      <c r="AQ236" t="s">
        <v>124</v>
      </c>
      <c r="AR236" t="str">
        <f t="shared" si="103"/>
        <v>RETURNED</v>
      </c>
      <c r="AS236" t="str">
        <f t="shared" si="112"/>
        <v>RETURNED_ORDER</v>
      </c>
      <c r="AT236">
        <f t="shared" si="113"/>
        <v>10277.197</v>
      </c>
      <c r="AU236">
        <f t="shared" si="114"/>
        <v>2370.6970000000001</v>
      </c>
      <c r="AV236" s="6">
        <f t="shared" si="115"/>
        <v>0.13490838017408832</v>
      </c>
      <c r="AW236" t="str">
        <f t="shared" si="116"/>
        <v>CLEAN</v>
      </c>
      <c r="AX236" s="10" t="str">
        <f t="shared" si="117"/>
        <v>MATCH</v>
      </c>
      <c r="AY236" t="str">
        <f t="shared" si="118"/>
        <v>MATCH</v>
      </c>
    </row>
    <row r="237" spans="1:51">
      <c r="A237" t="s">
        <v>2062</v>
      </c>
      <c r="B237">
        <f t="shared" si="94"/>
        <v>1</v>
      </c>
      <c r="C237" t="s">
        <v>2063</v>
      </c>
      <c r="D237" s="3">
        <v>45546</v>
      </c>
      <c r="E237" t="str">
        <f t="shared" si="95"/>
        <v>2024/09/11</v>
      </c>
      <c r="F237" t="str">
        <f t="shared" si="104"/>
        <v>September</v>
      </c>
      <c r="G237">
        <f t="shared" si="105"/>
        <v>2024</v>
      </c>
      <c r="H237" t="s">
        <v>2064</v>
      </c>
      <c r="I237" s="4">
        <v>45613</v>
      </c>
      <c r="J237" s="8">
        <f t="shared" si="96"/>
        <v>67</v>
      </c>
      <c r="K237" s="8" t="str">
        <f t="shared" si="106"/>
        <v>OK</v>
      </c>
      <c r="L237" t="s">
        <v>2065</v>
      </c>
      <c r="M237" t="s">
        <v>167</v>
      </c>
      <c r="N237" t="str">
        <f t="shared" si="97"/>
        <v>Sneha Kapoor</v>
      </c>
      <c r="O237" t="s">
        <v>107</v>
      </c>
      <c r="P237" t="str">
        <f t="shared" si="121"/>
        <v>Corporate</v>
      </c>
      <c r="Q237" t="s">
        <v>41</v>
      </c>
      <c r="R237" t="str">
        <f t="shared" si="122"/>
        <v>East</v>
      </c>
      <c r="S237" t="str">
        <f t="shared" si="107"/>
        <v>OK</v>
      </c>
      <c r="T237" t="s">
        <v>42</v>
      </c>
      <c r="U237" t="str">
        <f t="shared" si="98"/>
        <v>Odisha</v>
      </c>
      <c r="V237" t="s">
        <v>43</v>
      </c>
      <c r="W237" t="str">
        <f t="shared" si="99"/>
        <v>Bhubaneswar</v>
      </c>
      <c r="X237" t="str">
        <f t="shared" si="100"/>
        <v>Technology</v>
      </c>
      <c r="Y237" t="s">
        <v>85</v>
      </c>
      <c r="Z237" t="s">
        <v>93</v>
      </c>
      <c r="AA237" t="str">
        <f t="shared" si="101"/>
        <v>Copiers</v>
      </c>
      <c r="AB237" t="s">
        <v>2066</v>
      </c>
      <c r="AC237" t="s">
        <v>66</v>
      </c>
      <c r="AD237" t="str">
        <f t="shared" si="123"/>
        <v>Standard Class</v>
      </c>
      <c r="AE237" t="str">
        <f t="shared" si="108"/>
        <v>OK</v>
      </c>
      <c r="AF237">
        <v>6</v>
      </c>
      <c r="AG237">
        <v>3660.4</v>
      </c>
      <c r="AH237">
        <v>0</v>
      </c>
      <c r="AI237">
        <f t="shared" si="109"/>
        <v>0</v>
      </c>
      <c r="AJ237" t="str">
        <f t="shared" si="110"/>
        <v>OK</v>
      </c>
      <c r="AK237">
        <v>21962.400000000001</v>
      </c>
      <c r="AL237">
        <v>15331.99</v>
      </c>
      <c r="AM237">
        <v>6630.41</v>
      </c>
      <c r="AN237" t="s">
        <v>199</v>
      </c>
      <c r="AO237" t="str">
        <f t="shared" si="102"/>
        <v>FAILED</v>
      </c>
      <c r="AP237" t="str">
        <f t="shared" si="111"/>
        <v>EXCLUDE_FROM_SALES</v>
      </c>
      <c r="AQ237" t="s">
        <v>77</v>
      </c>
      <c r="AR237" t="str">
        <f t="shared" si="103"/>
        <v>CANCELLED</v>
      </c>
      <c r="AS237" t="str">
        <f t="shared" si="112"/>
        <v>EXCLUDE_FROM_SALES</v>
      </c>
      <c r="AT237">
        <f t="shared" si="113"/>
        <v>21962.400000000001</v>
      </c>
      <c r="AU237">
        <f t="shared" si="114"/>
        <v>6630.4100000000017</v>
      </c>
      <c r="AV237" s="6">
        <f t="shared" si="115"/>
        <v>0.20249414909117394</v>
      </c>
      <c r="AW237" t="str">
        <f t="shared" si="116"/>
        <v>CLEAN</v>
      </c>
      <c r="AX237" s="10" t="str">
        <f t="shared" si="117"/>
        <v>MATCH</v>
      </c>
      <c r="AY237" t="str">
        <f t="shared" si="118"/>
        <v>MATCH</v>
      </c>
    </row>
    <row r="238" spans="1:51">
      <c r="A238" t="s">
        <v>2086</v>
      </c>
      <c r="B238">
        <f t="shared" si="94"/>
        <v>2</v>
      </c>
      <c r="C238" t="s">
        <v>2087</v>
      </c>
      <c r="D238" s="3">
        <v>45342</v>
      </c>
      <c r="E238" t="str">
        <f t="shared" si="95"/>
        <v>2024/02/20</v>
      </c>
      <c r="F238" t="str">
        <f t="shared" si="104"/>
        <v>February</v>
      </c>
      <c r="G238">
        <f t="shared" si="105"/>
        <v>2024</v>
      </c>
      <c r="H238" t="s">
        <v>2088</v>
      </c>
      <c r="I238" s="4">
        <v>45349</v>
      </c>
      <c r="J238" s="8">
        <f t="shared" si="96"/>
        <v>7</v>
      </c>
      <c r="K238" s="8" t="str">
        <f t="shared" si="106"/>
        <v>OK</v>
      </c>
      <c r="L238" t="s">
        <v>2089</v>
      </c>
      <c r="M238" t="s">
        <v>209</v>
      </c>
      <c r="N238" t="str">
        <f t="shared" si="97"/>
        <v>Diya Patel</v>
      </c>
      <c r="O238" t="s">
        <v>25</v>
      </c>
      <c r="P238" t="str">
        <f t="shared" si="121"/>
        <v>Consumer</v>
      </c>
      <c r="Q238" t="s">
        <v>61</v>
      </c>
      <c r="R238" t="str">
        <f t="shared" si="122"/>
        <v>South</v>
      </c>
      <c r="S238" t="str">
        <f t="shared" si="107"/>
        <v>OK</v>
      </c>
      <c r="T238" t="s">
        <v>241</v>
      </c>
      <c r="U238" t="str">
        <f t="shared" si="98"/>
        <v>Kerala</v>
      </c>
      <c r="V238" t="s">
        <v>242</v>
      </c>
      <c r="W238" t="str">
        <f t="shared" si="99"/>
        <v>Kochi</v>
      </c>
      <c r="X238" t="str">
        <f t="shared" si="100"/>
        <v>Technology</v>
      </c>
      <c r="Y238" t="s">
        <v>85</v>
      </c>
      <c r="Z238" t="s">
        <v>86</v>
      </c>
      <c r="AA238" t="str">
        <f t="shared" si="101"/>
        <v>Accessories</v>
      </c>
      <c r="AB238" t="s">
        <v>2090</v>
      </c>
      <c r="AC238" t="s">
        <v>2091</v>
      </c>
      <c r="AD238" t="str">
        <f t="shared" si="123"/>
        <v>First Class</v>
      </c>
      <c r="AE238" t="str">
        <f t="shared" si="108"/>
        <v>OK</v>
      </c>
      <c r="AF238">
        <v>9</v>
      </c>
      <c r="AG238">
        <v>3779.31</v>
      </c>
      <c r="AH238">
        <v>0.2</v>
      </c>
      <c r="AI238">
        <f t="shared" si="109"/>
        <v>0.2</v>
      </c>
      <c r="AJ238" t="str">
        <f t="shared" si="110"/>
        <v>OK</v>
      </c>
      <c r="AK238">
        <v>27211.03</v>
      </c>
      <c r="AL238">
        <v>17940.43</v>
      </c>
      <c r="AM238">
        <v>9270.6</v>
      </c>
      <c r="AN238" t="s">
        <v>33</v>
      </c>
      <c r="AO238" t="str">
        <f t="shared" si="102"/>
        <v>PAID</v>
      </c>
      <c r="AP238" t="str">
        <f t="shared" si="111"/>
        <v>OK</v>
      </c>
      <c r="AQ238" t="s">
        <v>34</v>
      </c>
      <c r="AR238" t="str">
        <f t="shared" si="103"/>
        <v>COMPLETED</v>
      </c>
      <c r="AS238" t="str">
        <f t="shared" si="112"/>
        <v>OK</v>
      </c>
      <c r="AT238">
        <f t="shared" si="113"/>
        <v>27211.032000000003</v>
      </c>
      <c r="AU238">
        <f t="shared" si="114"/>
        <v>9270.6020000000026</v>
      </c>
      <c r="AV238" s="6">
        <f t="shared" si="115"/>
        <v>0.12336797810535083</v>
      </c>
      <c r="AW238" t="str">
        <f t="shared" si="116"/>
        <v>CLEAN</v>
      </c>
      <c r="AX238" s="10" t="str">
        <f t="shared" si="117"/>
        <v>MATCH</v>
      </c>
      <c r="AY238" t="str">
        <f t="shared" si="118"/>
        <v>MATCH</v>
      </c>
    </row>
    <row r="239" spans="1:51">
      <c r="A239" t="s">
        <v>2086</v>
      </c>
      <c r="B239">
        <f t="shared" si="94"/>
        <v>2</v>
      </c>
      <c r="C239" t="s">
        <v>2087</v>
      </c>
      <c r="D239" s="3">
        <v>45342</v>
      </c>
      <c r="E239" t="str">
        <f t="shared" si="95"/>
        <v>2024/02/20</v>
      </c>
      <c r="F239" t="str">
        <f t="shared" si="104"/>
        <v>February</v>
      </c>
      <c r="G239">
        <f t="shared" si="105"/>
        <v>2024</v>
      </c>
      <c r="H239" t="s">
        <v>2088</v>
      </c>
      <c r="I239" s="4">
        <v>45349</v>
      </c>
      <c r="J239" s="8">
        <f t="shared" si="96"/>
        <v>7</v>
      </c>
      <c r="K239" s="8" t="str">
        <f t="shared" si="106"/>
        <v>OK</v>
      </c>
      <c r="L239" t="s">
        <v>2089</v>
      </c>
      <c r="M239" t="s">
        <v>209</v>
      </c>
      <c r="N239" t="str">
        <f t="shared" si="97"/>
        <v>Diya Patel</v>
      </c>
      <c r="O239" t="s">
        <v>25</v>
      </c>
      <c r="P239" t="str">
        <f t="shared" si="121"/>
        <v>Consumer</v>
      </c>
      <c r="Q239" t="s">
        <v>61</v>
      </c>
      <c r="R239" t="str">
        <f t="shared" si="122"/>
        <v>South</v>
      </c>
      <c r="S239" t="str">
        <f t="shared" si="107"/>
        <v>OK</v>
      </c>
      <c r="T239" t="s">
        <v>241</v>
      </c>
      <c r="U239" t="str">
        <f t="shared" si="98"/>
        <v>Kerala</v>
      </c>
      <c r="V239" t="s">
        <v>242</v>
      </c>
      <c r="W239" t="str">
        <f t="shared" si="99"/>
        <v>Kochi</v>
      </c>
      <c r="X239" t="str">
        <f t="shared" si="100"/>
        <v>Technology</v>
      </c>
      <c r="Y239" t="s">
        <v>85</v>
      </c>
      <c r="Z239" t="s">
        <v>86</v>
      </c>
      <c r="AA239" t="str">
        <f t="shared" si="101"/>
        <v>Accessories</v>
      </c>
      <c r="AB239" t="s">
        <v>2090</v>
      </c>
      <c r="AC239" t="s">
        <v>2091</v>
      </c>
      <c r="AD239" t="str">
        <f t="shared" si="123"/>
        <v>First Class</v>
      </c>
      <c r="AE239" t="str">
        <f t="shared" si="108"/>
        <v>OK</v>
      </c>
      <c r="AF239">
        <v>9</v>
      </c>
      <c r="AG239">
        <v>3779.31</v>
      </c>
      <c r="AH239">
        <v>0.2</v>
      </c>
      <c r="AI239">
        <f t="shared" si="109"/>
        <v>0.2</v>
      </c>
      <c r="AJ239" t="str">
        <f t="shared" si="110"/>
        <v>OK</v>
      </c>
      <c r="AK239">
        <v>27322.9</v>
      </c>
      <c r="AL239">
        <v>17940.43</v>
      </c>
      <c r="AM239">
        <v>9270.6</v>
      </c>
      <c r="AN239" t="s">
        <v>33</v>
      </c>
      <c r="AO239" t="str">
        <f t="shared" si="102"/>
        <v>PAID</v>
      </c>
      <c r="AP239" t="str">
        <f t="shared" si="111"/>
        <v>OK</v>
      </c>
      <c r="AQ239" t="s">
        <v>124</v>
      </c>
      <c r="AR239" t="str">
        <f t="shared" si="103"/>
        <v>RETURNED</v>
      </c>
      <c r="AS239" t="str">
        <f t="shared" si="112"/>
        <v>RETURNED_ORDER</v>
      </c>
      <c r="AT239">
        <f t="shared" si="113"/>
        <v>27211.032000000003</v>
      </c>
      <c r="AU239">
        <f t="shared" si="114"/>
        <v>9270.6020000000026</v>
      </c>
      <c r="AV239" s="6">
        <f t="shared" si="115"/>
        <v>0.11825659533971368</v>
      </c>
      <c r="AW239" t="str">
        <f t="shared" si="116"/>
        <v>CLEAN</v>
      </c>
      <c r="AX239" s="10" t="str">
        <f t="shared" si="117"/>
        <v>MISMATCH</v>
      </c>
      <c r="AY239" t="str">
        <f t="shared" si="118"/>
        <v>MATCH</v>
      </c>
    </row>
    <row r="240" spans="1:51">
      <c r="A240" t="s">
        <v>2092</v>
      </c>
      <c r="B240">
        <f t="shared" si="94"/>
        <v>1</v>
      </c>
      <c r="C240" t="s">
        <v>2093</v>
      </c>
      <c r="D240" s="3">
        <v>45469</v>
      </c>
      <c r="E240" t="str">
        <f t="shared" si="95"/>
        <v>2024/06/26</v>
      </c>
      <c r="F240" t="str">
        <f t="shared" si="104"/>
        <v>June</v>
      </c>
      <c r="G240">
        <f t="shared" si="105"/>
        <v>2024</v>
      </c>
      <c r="H240" t="s">
        <v>2094</v>
      </c>
      <c r="I240" s="4">
        <v>45472</v>
      </c>
      <c r="J240" s="8">
        <f t="shared" si="96"/>
        <v>3</v>
      </c>
      <c r="K240" s="8" t="str">
        <f t="shared" si="106"/>
        <v>OK</v>
      </c>
      <c r="L240" t="s">
        <v>2095</v>
      </c>
      <c r="M240" t="s">
        <v>92</v>
      </c>
      <c r="N240" t="str">
        <f t="shared" si="97"/>
        <v>Neha Gupta</v>
      </c>
      <c r="O240" t="s">
        <v>107</v>
      </c>
      <c r="P240" t="str">
        <f t="shared" si="121"/>
        <v>Corporate</v>
      </c>
      <c r="Q240" t="s">
        <v>26</v>
      </c>
      <c r="R240" t="str">
        <f t="shared" si="122"/>
        <v>North</v>
      </c>
      <c r="S240" t="str">
        <f t="shared" si="107"/>
        <v>OK</v>
      </c>
      <c r="T240" t="s">
        <v>153</v>
      </c>
      <c r="U240" t="str">
        <f t="shared" si="98"/>
        <v>Punjab</v>
      </c>
      <c r="V240" t="s">
        <v>154</v>
      </c>
      <c r="W240" t="str">
        <f t="shared" si="99"/>
        <v>Ludhiana</v>
      </c>
      <c r="X240" t="str">
        <f t="shared" si="100"/>
        <v>Technology</v>
      </c>
      <c r="Y240" t="s">
        <v>85</v>
      </c>
      <c r="Z240" t="s">
        <v>222</v>
      </c>
      <c r="AA240" t="str">
        <f t="shared" si="101"/>
        <v>Phones</v>
      </c>
      <c r="AB240" t="s">
        <v>2096</v>
      </c>
      <c r="AC240" t="s">
        <v>66</v>
      </c>
      <c r="AD240" t="str">
        <f t="shared" si="123"/>
        <v>Standard Class</v>
      </c>
      <c r="AE240" t="str">
        <f t="shared" si="108"/>
        <v>OK</v>
      </c>
      <c r="AF240">
        <v>8</v>
      </c>
      <c r="AG240">
        <v>804.52</v>
      </c>
      <c r="AH240">
        <v>0</v>
      </c>
      <c r="AI240">
        <f t="shared" si="109"/>
        <v>0</v>
      </c>
      <c r="AJ240" t="str">
        <f t="shared" si="110"/>
        <v>OK</v>
      </c>
      <c r="AK240">
        <v>6436.16</v>
      </c>
      <c r="AL240">
        <v>4263.83</v>
      </c>
      <c r="AM240">
        <v>2172.33</v>
      </c>
      <c r="AN240" t="s">
        <v>33</v>
      </c>
      <c r="AO240" t="str">
        <f t="shared" si="102"/>
        <v>PAID</v>
      </c>
      <c r="AP240" t="str">
        <f t="shared" si="111"/>
        <v>OK</v>
      </c>
      <c r="AQ240" t="s">
        <v>34</v>
      </c>
      <c r="AR240" t="str">
        <f t="shared" si="103"/>
        <v>COMPLETED</v>
      </c>
      <c r="AS240" t="str">
        <f t="shared" si="112"/>
        <v>OK</v>
      </c>
      <c r="AT240">
        <f t="shared" si="113"/>
        <v>6436.16</v>
      </c>
      <c r="AU240">
        <f t="shared" si="114"/>
        <v>2172.33</v>
      </c>
      <c r="AV240" s="6">
        <f t="shared" si="115"/>
        <v>0.21360562820066628</v>
      </c>
      <c r="AW240" t="str">
        <f t="shared" si="116"/>
        <v>CLEAN</v>
      </c>
      <c r="AX240" s="10" t="str">
        <f t="shared" si="117"/>
        <v>MATCH</v>
      </c>
      <c r="AY240" t="str">
        <f t="shared" si="118"/>
        <v>MATCH</v>
      </c>
    </row>
    <row r="241" spans="1:51">
      <c r="A241" t="s">
        <v>2097</v>
      </c>
      <c r="B241">
        <f t="shared" si="94"/>
        <v>1</v>
      </c>
      <c r="C241" t="s">
        <v>2098</v>
      </c>
      <c r="D241" s="3">
        <v>45561</v>
      </c>
      <c r="E241" t="str">
        <f t="shared" si="95"/>
        <v>2024/09/26</v>
      </c>
      <c r="F241" t="str">
        <f t="shared" si="104"/>
        <v>September</v>
      </c>
      <c r="G241">
        <f t="shared" si="105"/>
        <v>2024</v>
      </c>
      <c r="H241" t="s">
        <v>2099</v>
      </c>
      <c r="I241" s="4">
        <v>45562</v>
      </c>
      <c r="J241" s="8">
        <f t="shared" si="96"/>
        <v>1</v>
      </c>
      <c r="K241" s="8" t="str">
        <f t="shared" si="106"/>
        <v>OK</v>
      </c>
      <c r="L241" t="s">
        <v>2100</v>
      </c>
      <c r="M241" t="s">
        <v>52</v>
      </c>
      <c r="N241" t="str">
        <f t="shared" si="97"/>
        <v>Isha Nair</v>
      </c>
      <c r="O241" t="s">
        <v>114</v>
      </c>
      <c r="P241" t="str">
        <f t="shared" si="121"/>
        <v>Home Office</v>
      </c>
      <c r="Q241" t="s">
        <v>26</v>
      </c>
      <c r="R241" t="str">
        <f t="shared" si="122"/>
        <v>North</v>
      </c>
      <c r="S241" t="str">
        <f t="shared" si="107"/>
        <v>OK</v>
      </c>
      <c r="T241" t="s">
        <v>505</v>
      </c>
      <c r="U241" t="str">
        <f t="shared" si="98"/>
        <v>Delhi</v>
      </c>
      <c r="V241" t="s">
        <v>506</v>
      </c>
      <c r="W241" t="str">
        <f t="shared" si="99"/>
        <v>New Delhi</v>
      </c>
      <c r="X241" t="str">
        <f t="shared" si="100"/>
        <v>Office Supplies</v>
      </c>
      <c r="Y241" t="s">
        <v>29</v>
      </c>
      <c r="Z241" t="s">
        <v>108</v>
      </c>
      <c r="AA241" t="str">
        <f t="shared" si="101"/>
        <v>Labels</v>
      </c>
      <c r="AB241" t="s">
        <v>2101</v>
      </c>
      <c r="AC241" t="s">
        <v>55</v>
      </c>
      <c r="AD241" t="str">
        <f t="shared" si="123"/>
        <v>First Class</v>
      </c>
      <c r="AE241" t="str">
        <f t="shared" si="108"/>
        <v>OK</v>
      </c>
      <c r="AF241">
        <v>2</v>
      </c>
      <c r="AG241">
        <v>1065.69</v>
      </c>
      <c r="AH241">
        <v>0.1</v>
      </c>
      <c r="AI241">
        <f t="shared" si="109"/>
        <v>0.1</v>
      </c>
      <c r="AJ241" t="str">
        <f t="shared" si="110"/>
        <v>OK</v>
      </c>
      <c r="AK241">
        <v>1918.24</v>
      </c>
      <c r="AL241">
        <v>1373.52</v>
      </c>
      <c r="AM241">
        <v>544.72</v>
      </c>
      <c r="AN241" t="s">
        <v>123</v>
      </c>
      <c r="AO241" t="str">
        <f t="shared" si="102"/>
        <v>REFUNDED</v>
      </c>
      <c r="AP241" t="str">
        <f t="shared" si="111"/>
        <v>REFUNDED_PAYMENT</v>
      </c>
      <c r="AQ241" t="s">
        <v>77</v>
      </c>
      <c r="AR241" t="str">
        <f t="shared" si="103"/>
        <v>CANCELLED</v>
      </c>
      <c r="AS241" t="str">
        <f t="shared" si="112"/>
        <v>EXCLUDE_FROM_SALES</v>
      </c>
      <c r="AT241">
        <f t="shared" si="113"/>
        <v>1918.2420000000002</v>
      </c>
      <c r="AU241">
        <f t="shared" si="114"/>
        <v>544.72200000000021</v>
      </c>
      <c r="AV241" s="6">
        <f t="shared" si="115"/>
        <v>0.33599201769119852</v>
      </c>
      <c r="AW241" t="str">
        <f t="shared" si="116"/>
        <v>CLEAN</v>
      </c>
      <c r="AX241" s="10" t="str">
        <f t="shared" si="117"/>
        <v>MATCH</v>
      </c>
      <c r="AY241" t="str">
        <f t="shared" si="118"/>
        <v>MATCH</v>
      </c>
    </row>
    <row r="242" spans="1:51">
      <c r="A242" t="s">
        <v>2102</v>
      </c>
      <c r="B242">
        <f t="shared" si="94"/>
        <v>1</v>
      </c>
      <c r="C242" t="s">
        <v>2103</v>
      </c>
      <c r="D242" s="3">
        <v>45473</v>
      </c>
      <c r="E242" t="str">
        <f t="shared" si="95"/>
        <v>2024/06/30</v>
      </c>
      <c r="F242" t="str">
        <f t="shared" si="104"/>
        <v>June</v>
      </c>
      <c r="G242">
        <f t="shared" si="105"/>
        <v>2024</v>
      </c>
      <c r="H242" t="s">
        <v>2104</v>
      </c>
      <c r="I242" s="4">
        <v>45298</v>
      </c>
      <c r="J242" s="8">
        <f t="shared" si="96"/>
        <v>-175</v>
      </c>
      <c r="K242" s="8" t="str">
        <f t="shared" si="106"/>
        <v>INVAILD_SHIPPING</v>
      </c>
      <c r="L242" t="s">
        <v>2105</v>
      </c>
      <c r="M242" t="s">
        <v>106</v>
      </c>
      <c r="N242" t="str">
        <f t="shared" si="97"/>
        <v>Aditi Sen</v>
      </c>
      <c r="O242" t="s">
        <v>25</v>
      </c>
      <c r="P242" t="str">
        <f t="shared" si="121"/>
        <v>Consumer</v>
      </c>
      <c r="Q242" t="s">
        <v>26</v>
      </c>
      <c r="R242" t="str">
        <f t="shared" si="122"/>
        <v>North</v>
      </c>
      <c r="S242" t="str">
        <f t="shared" si="107"/>
        <v>OK</v>
      </c>
      <c r="T242" t="s">
        <v>322</v>
      </c>
      <c r="U242" t="str">
        <f t="shared" si="98"/>
        <v>Haryana</v>
      </c>
      <c r="V242" t="s">
        <v>323</v>
      </c>
      <c r="W242" t="str">
        <f t="shared" si="99"/>
        <v>Gurugram</v>
      </c>
      <c r="X242" t="str">
        <f t="shared" si="100"/>
        <v>Technology</v>
      </c>
      <c r="Y242" t="s">
        <v>85</v>
      </c>
      <c r="Z242" t="s">
        <v>93</v>
      </c>
      <c r="AA242" t="str">
        <f t="shared" si="101"/>
        <v>Copiers</v>
      </c>
      <c r="AB242" t="s">
        <v>2106</v>
      </c>
      <c r="AC242" t="s">
        <v>47</v>
      </c>
      <c r="AD242" t="str">
        <f t="shared" si="123"/>
        <v>Same Day</v>
      </c>
      <c r="AE242" t="str">
        <f t="shared" si="108"/>
        <v>OK</v>
      </c>
      <c r="AF242">
        <v>8</v>
      </c>
      <c r="AG242">
        <v>3756.66</v>
      </c>
      <c r="AH242">
        <v>0.1</v>
      </c>
      <c r="AI242">
        <f t="shared" si="109"/>
        <v>0.1</v>
      </c>
      <c r="AJ242" t="str">
        <f t="shared" si="110"/>
        <v>OK</v>
      </c>
      <c r="AK242">
        <v>27047.95</v>
      </c>
      <c r="AL242">
        <v>18431.330000000002</v>
      </c>
      <c r="AM242">
        <v>8616.6200000000008</v>
      </c>
      <c r="AN242" t="s">
        <v>33</v>
      </c>
      <c r="AO242" t="str">
        <f t="shared" si="102"/>
        <v>PAID</v>
      </c>
      <c r="AP242" t="str">
        <f t="shared" si="111"/>
        <v>OK</v>
      </c>
      <c r="AQ242" t="s">
        <v>34</v>
      </c>
      <c r="AR242" t="str">
        <f t="shared" si="103"/>
        <v>COMPLETED</v>
      </c>
      <c r="AS242" t="str">
        <f t="shared" si="112"/>
        <v>OK</v>
      </c>
      <c r="AT242">
        <f t="shared" si="113"/>
        <v>27047.952000000001</v>
      </c>
      <c r="AU242">
        <f t="shared" si="114"/>
        <v>8616.6219999999994</v>
      </c>
      <c r="AV242" s="6">
        <f t="shared" si="115"/>
        <v>3.8422872090278781E-2</v>
      </c>
      <c r="AW242" t="str">
        <f t="shared" si="116"/>
        <v>CLEAN</v>
      </c>
      <c r="AX242" s="10" t="str">
        <f t="shared" si="117"/>
        <v>MATCH</v>
      </c>
      <c r="AY242" t="str">
        <f t="shared" si="118"/>
        <v>MATCH</v>
      </c>
    </row>
    <row r="243" spans="1:51">
      <c r="A243" t="s">
        <v>2122</v>
      </c>
      <c r="B243">
        <f t="shared" si="94"/>
        <v>1</v>
      </c>
      <c r="C243" t="s">
        <v>2123</v>
      </c>
      <c r="D243" s="2">
        <v>45534</v>
      </c>
      <c r="E243" t="str">
        <f t="shared" si="95"/>
        <v>2024/08/30</v>
      </c>
      <c r="F243" t="str">
        <f t="shared" si="104"/>
        <v>August</v>
      </c>
      <c r="G243">
        <f t="shared" si="105"/>
        <v>2024</v>
      </c>
      <c r="H243" t="s">
        <v>2124</v>
      </c>
      <c r="I243" s="4">
        <v>45331</v>
      </c>
      <c r="J243" s="8">
        <f t="shared" si="96"/>
        <v>-203</v>
      </c>
      <c r="K243" s="8" t="str">
        <f t="shared" si="106"/>
        <v>INVAILD_SHIPPING</v>
      </c>
      <c r="L243" t="s">
        <v>2125</v>
      </c>
      <c r="M243" t="s">
        <v>92</v>
      </c>
      <c r="N243" t="str">
        <f t="shared" si="97"/>
        <v>Neha Gupta</v>
      </c>
      <c r="O243" t="s">
        <v>40</v>
      </c>
      <c r="P243" t="str">
        <f t="shared" si="121"/>
        <v>Small Business</v>
      </c>
      <c r="Q243" t="s">
        <v>26</v>
      </c>
      <c r="R243" t="str">
        <f t="shared" si="122"/>
        <v>North</v>
      </c>
      <c r="S243" t="str">
        <f t="shared" si="107"/>
        <v>OK</v>
      </c>
      <c r="T243" t="s">
        <v>322</v>
      </c>
      <c r="U243" t="str">
        <f t="shared" si="98"/>
        <v>Haryana</v>
      </c>
      <c r="V243" t="s">
        <v>323</v>
      </c>
      <c r="W243" t="str">
        <f t="shared" si="99"/>
        <v>Gurugram</v>
      </c>
      <c r="X243" t="str">
        <f t="shared" si="100"/>
        <v>Office Supplies</v>
      </c>
      <c r="Y243" t="s">
        <v>29</v>
      </c>
      <c r="Z243" t="s">
        <v>30</v>
      </c>
      <c r="AA243" t="str">
        <f t="shared" si="101"/>
        <v>Paper</v>
      </c>
      <c r="AB243" t="s">
        <v>2126</v>
      </c>
      <c r="AC243" t="s">
        <v>32</v>
      </c>
      <c r="AD243" t="str">
        <f t="shared" si="123"/>
        <v>Second Class</v>
      </c>
      <c r="AE243" t="str">
        <f t="shared" si="108"/>
        <v>OK</v>
      </c>
      <c r="AF243">
        <v>1</v>
      </c>
      <c r="AG243">
        <v>4320.84</v>
      </c>
      <c r="AH243">
        <v>0.15</v>
      </c>
      <c r="AI243">
        <f t="shared" si="109"/>
        <v>0.15</v>
      </c>
      <c r="AJ243" t="str">
        <f t="shared" si="110"/>
        <v>OK</v>
      </c>
      <c r="AK243">
        <v>3672.71</v>
      </c>
      <c r="AL243">
        <v>2714.23</v>
      </c>
      <c r="AM243">
        <v>763.38</v>
      </c>
      <c r="AN243" t="s">
        <v>33</v>
      </c>
      <c r="AO243" t="str">
        <f t="shared" si="102"/>
        <v>PAID</v>
      </c>
      <c r="AP243" t="str">
        <f t="shared" si="111"/>
        <v>OK</v>
      </c>
      <c r="AQ243" t="s">
        <v>34</v>
      </c>
      <c r="AR243" t="str">
        <f t="shared" si="103"/>
        <v>COMPLETED</v>
      </c>
      <c r="AS243" t="str">
        <f t="shared" si="112"/>
        <v>OK</v>
      </c>
      <c r="AT243">
        <f t="shared" si="113"/>
        <v>3672.7139999999999</v>
      </c>
      <c r="AU243">
        <f t="shared" si="114"/>
        <v>958.48399999999992</v>
      </c>
      <c r="AV243" s="6">
        <f t="shared" si="115"/>
        <v>1.1862159699884067</v>
      </c>
      <c r="AW243" t="str">
        <f t="shared" si="116"/>
        <v>CLEAN</v>
      </c>
      <c r="AX243" s="10" t="str">
        <f t="shared" si="117"/>
        <v>MATCH</v>
      </c>
      <c r="AY243" t="str">
        <f t="shared" si="118"/>
        <v>MISMATCH</v>
      </c>
    </row>
    <row r="244" spans="1:51">
      <c r="A244" t="s">
        <v>2127</v>
      </c>
      <c r="B244">
        <f t="shared" si="94"/>
        <v>1</v>
      </c>
      <c r="C244" t="s">
        <v>2128</v>
      </c>
      <c r="D244" s="2">
        <v>45567</v>
      </c>
      <c r="E244" t="str">
        <f t="shared" si="95"/>
        <v>2024/10/02</v>
      </c>
      <c r="F244" t="str">
        <f t="shared" si="104"/>
        <v>October</v>
      </c>
      <c r="G244">
        <f t="shared" si="105"/>
        <v>2024</v>
      </c>
      <c r="H244" t="s">
        <v>2129</v>
      </c>
      <c r="I244" s="4">
        <v>45335</v>
      </c>
      <c r="J244" s="8">
        <f t="shared" si="96"/>
        <v>-232</v>
      </c>
      <c r="K244" s="8" t="str">
        <f t="shared" si="106"/>
        <v>INVAILD_SHIPPING</v>
      </c>
      <c r="L244" t="s">
        <v>2130</v>
      </c>
      <c r="M244" t="s">
        <v>24</v>
      </c>
      <c r="N244" t="str">
        <f t="shared" si="97"/>
        <v>Karan Malhotra</v>
      </c>
      <c r="O244" t="s">
        <v>114</v>
      </c>
      <c r="P244" t="str">
        <f t="shared" si="121"/>
        <v>Home Office</v>
      </c>
      <c r="Q244" t="s">
        <v>72</v>
      </c>
      <c r="R244" t="str">
        <f t="shared" si="122"/>
        <v>West</v>
      </c>
      <c r="S244" t="str">
        <f t="shared" si="107"/>
        <v>OK</v>
      </c>
      <c r="T244" t="s">
        <v>248</v>
      </c>
      <c r="U244" t="str">
        <f t="shared" si="98"/>
        <v>Goa</v>
      </c>
      <c r="V244" t="s">
        <v>249</v>
      </c>
      <c r="W244" t="str">
        <f t="shared" si="99"/>
        <v>Panaji</v>
      </c>
      <c r="X244" t="str">
        <f t="shared" si="100"/>
        <v>Technology</v>
      </c>
      <c r="Y244" t="s">
        <v>85</v>
      </c>
      <c r="Z244" t="s">
        <v>381</v>
      </c>
      <c r="AA244" t="str">
        <f t="shared" si="101"/>
        <v>Machines</v>
      </c>
      <c r="AB244" t="s">
        <v>2131</v>
      </c>
      <c r="AC244" t="s">
        <v>47</v>
      </c>
      <c r="AD244" t="str">
        <f t="shared" si="123"/>
        <v>Same Day</v>
      </c>
      <c r="AE244" t="str">
        <f t="shared" si="108"/>
        <v>OK</v>
      </c>
      <c r="AF244">
        <v>2</v>
      </c>
      <c r="AG244">
        <v>4118.45</v>
      </c>
      <c r="AH244">
        <v>0.25</v>
      </c>
      <c r="AI244">
        <f t="shared" si="109"/>
        <v>0.25</v>
      </c>
      <c r="AJ244" t="str">
        <f t="shared" si="110"/>
        <v>OK</v>
      </c>
      <c r="AK244">
        <v>6177.67</v>
      </c>
      <c r="AL244">
        <v>4520.75</v>
      </c>
      <c r="AM244">
        <v>1656.92</v>
      </c>
      <c r="AN244" t="s">
        <v>33</v>
      </c>
      <c r="AO244" t="str">
        <f t="shared" si="102"/>
        <v>PAID</v>
      </c>
      <c r="AP244" t="str">
        <f t="shared" si="111"/>
        <v>OK</v>
      </c>
      <c r="AQ244" t="s">
        <v>34</v>
      </c>
      <c r="AR244" t="str">
        <f t="shared" si="103"/>
        <v>COMPLETED</v>
      </c>
      <c r="AS244" t="str">
        <f t="shared" si="112"/>
        <v>OK</v>
      </c>
      <c r="AT244">
        <f t="shared" si="113"/>
        <v>6177.6749999999993</v>
      </c>
      <c r="AU244">
        <f t="shared" si="114"/>
        <v>1656.9249999999993</v>
      </c>
      <c r="AV244" s="6">
        <f t="shared" si="115"/>
        <v>0.62253598643502628</v>
      </c>
      <c r="AW244" t="str">
        <f t="shared" si="116"/>
        <v>CLEAN</v>
      </c>
      <c r="AX244" s="10" t="str">
        <f t="shared" si="117"/>
        <v>MISMATCH</v>
      </c>
      <c r="AY244" t="str">
        <f t="shared" si="118"/>
        <v>MISMATCH</v>
      </c>
    </row>
    <row r="245" spans="1:51">
      <c r="A245" t="s">
        <v>2132</v>
      </c>
      <c r="B245">
        <f t="shared" si="94"/>
        <v>1</v>
      </c>
      <c r="C245" t="s">
        <v>1949</v>
      </c>
      <c r="D245" s="3">
        <v>45533</v>
      </c>
      <c r="E245" t="str">
        <f t="shared" si="95"/>
        <v>2024/08/29</v>
      </c>
      <c r="F245" t="str">
        <f t="shared" si="104"/>
        <v>August</v>
      </c>
      <c r="G245">
        <f t="shared" si="105"/>
        <v>2024</v>
      </c>
      <c r="H245" t="s">
        <v>2124</v>
      </c>
      <c r="I245" s="4">
        <v>45331</v>
      </c>
      <c r="J245" s="8">
        <f t="shared" si="96"/>
        <v>-202</v>
      </c>
      <c r="K245" s="8" t="str">
        <f t="shared" si="106"/>
        <v>INVAILD_SHIPPING</v>
      </c>
      <c r="L245" t="s">
        <v>2133</v>
      </c>
      <c r="M245" t="s">
        <v>141</v>
      </c>
      <c r="N245" t="str">
        <f t="shared" si="97"/>
        <v>Priya Menon</v>
      </c>
      <c r="O245" t="s">
        <v>40</v>
      </c>
      <c r="P245" t="str">
        <f t="shared" si="121"/>
        <v>Small Business</v>
      </c>
      <c r="Q245" t="s">
        <v>72</v>
      </c>
      <c r="R245" t="str">
        <f t="shared" si="122"/>
        <v>West</v>
      </c>
      <c r="S245" t="str">
        <f t="shared" si="107"/>
        <v>OK</v>
      </c>
      <c r="T245" t="s">
        <v>73</v>
      </c>
      <c r="U245" t="str">
        <f t="shared" si="98"/>
        <v>Maharashtra</v>
      </c>
      <c r="V245" t="s">
        <v>74</v>
      </c>
      <c r="W245" t="str">
        <f t="shared" si="99"/>
        <v>Mumbai</v>
      </c>
      <c r="X245" t="str">
        <f t="shared" si="100"/>
        <v>Furniture</v>
      </c>
      <c r="Y245" t="s">
        <v>44</v>
      </c>
      <c r="Z245" t="s">
        <v>203</v>
      </c>
      <c r="AA245" t="str">
        <f t="shared" si="101"/>
        <v>Bookcases</v>
      </c>
      <c r="AB245" t="s">
        <v>2134</v>
      </c>
      <c r="AC245" t="s">
        <v>66</v>
      </c>
      <c r="AD245" t="str">
        <f t="shared" si="123"/>
        <v>Standard Class</v>
      </c>
      <c r="AE245" t="str">
        <f t="shared" si="108"/>
        <v>OK</v>
      </c>
      <c r="AF245">
        <v>6</v>
      </c>
      <c r="AG245">
        <v>172.82</v>
      </c>
      <c r="AH245">
        <v>0.05</v>
      </c>
      <c r="AI245">
        <f t="shared" si="109"/>
        <v>0.05</v>
      </c>
      <c r="AJ245" t="str">
        <f t="shared" si="110"/>
        <v>OK</v>
      </c>
      <c r="AK245">
        <v>985.07</v>
      </c>
      <c r="AL245">
        <v>844.48</v>
      </c>
      <c r="AM245">
        <v>140.59</v>
      </c>
      <c r="AN245" t="s">
        <v>33</v>
      </c>
      <c r="AO245" t="str">
        <f t="shared" si="102"/>
        <v>PAID</v>
      </c>
      <c r="AP245" t="str">
        <f t="shared" si="111"/>
        <v>OK</v>
      </c>
      <c r="AQ245" t="s">
        <v>34</v>
      </c>
      <c r="AR245" t="str">
        <f t="shared" si="103"/>
        <v>COMPLETED</v>
      </c>
      <c r="AS245" t="str">
        <f t="shared" si="112"/>
        <v>OK</v>
      </c>
      <c r="AT245">
        <f t="shared" si="113"/>
        <v>985.07400000000007</v>
      </c>
      <c r="AU245">
        <f t="shared" si="114"/>
        <v>140.59400000000005</v>
      </c>
      <c r="AV245" s="6">
        <f t="shared" si="115"/>
        <v>0.53839813049578056</v>
      </c>
      <c r="AW245" t="str">
        <f t="shared" si="116"/>
        <v>CLEAN</v>
      </c>
      <c r="AX245" s="10" t="str">
        <f t="shared" si="117"/>
        <v>MATCH</v>
      </c>
      <c r="AY245" t="str">
        <f t="shared" si="118"/>
        <v>MATCH</v>
      </c>
    </row>
    <row r="246" spans="1:51">
      <c r="A246" t="s">
        <v>2135</v>
      </c>
      <c r="B246">
        <f t="shared" si="94"/>
        <v>1</v>
      </c>
      <c r="C246" t="s">
        <v>2136</v>
      </c>
      <c r="D246" s="3">
        <v>45401</v>
      </c>
      <c r="E246" t="str">
        <f t="shared" si="95"/>
        <v>2024/04/19</v>
      </c>
      <c r="F246" t="str">
        <f t="shared" si="104"/>
        <v>April</v>
      </c>
      <c r="G246">
        <f t="shared" si="105"/>
        <v>2024</v>
      </c>
      <c r="H246" t="s">
        <v>2137</v>
      </c>
      <c r="I246" s="4">
        <v>45402</v>
      </c>
      <c r="J246" s="8">
        <f t="shared" si="96"/>
        <v>1</v>
      </c>
      <c r="K246" s="8" t="str">
        <f t="shared" si="106"/>
        <v>OK</v>
      </c>
      <c r="L246" t="s">
        <v>2138</v>
      </c>
      <c r="M246" t="s">
        <v>141</v>
      </c>
      <c r="N246" t="str">
        <f t="shared" si="97"/>
        <v>Priya Menon</v>
      </c>
      <c r="O246" t="s">
        <v>107</v>
      </c>
      <c r="P246" t="str">
        <f t="shared" si="121"/>
        <v>Corporate</v>
      </c>
      <c r="Q246" t="s">
        <v>61</v>
      </c>
      <c r="R246" t="str">
        <f t="shared" si="122"/>
        <v>South</v>
      </c>
      <c r="S246" t="str">
        <f t="shared" si="107"/>
        <v>OK</v>
      </c>
      <c r="T246" t="s">
        <v>241</v>
      </c>
      <c r="U246" t="str">
        <f t="shared" si="98"/>
        <v>Kerala</v>
      </c>
      <c r="V246" t="s">
        <v>242</v>
      </c>
      <c r="W246" t="str">
        <f t="shared" si="99"/>
        <v>Kochi</v>
      </c>
      <c r="X246" t="str">
        <f t="shared" si="100"/>
        <v>Office Supplies</v>
      </c>
      <c r="Y246" t="s">
        <v>29</v>
      </c>
      <c r="Z246" t="s">
        <v>53</v>
      </c>
      <c r="AA246" t="str">
        <f t="shared" si="101"/>
        <v>Art</v>
      </c>
      <c r="AB246" t="s">
        <v>2139</v>
      </c>
      <c r="AC246" t="s">
        <v>32</v>
      </c>
      <c r="AD246" t="str">
        <f t="shared" si="123"/>
        <v>Second Class</v>
      </c>
      <c r="AE246" t="str">
        <f t="shared" si="108"/>
        <v>OK</v>
      </c>
      <c r="AF246">
        <v>4</v>
      </c>
      <c r="AG246">
        <v>1540.22</v>
      </c>
      <c r="AH246">
        <v>0</v>
      </c>
      <c r="AI246">
        <f t="shared" si="109"/>
        <v>0</v>
      </c>
      <c r="AJ246" t="str">
        <f t="shared" si="110"/>
        <v>OK</v>
      </c>
      <c r="AK246">
        <v>6160.88</v>
      </c>
      <c r="AL246">
        <v>4938.7</v>
      </c>
      <c r="AM246">
        <v>1222.18</v>
      </c>
      <c r="AN246" t="s">
        <v>123</v>
      </c>
      <c r="AO246" t="str">
        <f t="shared" si="102"/>
        <v>REFUNDED</v>
      </c>
      <c r="AP246" t="str">
        <f t="shared" si="111"/>
        <v>REFUNDED_PAYMENT</v>
      </c>
      <c r="AQ246" t="s">
        <v>124</v>
      </c>
      <c r="AR246" t="str">
        <f t="shared" si="103"/>
        <v>RETURNED</v>
      </c>
      <c r="AS246" t="str">
        <f t="shared" si="112"/>
        <v>RETURNED_ORDER</v>
      </c>
      <c r="AT246">
        <f t="shared" si="113"/>
        <v>6160.88</v>
      </c>
      <c r="AU246">
        <f t="shared" si="114"/>
        <v>1222.1800000000003</v>
      </c>
      <c r="AV246" s="6">
        <f t="shared" si="115"/>
        <v>0.42424751009596035</v>
      </c>
      <c r="AW246" t="str">
        <f t="shared" si="116"/>
        <v>CLEAN</v>
      </c>
      <c r="AX246" s="10" t="str">
        <f t="shared" si="117"/>
        <v>MATCH</v>
      </c>
      <c r="AY246" t="str">
        <f t="shared" si="118"/>
        <v>MATCH</v>
      </c>
    </row>
    <row r="247" spans="1:51">
      <c r="A247" t="s">
        <v>2149</v>
      </c>
      <c r="B247">
        <f t="shared" si="94"/>
        <v>1</v>
      </c>
      <c r="C247" t="s">
        <v>2150</v>
      </c>
      <c r="D247" s="2">
        <v>45459</v>
      </c>
      <c r="E247" t="str">
        <f t="shared" si="95"/>
        <v>2024/06/16</v>
      </c>
      <c r="F247" t="str">
        <f t="shared" si="104"/>
        <v>June</v>
      </c>
      <c r="G247">
        <f t="shared" si="105"/>
        <v>2024</v>
      </c>
      <c r="H247" t="s">
        <v>2151</v>
      </c>
      <c r="I247" s="4">
        <v>45464</v>
      </c>
      <c r="J247" s="8">
        <f t="shared" si="96"/>
        <v>5</v>
      </c>
      <c r="K247" s="8" t="str">
        <f t="shared" si="106"/>
        <v>OK</v>
      </c>
      <c r="L247" t="s">
        <v>2152</v>
      </c>
      <c r="M247" t="s">
        <v>92</v>
      </c>
      <c r="N247" t="str">
        <f t="shared" si="97"/>
        <v>Neha Gupta</v>
      </c>
      <c r="O247" t="s">
        <v>25</v>
      </c>
      <c r="P247" t="str">
        <f t="shared" si="121"/>
        <v>Consumer</v>
      </c>
      <c r="Q247" t="s">
        <v>61</v>
      </c>
      <c r="R247" t="str">
        <f t="shared" si="122"/>
        <v>South</v>
      </c>
      <c r="S247" t="str">
        <f t="shared" si="107"/>
        <v>OK</v>
      </c>
      <c r="T247" t="s">
        <v>241</v>
      </c>
      <c r="U247" t="str">
        <f t="shared" si="98"/>
        <v>Kerala</v>
      </c>
      <c r="V247" t="s">
        <v>242</v>
      </c>
      <c r="W247" t="str">
        <f t="shared" si="99"/>
        <v>Kochi</v>
      </c>
      <c r="X247" t="str">
        <f t="shared" si="100"/>
        <v>Furniture</v>
      </c>
      <c r="Y247" t="s">
        <v>44</v>
      </c>
      <c r="Z247" t="s">
        <v>64</v>
      </c>
      <c r="AA247" t="str">
        <f t="shared" si="101"/>
        <v>Furnishings</v>
      </c>
      <c r="AB247" t="s">
        <v>2153</v>
      </c>
      <c r="AC247" t="s">
        <v>47</v>
      </c>
      <c r="AD247" t="str">
        <f t="shared" si="123"/>
        <v>Same Day</v>
      </c>
      <c r="AE247" t="str">
        <f t="shared" si="108"/>
        <v>OK</v>
      </c>
      <c r="AF247">
        <v>6</v>
      </c>
      <c r="AG247">
        <v>1156.78</v>
      </c>
      <c r="AH247">
        <v>0.05</v>
      </c>
      <c r="AI247">
        <f t="shared" si="109"/>
        <v>0.05</v>
      </c>
      <c r="AJ247" t="str">
        <f t="shared" si="110"/>
        <v>OK</v>
      </c>
      <c r="AK247">
        <v>6593.65</v>
      </c>
      <c r="AL247">
        <v>4359.3900000000003</v>
      </c>
      <c r="AM247">
        <v>2234.2600000000002</v>
      </c>
      <c r="AN247" t="s">
        <v>33</v>
      </c>
      <c r="AO247" t="str">
        <f t="shared" si="102"/>
        <v>PAID</v>
      </c>
      <c r="AP247" t="str">
        <f t="shared" si="111"/>
        <v>OK</v>
      </c>
      <c r="AQ247" t="s">
        <v>124</v>
      </c>
      <c r="AR247" t="str">
        <f t="shared" si="103"/>
        <v>RETURNED</v>
      </c>
      <c r="AS247" t="str">
        <f t="shared" si="112"/>
        <v>RETURNED_ORDER</v>
      </c>
      <c r="AT247">
        <f t="shared" si="113"/>
        <v>6593.6459999999997</v>
      </c>
      <c r="AU247">
        <f t="shared" si="114"/>
        <v>2234.2559999999994</v>
      </c>
      <c r="AV247" s="6">
        <f t="shared" si="115"/>
        <v>0.27417986952893747</v>
      </c>
      <c r="AW247" t="str">
        <f t="shared" si="116"/>
        <v>CLEAN</v>
      </c>
      <c r="AX247" s="10" t="str">
        <f t="shared" si="117"/>
        <v>MATCH</v>
      </c>
      <c r="AY247" t="str">
        <f t="shared" si="118"/>
        <v>MATCH</v>
      </c>
    </row>
    <row r="248" spans="1:51">
      <c r="A248" t="s">
        <v>2154</v>
      </c>
      <c r="B248">
        <f t="shared" si="94"/>
        <v>1</v>
      </c>
      <c r="C248" t="s">
        <v>2155</v>
      </c>
      <c r="D248" s="3">
        <v>45337</v>
      </c>
      <c r="E248" t="str">
        <f t="shared" si="95"/>
        <v>2024/02/15</v>
      </c>
      <c r="F248" t="str">
        <f t="shared" si="104"/>
        <v>February</v>
      </c>
      <c r="G248">
        <f t="shared" si="105"/>
        <v>2024</v>
      </c>
      <c r="H248" t="s">
        <v>2156</v>
      </c>
      <c r="I248" s="4">
        <v>45340</v>
      </c>
      <c r="J248" s="8">
        <f t="shared" si="96"/>
        <v>3</v>
      </c>
      <c r="K248" s="8" t="str">
        <f t="shared" si="106"/>
        <v>OK</v>
      </c>
      <c r="L248" t="s">
        <v>2157</v>
      </c>
      <c r="M248" t="s">
        <v>106</v>
      </c>
      <c r="N248" t="str">
        <f t="shared" si="97"/>
        <v>Aditi Sen</v>
      </c>
      <c r="O248" t="s">
        <v>40</v>
      </c>
      <c r="P248" t="str">
        <f t="shared" si="121"/>
        <v>Small Business</v>
      </c>
      <c r="Q248" t="s">
        <v>61</v>
      </c>
      <c r="R248" t="str">
        <f t="shared" si="122"/>
        <v>South</v>
      </c>
      <c r="S248" t="str">
        <f t="shared" si="107"/>
        <v>OK</v>
      </c>
      <c r="T248" t="s">
        <v>241</v>
      </c>
      <c r="U248" t="str">
        <f t="shared" si="98"/>
        <v>Kerala</v>
      </c>
      <c r="V248" t="s">
        <v>242</v>
      </c>
      <c r="W248" t="str">
        <f t="shared" si="99"/>
        <v>Kochi</v>
      </c>
      <c r="X248" t="str">
        <f t="shared" si="100"/>
        <v>Technology</v>
      </c>
      <c r="Y248" t="s">
        <v>85</v>
      </c>
      <c r="Z248" t="s">
        <v>86</v>
      </c>
      <c r="AA248" t="str">
        <f t="shared" si="101"/>
        <v>Accessories</v>
      </c>
      <c r="AB248" t="s">
        <v>2158</v>
      </c>
      <c r="AC248" t="s">
        <v>47</v>
      </c>
      <c r="AD248" t="str">
        <f t="shared" si="123"/>
        <v>Same Day</v>
      </c>
      <c r="AE248" t="str">
        <f t="shared" si="108"/>
        <v>OK</v>
      </c>
      <c r="AF248">
        <v>8</v>
      </c>
      <c r="AG248">
        <v>379.82</v>
      </c>
      <c r="AH248">
        <v>0.05</v>
      </c>
      <c r="AI248">
        <f t="shared" si="109"/>
        <v>0.05</v>
      </c>
      <c r="AJ248" t="str">
        <f t="shared" si="110"/>
        <v>OK</v>
      </c>
      <c r="AK248">
        <v>2886.63</v>
      </c>
      <c r="AL248">
        <v>1588.23</v>
      </c>
      <c r="AM248">
        <v>1298.4000000000001</v>
      </c>
      <c r="AN248" t="s">
        <v>199</v>
      </c>
      <c r="AO248" t="str">
        <f t="shared" si="102"/>
        <v>FAILED</v>
      </c>
      <c r="AP248" t="str">
        <f t="shared" si="111"/>
        <v>EXCLUDE_FROM_SALES</v>
      </c>
      <c r="AQ248" t="s">
        <v>124</v>
      </c>
      <c r="AR248" t="str">
        <f t="shared" si="103"/>
        <v>RETURNED</v>
      </c>
      <c r="AS248" t="str">
        <f t="shared" si="112"/>
        <v>RETURNED_ORDER</v>
      </c>
      <c r="AT248">
        <f t="shared" si="113"/>
        <v>2886.6319999999996</v>
      </c>
      <c r="AU248">
        <f t="shared" si="114"/>
        <v>1298.4019999999996</v>
      </c>
      <c r="AV248" s="6">
        <f t="shared" si="115"/>
        <v>0.25982182695958467</v>
      </c>
      <c r="AW248" t="str">
        <f t="shared" si="116"/>
        <v>CLEAN</v>
      </c>
      <c r="AX248" s="10" t="str">
        <f t="shared" si="117"/>
        <v>MATCH</v>
      </c>
      <c r="AY248" t="str">
        <f t="shared" si="118"/>
        <v>MATCH</v>
      </c>
    </row>
    <row r="249" spans="1:51">
      <c r="A249" t="s">
        <v>2168</v>
      </c>
      <c r="B249">
        <f t="shared" si="94"/>
        <v>1</v>
      </c>
      <c r="C249" t="s">
        <v>2169</v>
      </c>
      <c r="D249" s="3">
        <v>45326</v>
      </c>
      <c r="E249" t="str">
        <f t="shared" si="95"/>
        <v>2024/02/04</v>
      </c>
      <c r="F249" t="str">
        <f t="shared" si="104"/>
        <v>February</v>
      </c>
      <c r="G249">
        <f t="shared" si="105"/>
        <v>2024</v>
      </c>
      <c r="H249" t="s">
        <v>2170</v>
      </c>
      <c r="I249" s="4">
        <v>45390</v>
      </c>
      <c r="J249" s="8">
        <f t="shared" si="96"/>
        <v>64</v>
      </c>
      <c r="K249" s="8" t="str">
        <f t="shared" si="106"/>
        <v>OK</v>
      </c>
      <c r="L249" t="s">
        <v>375</v>
      </c>
      <c r="M249" t="s">
        <v>82</v>
      </c>
      <c r="N249" t="str">
        <f t="shared" si="97"/>
        <v>Vikram Iyer</v>
      </c>
      <c r="O249" t="s">
        <v>107</v>
      </c>
      <c r="P249" t="str">
        <f t="shared" si="121"/>
        <v>Corporate</v>
      </c>
      <c r="Q249" t="s">
        <v>41</v>
      </c>
      <c r="R249" t="str">
        <f t="shared" si="122"/>
        <v>East</v>
      </c>
      <c r="S249" t="str">
        <f t="shared" si="107"/>
        <v>OK</v>
      </c>
      <c r="T249" t="s">
        <v>42</v>
      </c>
      <c r="U249" t="str">
        <f t="shared" si="98"/>
        <v>Odisha</v>
      </c>
      <c r="V249" t="s">
        <v>43</v>
      </c>
      <c r="W249" t="str">
        <f t="shared" si="99"/>
        <v>Bhubaneswar</v>
      </c>
      <c r="X249" t="str">
        <f t="shared" si="100"/>
        <v>Technology</v>
      </c>
      <c r="Y249" t="s">
        <v>85</v>
      </c>
      <c r="Z249" t="s">
        <v>381</v>
      </c>
      <c r="AA249" t="str">
        <f t="shared" si="101"/>
        <v>Machines</v>
      </c>
      <c r="AB249" t="s">
        <v>2171</v>
      </c>
      <c r="AC249" t="s">
        <v>32</v>
      </c>
      <c r="AD249" t="str">
        <f t="shared" si="123"/>
        <v>Second Class</v>
      </c>
      <c r="AE249" t="str">
        <f t="shared" si="108"/>
        <v>OK</v>
      </c>
      <c r="AF249">
        <v>6</v>
      </c>
      <c r="AG249">
        <v>3722.84</v>
      </c>
      <c r="AH249">
        <v>0.2</v>
      </c>
      <c r="AI249">
        <f t="shared" si="109"/>
        <v>0.2</v>
      </c>
      <c r="AJ249" t="str">
        <f t="shared" si="110"/>
        <v>OK</v>
      </c>
      <c r="AK249">
        <v>17869.63</v>
      </c>
      <c r="AL249">
        <v>12163.8</v>
      </c>
      <c r="AM249">
        <v>5705.83</v>
      </c>
      <c r="AN249" t="s">
        <v>33</v>
      </c>
      <c r="AO249" t="str">
        <f t="shared" si="102"/>
        <v>PAID</v>
      </c>
      <c r="AP249" t="str">
        <f t="shared" si="111"/>
        <v>OK</v>
      </c>
      <c r="AQ249" t="s">
        <v>34</v>
      </c>
      <c r="AR249" t="str">
        <f t="shared" si="103"/>
        <v>COMPLETED</v>
      </c>
      <c r="AS249" t="str">
        <f t="shared" si="112"/>
        <v>OK</v>
      </c>
      <c r="AT249">
        <f t="shared" si="113"/>
        <v>17869.632000000001</v>
      </c>
      <c r="AU249">
        <f t="shared" si="114"/>
        <v>5705.8320000000022</v>
      </c>
      <c r="AV249" s="6">
        <f t="shared" si="115"/>
        <v>2.0413403029228578E-2</v>
      </c>
      <c r="AW249" t="str">
        <f t="shared" si="116"/>
        <v>CLEAN</v>
      </c>
      <c r="AX249" s="10" t="str">
        <f t="shared" si="117"/>
        <v>MATCH</v>
      </c>
      <c r="AY249" t="str">
        <f t="shared" si="118"/>
        <v>MATCH</v>
      </c>
    </row>
    <row r="250" spans="1:51">
      <c r="A250" t="s">
        <v>2172</v>
      </c>
      <c r="B250">
        <f t="shared" si="94"/>
        <v>1</v>
      </c>
      <c r="C250" t="s">
        <v>2173</v>
      </c>
      <c r="D250" s="3">
        <v>45568</v>
      </c>
      <c r="E250" t="str">
        <f t="shared" si="95"/>
        <v>2024/10/03</v>
      </c>
      <c r="F250" t="str">
        <f t="shared" si="104"/>
        <v>October</v>
      </c>
      <c r="G250">
        <f t="shared" si="105"/>
        <v>2024</v>
      </c>
      <c r="H250" t="s">
        <v>524</v>
      </c>
      <c r="I250" s="4">
        <v>45568</v>
      </c>
      <c r="J250" s="8">
        <f t="shared" si="96"/>
        <v>0</v>
      </c>
      <c r="K250" s="8" t="str">
        <f t="shared" si="106"/>
        <v>OK</v>
      </c>
      <c r="L250" t="s">
        <v>2174</v>
      </c>
      <c r="M250" t="s">
        <v>24</v>
      </c>
      <c r="N250" t="str">
        <f t="shared" si="97"/>
        <v>Karan Malhotra</v>
      </c>
      <c r="O250" t="s">
        <v>25</v>
      </c>
      <c r="P250" t="str">
        <f t="shared" si="121"/>
        <v>Consumer</v>
      </c>
      <c r="Q250" t="s">
        <v>41</v>
      </c>
      <c r="R250" t="str">
        <f t="shared" si="122"/>
        <v>East</v>
      </c>
      <c r="S250" t="str">
        <f t="shared" si="107"/>
        <v>OK</v>
      </c>
      <c r="T250" t="s">
        <v>185</v>
      </c>
      <c r="U250" t="str">
        <f t="shared" si="98"/>
        <v>Bihar</v>
      </c>
      <c r="V250" t="s">
        <v>186</v>
      </c>
      <c r="W250" t="str">
        <f t="shared" si="99"/>
        <v>Patna</v>
      </c>
      <c r="X250" t="str">
        <f t="shared" si="100"/>
        <v>Furniture</v>
      </c>
      <c r="Y250" t="s">
        <v>44</v>
      </c>
      <c r="Z250" t="s">
        <v>203</v>
      </c>
      <c r="AA250" t="str">
        <f t="shared" si="101"/>
        <v>Bookcases</v>
      </c>
      <c r="AB250" t="s">
        <v>2175</v>
      </c>
      <c r="AC250" t="s">
        <v>66</v>
      </c>
      <c r="AD250" t="str">
        <f t="shared" si="123"/>
        <v>Standard Class</v>
      </c>
      <c r="AE250" t="str">
        <f t="shared" si="108"/>
        <v>OK</v>
      </c>
      <c r="AF250">
        <v>6</v>
      </c>
      <c r="AG250">
        <v>4217.49</v>
      </c>
      <c r="AH250">
        <v>0</v>
      </c>
      <c r="AI250">
        <f t="shared" si="109"/>
        <v>0</v>
      </c>
      <c r="AJ250" t="str">
        <f t="shared" si="110"/>
        <v>OK</v>
      </c>
      <c r="AK250">
        <v>25304.94</v>
      </c>
      <c r="AL250">
        <v>20771.95</v>
      </c>
      <c r="AM250">
        <v>4532.99</v>
      </c>
      <c r="AN250" t="s">
        <v>33</v>
      </c>
      <c r="AO250" t="str">
        <f t="shared" si="102"/>
        <v>PAID</v>
      </c>
      <c r="AP250" t="str">
        <f t="shared" si="111"/>
        <v>OK</v>
      </c>
      <c r="AQ250" t="s">
        <v>77</v>
      </c>
      <c r="AR250" t="str">
        <f t="shared" si="103"/>
        <v>CANCELLED</v>
      </c>
      <c r="AS250" t="str">
        <f t="shared" si="112"/>
        <v>EXCLUDE_FROM_SALES</v>
      </c>
      <c r="AT250">
        <f t="shared" si="113"/>
        <v>25304.94</v>
      </c>
      <c r="AU250">
        <f t="shared" si="114"/>
        <v>4532.989999999998</v>
      </c>
      <c r="AV250" s="6">
        <f t="shared" si="115"/>
        <v>8.6418304093983239E-2</v>
      </c>
      <c r="AW250" t="str">
        <f t="shared" si="116"/>
        <v>CLEAN</v>
      </c>
      <c r="AX250" s="10" t="str">
        <f t="shared" si="117"/>
        <v>MATCH</v>
      </c>
      <c r="AY250" t="str">
        <f t="shared" si="118"/>
        <v>MATCH</v>
      </c>
    </row>
    <row r="251" spans="1:51">
      <c r="A251" t="s">
        <v>2181</v>
      </c>
      <c r="B251">
        <f t="shared" si="94"/>
        <v>1</v>
      </c>
      <c r="C251" t="s">
        <v>2182</v>
      </c>
      <c r="D251" s="3">
        <v>45386</v>
      </c>
      <c r="E251" t="str">
        <f t="shared" si="95"/>
        <v>2024/04/04</v>
      </c>
      <c r="F251" t="str">
        <f t="shared" si="104"/>
        <v>April</v>
      </c>
      <c r="G251">
        <f t="shared" si="105"/>
        <v>2024</v>
      </c>
      <c r="H251" t="s">
        <v>1893</v>
      </c>
      <c r="I251" s="4">
        <v>45389</v>
      </c>
      <c r="J251" s="8">
        <f t="shared" si="96"/>
        <v>3</v>
      </c>
      <c r="K251" s="8" t="str">
        <f t="shared" si="106"/>
        <v>OK</v>
      </c>
      <c r="L251" t="s">
        <v>2183</v>
      </c>
      <c r="M251" t="s">
        <v>179</v>
      </c>
      <c r="N251" t="str">
        <f t="shared" si="97"/>
        <v>Rohan Mehta</v>
      </c>
      <c r="O251" t="s">
        <v>114</v>
      </c>
      <c r="P251" t="str">
        <f t="shared" si="121"/>
        <v>Home Office</v>
      </c>
      <c r="Q251" t="s">
        <v>41</v>
      </c>
      <c r="R251" t="str">
        <f t="shared" si="122"/>
        <v>East</v>
      </c>
      <c r="S251" t="str">
        <f t="shared" si="107"/>
        <v>OK</v>
      </c>
      <c r="T251" t="s">
        <v>42</v>
      </c>
      <c r="U251" t="str">
        <f t="shared" si="98"/>
        <v>Odisha</v>
      </c>
      <c r="V251" t="s">
        <v>43</v>
      </c>
      <c r="W251" t="str">
        <f t="shared" si="99"/>
        <v>Bhubaneswar</v>
      </c>
      <c r="X251" t="str">
        <f t="shared" si="100"/>
        <v>Furniture</v>
      </c>
      <c r="Y251" t="s">
        <v>44</v>
      </c>
      <c r="Z251" t="s">
        <v>64</v>
      </c>
      <c r="AA251" t="str">
        <f t="shared" si="101"/>
        <v>Furnishings</v>
      </c>
      <c r="AB251" t="s">
        <v>2184</v>
      </c>
      <c r="AC251" t="s">
        <v>55</v>
      </c>
      <c r="AD251" t="str">
        <f t="shared" si="123"/>
        <v>First Class</v>
      </c>
      <c r="AE251" t="str">
        <f t="shared" si="108"/>
        <v>OK</v>
      </c>
      <c r="AF251">
        <v>1</v>
      </c>
      <c r="AG251">
        <v>3683.75</v>
      </c>
      <c r="AH251">
        <v>0.1</v>
      </c>
      <c r="AI251">
        <f t="shared" si="109"/>
        <v>0.1</v>
      </c>
      <c r="AJ251" t="str">
        <f t="shared" si="110"/>
        <v>OK</v>
      </c>
      <c r="AK251">
        <v>3315.38</v>
      </c>
      <c r="AL251">
        <v>2347.6799999999998</v>
      </c>
      <c r="AM251">
        <v>967.7</v>
      </c>
      <c r="AN251" t="s">
        <v>33</v>
      </c>
      <c r="AO251" t="str">
        <f t="shared" si="102"/>
        <v>PAID</v>
      </c>
      <c r="AP251" t="str">
        <f t="shared" si="111"/>
        <v>OK</v>
      </c>
      <c r="AQ251" t="s">
        <v>34</v>
      </c>
      <c r="AR251" t="str">
        <f t="shared" si="103"/>
        <v>COMPLETED</v>
      </c>
      <c r="AS251" t="str">
        <f t="shared" si="112"/>
        <v>OK</v>
      </c>
      <c r="AT251">
        <f t="shared" si="113"/>
        <v>3315.375</v>
      </c>
      <c r="AU251">
        <f t="shared" si="114"/>
        <v>967.69500000000016</v>
      </c>
      <c r="AV251" s="6">
        <f t="shared" si="115"/>
        <v>0.13278920182483128</v>
      </c>
      <c r="AW251" t="str">
        <f t="shared" si="116"/>
        <v>CLEAN</v>
      </c>
      <c r="AX251" s="10" t="str">
        <f t="shared" si="117"/>
        <v>MATCH</v>
      </c>
      <c r="AY251" t="str">
        <f t="shared" si="118"/>
        <v>MATCH</v>
      </c>
    </row>
    <row r="252" spans="1:51">
      <c r="A252" t="s">
        <v>2189</v>
      </c>
      <c r="B252">
        <f t="shared" si="94"/>
        <v>1</v>
      </c>
      <c r="C252" t="s">
        <v>2190</v>
      </c>
      <c r="D252" s="3">
        <v>45540</v>
      </c>
      <c r="E252" t="str">
        <f t="shared" si="95"/>
        <v>2024/09/05</v>
      </c>
      <c r="F252" t="str">
        <f t="shared" si="104"/>
        <v>September</v>
      </c>
      <c r="G252">
        <f t="shared" si="105"/>
        <v>2024</v>
      </c>
      <c r="H252" t="s">
        <v>2191</v>
      </c>
      <c r="I252" s="4">
        <v>45417</v>
      </c>
      <c r="J252" s="8">
        <f t="shared" si="96"/>
        <v>-123</v>
      </c>
      <c r="K252" s="8" t="str">
        <f t="shared" si="106"/>
        <v>INVAILD_SHIPPING</v>
      </c>
      <c r="L252" t="s">
        <v>2192</v>
      </c>
      <c r="M252" t="s">
        <v>60</v>
      </c>
      <c r="N252" t="str">
        <f t="shared" si="97"/>
        <v>Arjun Bose</v>
      </c>
      <c r="O252" t="s">
        <v>25</v>
      </c>
      <c r="P252" t="str">
        <f t="shared" si="121"/>
        <v>Consumer</v>
      </c>
      <c r="Q252" t="s">
        <v>41</v>
      </c>
      <c r="R252" t="str">
        <f t="shared" si="122"/>
        <v>East</v>
      </c>
      <c r="S252" t="str">
        <f t="shared" si="107"/>
        <v>OK</v>
      </c>
      <c r="T252" t="s">
        <v>215</v>
      </c>
      <c r="U252" t="str">
        <f t="shared" si="98"/>
        <v>Assam</v>
      </c>
      <c r="V252" t="s">
        <v>216</v>
      </c>
      <c r="W252" t="str">
        <f t="shared" si="99"/>
        <v>Guwahati</v>
      </c>
      <c r="X252" t="str">
        <f t="shared" si="100"/>
        <v>Furniture</v>
      </c>
      <c r="Y252" t="s">
        <v>44</v>
      </c>
      <c r="Z252" t="s">
        <v>203</v>
      </c>
      <c r="AA252" t="str">
        <f t="shared" si="101"/>
        <v>Bookcases</v>
      </c>
      <c r="AB252" t="s">
        <v>2193</v>
      </c>
      <c r="AC252" t="s">
        <v>47</v>
      </c>
      <c r="AD252" t="str">
        <f t="shared" si="123"/>
        <v>Same Day</v>
      </c>
      <c r="AE252" t="str">
        <f t="shared" si="108"/>
        <v>OK</v>
      </c>
      <c r="AF252">
        <v>2</v>
      </c>
      <c r="AG252">
        <v>2111.23</v>
      </c>
      <c r="AH252">
        <v>0.2</v>
      </c>
      <c r="AI252">
        <f t="shared" si="109"/>
        <v>0.2</v>
      </c>
      <c r="AJ252" t="str">
        <f t="shared" si="110"/>
        <v>OK</v>
      </c>
      <c r="AK252">
        <v>3377.97</v>
      </c>
      <c r="AL252">
        <v>2496.29</v>
      </c>
      <c r="AM252">
        <v>881.68</v>
      </c>
      <c r="AN252" t="s">
        <v>33</v>
      </c>
      <c r="AO252" t="str">
        <f t="shared" si="102"/>
        <v>PAID</v>
      </c>
      <c r="AP252" t="str">
        <f t="shared" si="111"/>
        <v>OK</v>
      </c>
      <c r="AQ252" t="s">
        <v>34</v>
      </c>
      <c r="AR252" t="str">
        <f t="shared" si="103"/>
        <v>COMPLETED</v>
      </c>
      <c r="AS252" t="str">
        <f t="shared" si="112"/>
        <v>OK</v>
      </c>
      <c r="AT252">
        <f t="shared" si="113"/>
        <v>3377.9680000000003</v>
      </c>
      <c r="AU252">
        <f t="shared" si="114"/>
        <v>881.67800000000034</v>
      </c>
      <c r="AV252" s="6">
        <f t="shared" si="115"/>
        <v>3.2950853886123261</v>
      </c>
      <c r="AW252" t="str">
        <f t="shared" si="116"/>
        <v>CLEAN</v>
      </c>
      <c r="AX252" s="10" t="str">
        <f t="shared" si="117"/>
        <v>MATCH</v>
      </c>
      <c r="AY252" t="str">
        <f t="shared" si="118"/>
        <v>MATCH</v>
      </c>
    </row>
    <row r="253" spans="1:51">
      <c r="A253" t="s">
        <v>2203</v>
      </c>
      <c r="B253">
        <f t="shared" si="94"/>
        <v>1</v>
      </c>
      <c r="C253" t="s">
        <v>2204</v>
      </c>
      <c r="D253" s="3">
        <v>45306</v>
      </c>
      <c r="E253" t="str">
        <f t="shared" si="95"/>
        <v>2024/01/15</v>
      </c>
      <c r="F253" t="str">
        <f t="shared" si="104"/>
        <v>January</v>
      </c>
      <c r="G253">
        <f t="shared" si="105"/>
        <v>2024</v>
      </c>
      <c r="H253" t="s">
        <v>326</v>
      </c>
      <c r="I253" s="4">
        <v>45309</v>
      </c>
      <c r="J253" s="8">
        <f t="shared" si="96"/>
        <v>3</v>
      </c>
      <c r="K253" s="8" t="str">
        <f t="shared" si="106"/>
        <v>OK</v>
      </c>
      <c r="L253" t="s">
        <v>2205</v>
      </c>
      <c r="M253" t="s">
        <v>39</v>
      </c>
      <c r="N253" t="str">
        <f t="shared" si="97"/>
        <v>Mira Das</v>
      </c>
      <c r="O253" t="s">
        <v>40</v>
      </c>
      <c r="P253" t="str">
        <f t="shared" si="121"/>
        <v>Small Business</v>
      </c>
      <c r="Q253" t="s">
        <v>61</v>
      </c>
      <c r="R253" t="str">
        <f t="shared" si="122"/>
        <v>South</v>
      </c>
      <c r="S253" t="str">
        <f t="shared" si="107"/>
        <v>OK</v>
      </c>
      <c r="T253" t="s">
        <v>99</v>
      </c>
      <c r="U253" t="str">
        <f t="shared" si="98"/>
        <v>Andhra Pradesh</v>
      </c>
      <c r="V253" t="s">
        <v>100</v>
      </c>
      <c r="W253" t="str">
        <f t="shared" si="99"/>
        <v>Vijayawada</v>
      </c>
      <c r="X253" t="str">
        <f t="shared" si="100"/>
        <v>Furniture</v>
      </c>
      <c r="Y253" t="s">
        <v>44</v>
      </c>
      <c r="Z253" t="s">
        <v>75</v>
      </c>
      <c r="AA253" t="str">
        <f t="shared" si="101"/>
        <v>Chairs</v>
      </c>
      <c r="AB253" t="s">
        <v>2206</v>
      </c>
      <c r="AC253" t="s">
        <v>55</v>
      </c>
      <c r="AD253" t="str">
        <f t="shared" si="123"/>
        <v>First Class</v>
      </c>
      <c r="AE253" t="str">
        <f t="shared" si="108"/>
        <v>OK</v>
      </c>
      <c r="AF253">
        <v>2</v>
      </c>
      <c r="AG253">
        <v>201.21</v>
      </c>
      <c r="AH253">
        <v>0.15</v>
      </c>
      <c r="AI253">
        <f t="shared" si="109"/>
        <v>0.15</v>
      </c>
      <c r="AJ253" t="str">
        <f t="shared" si="110"/>
        <v>OK</v>
      </c>
      <c r="AK253">
        <v>342.06</v>
      </c>
      <c r="AL253">
        <v>244.57</v>
      </c>
      <c r="AM253">
        <v>97.49</v>
      </c>
      <c r="AN253" t="s">
        <v>33</v>
      </c>
      <c r="AO253" t="str">
        <f t="shared" si="102"/>
        <v>PAID</v>
      </c>
      <c r="AP253" t="str">
        <f t="shared" si="111"/>
        <v>OK</v>
      </c>
      <c r="AQ253" t="s">
        <v>34</v>
      </c>
      <c r="AR253" t="str">
        <f t="shared" si="103"/>
        <v>COMPLETED</v>
      </c>
      <c r="AS253" t="str">
        <f t="shared" si="112"/>
        <v>OK</v>
      </c>
      <c r="AT253">
        <f t="shared" si="113"/>
        <v>342.05700000000002</v>
      </c>
      <c r="AU253">
        <f t="shared" si="114"/>
        <v>97.487000000000023</v>
      </c>
      <c r="AV253" s="6">
        <f t="shared" si="115"/>
        <v>3.4145771026466356</v>
      </c>
      <c r="AW253" t="str">
        <f t="shared" si="116"/>
        <v>CLEAN</v>
      </c>
      <c r="AX253" s="10" t="str">
        <f t="shared" si="117"/>
        <v>MATCH</v>
      </c>
      <c r="AY253" t="str">
        <f t="shared" si="118"/>
        <v>MATCH</v>
      </c>
    </row>
    <row r="254" spans="1:51">
      <c r="A254" t="s">
        <v>2207</v>
      </c>
      <c r="B254">
        <f t="shared" si="94"/>
        <v>1</v>
      </c>
      <c r="C254" t="s">
        <v>2208</v>
      </c>
      <c r="D254" s="3">
        <v>45449</v>
      </c>
      <c r="E254" t="str">
        <f t="shared" si="95"/>
        <v>2024/06/06</v>
      </c>
      <c r="F254" t="str">
        <f t="shared" si="104"/>
        <v>June</v>
      </c>
      <c r="G254">
        <f t="shared" si="105"/>
        <v>2024</v>
      </c>
      <c r="H254" t="s">
        <v>2209</v>
      </c>
      <c r="I254" s="4">
        <v>45456</v>
      </c>
      <c r="J254" s="8">
        <f t="shared" si="96"/>
        <v>7</v>
      </c>
      <c r="K254" s="8" t="str">
        <f t="shared" si="106"/>
        <v>OK</v>
      </c>
      <c r="L254" t="s">
        <v>2042</v>
      </c>
      <c r="M254" t="s">
        <v>106</v>
      </c>
      <c r="N254" t="str">
        <f t="shared" si="97"/>
        <v>Aditi Sen</v>
      </c>
      <c r="O254" t="s">
        <v>107</v>
      </c>
      <c r="P254" t="str">
        <f t="shared" si="121"/>
        <v>Corporate</v>
      </c>
      <c r="Q254" t="s">
        <v>41</v>
      </c>
      <c r="R254" t="str">
        <f t="shared" si="122"/>
        <v>East</v>
      </c>
      <c r="S254" t="str">
        <f t="shared" si="107"/>
        <v>OK</v>
      </c>
      <c r="T254" t="s">
        <v>215</v>
      </c>
      <c r="U254" t="str">
        <f t="shared" si="98"/>
        <v>Assam</v>
      </c>
      <c r="V254" t="s">
        <v>216</v>
      </c>
      <c r="W254" t="str">
        <f t="shared" si="99"/>
        <v>Guwahati</v>
      </c>
      <c r="X254" t="str">
        <f t="shared" si="100"/>
        <v>Technology</v>
      </c>
      <c r="Y254" t="s">
        <v>85</v>
      </c>
      <c r="Z254" t="s">
        <v>381</v>
      </c>
      <c r="AA254" t="str">
        <f t="shared" si="101"/>
        <v>Machines</v>
      </c>
      <c r="AB254" t="s">
        <v>2210</v>
      </c>
      <c r="AC254" t="s">
        <v>32</v>
      </c>
      <c r="AD254" t="str">
        <f t="shared" si="123"/>
        <v>Second Class</v>
      </c>
      <c r="AE254" t="str">
        <f t="shared" si="108"/>
        <v>OK</v>
      </c>
      <c r="AF254">
        <v>6</v>
      </c>
      <c r="AG254">
        <v>3270.36</v>
      </c>
      <c r="AH254">
        <v>0</v>
      </c>
      <c r="AI254">
        <f t="shared" si="109"/>
        <v>0</v>
      </c>
      <c r="AJ254" t="str">
        <f t="shared" si="110"/>
        <v>OK</v>
      </c>
      <c r="AK254">
        <v>19622.16</v>
      </c>
      <c r="AL254">
        <v>14271.27</v>
      </c>
      <c r="AM254">
        <v>5350.89</v>
      </c>
      <c r="AN254" t="s">
        <v>33</v>
      </c>
      <c r="AO254" t="str">
        <f t="shared" si="102"/>
        <v>PAID</v>
      </c>
      <c r="AP254" t="str">
        <f t="shared" si="111"/>
        <v>OK</v>
      </c>
      <c r="AQ254" t="s">
        <v>34</v>
      </c>
      <c r="AR254" t="str">
        <f t="shared" si="103"/>
        <v>COMPLETED</v>
      </c>
      <c r="AS254" t="str">
        <f t="shared" si="112"/>
        <v>OK</v>
      </c>
      <c r="AT254">
        <f t="shared" si="113"/>
        <v>19622.16</v>
      </c>
      <c r="AU254">
        <f t="shared" si="114"/>
        <v>5350.8899999999994</v>
      </c>
      <c r="AV254" s="6">
        <f t="shared" si="115"/>
        <v>5.2897591294740226E-2</v>
      </c>
      <c r="AW254" t="str">
        <f t="shared" si="116"/>
        <v>CLEAN</v>
      </c>
      <c r="AX254" s="10" t="str">
        <f t="shared" si="117"/>
        <v>MATCH</v>
      </c>
      <c r="AY254" t="str">
        <f t="shared" si="118"/>
        <v>MATCH</v>
      </c>
    </row>
    <row r="255" spans="1:51">
      <c r="A255" t="s">
        <v>2215</v>
      </c>
      <c r="B255">
        <f t="shared" si="94"/>
        <v>1</v>
      </c>
      <c r="C255" t="s">
        <v>2216</v>
      </c>
      <c r="D255" s="3">
        <v>45375</v>
      </c>
      <c r="E255" t="str">
        <f t="shared" si="95"/>
        <v>2024/03/24</v>
      </c>
      <c r="F255" t="str">
        <f t="shared" si="104"/>
        <v>March</v>
      </c>
      <c r="G255">
        <f t="shared" si="105"/>
        <v>2024</v>
      </c>
      <c r="H255" t="s">
        <v>2217</v>
      </c>
      <c r="I255" s="4">
        <v>45377</v>
      </c>
      <c r="J255" s="8">
        <f t="shared" si="96"/>
        <v>2</v>
      </c>
      <c r="K255" s="8" t="str">
        <f t="shared" si="106"/>
        <v>OK</v>
      </c>
      <c r="L255" t="s">
        <v>2218</v>
      </c>
      <c r="M255" t="s">
        <v>179</v>
      </c>
      <c r="N255" t="str">
        <f t="shared" si="97"/>
        <v>Rohan Mehta</v>
      </c>
      <c r="O255" t="s">
        <v>40</v>
      </c>
      <c r="P255" t="str">
        <f t="shared" si="121"/>
        <v>Small Business</v>
      </c>
      <c r="Q255" t="s">
        <v>26</v>
      </c>
      <c r="R255" t="str">
        <f t="shared" si="122"/>
        <v>North</v>
      </c>
      <c r="S255" t="str">
        <f t="shared" si="107"/>
        <v>OK</v>
      </c>
      <c r="T255" t="s">
        <v>322</v>
      </c>
      <c r="U255" t="str">
        <f t="shared" si="98"/>
        <v>Haryana</v>
      </c>
      <c r="V255" t="s">
        <v>323</v>
      </c>
      <c r="W255" t="str">
        <f t="shared" si="99"/>
        <v>Gurugram</v>
      </c>
      <c r="X255" t="str">
        <f t="shared" si="100"/>
        <v>Office Supplies</v>
      </c>
      <c r="Y255" t="s">
        <v>29</v>
      </c>
      <c r="Z255" t="s">
        <v>30</v>
      </c>
      <c r="AA255" t="str">
        <f t="shared" si="101"/>
        <v>Paper</v>
      </c>
      <c r="AB255" t="s">
        <v>2219</v>
      </c>
      <c r="AC255" t="s">
        <v>32</v>
      </c>
      <c r="AD255" t="str">
        <f t="shared" si="123"/>
        <v>Second Class</v>
      </c>
      <c r="AE255" t="str">
        <f t="shared" si="108"/>
        <v>OK</v>
      </c>
      <c r="AF255">
        <v>8</v>
      </c>
      <c r="AG255">
        <v>1917.64</v>
      </c>
      <c r="AH255">
        <v>0.15</v>
      </c>
      <c r="AI255">
        <f t="shared" si="109"/>
        <v>0.15</v>
      </c>
      <c r="AJ255" t="str">
        <f t="shared" si="110"/>
        <v>OK</v>
      </c>
      <c r="AK255">
        <v>13039.95</v>
      </c>
      <c r="AL255">
        <v>11127.82</v>
      </c>
      <c r="AM255">
        <v>1912.13</v>
      </c>
      <c r="AN255" t="s">
        <v>33</v>
      </c>
      <c r="AO255" t="str">
        <f t="shared" si="102"/>
        <v>PAID</v>
      </c>
      <c r="AP255" t="str">
        <f t="shared" si="111"/>
        <v>OK</v>
      </c>
      <c r="AQ255" t="s">
        <v>77</v>
      </c>
      <c r="AR255" t="str">
        <f t="shared" si="103"/>
        <v>CANCELLED</v>
      </c>
      <c r="AS255" t="str">
        <f t="shared" si="112"/>
        <v>EXCLUDE_FROM_SALES</v>
      </c>
      <c r="AT255">
        <f t="shared" si="113"/>
        <v>13039.952000000001</v>
      </c>
      <c r="AU255">
        <f t="shared" si="114"/>
        <v>1912.1320000000014</v>
      </c>
      <c r="AV255" s="6">
        <f t="shared" si="115"/>
        <v>2.0467176566294099E-2</v>
      </c>
      <c r="AW255" t="str">
        <f t="shared" si="116"/>
        <v>CLEAN</v>
      </c>
      <c r="AX255" s="10" t="str">
        <f t="shared" si="117"/>
        <v>MATCH</v>
      </c>
      <c r="AY255" t="str">
        <f t="shared" si="118"/>
        <v>MATCH</v>
      </c>
    </row>
    <row r="256" spans="1:51">
      <c r="A256" t="s">
        <v>2220</v>
      </c>
      <c r="B256">
        <f t="shared" si="94"/>
        <v>1</v>
      </c>
      <c r="C256" t="s">
        <v>2221</v>
      </c>
      <c r="D256" s="3">
        <v>45422</v>
      </c>
      <c r="E256" t="str">
        <f t="shared" si="95"/>
        <v>2024/05/10</v>
      </c>
      <c r="F256" t="str">
        <f t="shared" si="104"/>
        <v>May</v>
      </c>
      <c r="G256">
        <f t="shared" si="105"/>
        <v>2024</v>
      </c>
      <c r="H256" t="s">
        <v>1374</v>
      </c>
      <c r="I256" s="4">
        <v>45428</v>
      </c>
      <c r="J256" s="8">
        <f t="shared" si="96"/>
        <v>6</v>
      </c>
      <c r="K256" s="8" t="str">
        <f t="shared" si="106"/>
        <v>OK</v>
      </c>
      <c r="L256" t="s">
        <v>2222</v>
      </c>
      <c r="M256" t="s">
        <v>209</v>
      </c>
      <c r="N256" t="str">
        <f t="shared" si="97"/>
        <v>Diya Patel</v>
      </c>
      <c r="O256" t="s">
        <v>114</v>
      </c>
      <c r="P256" t="str">
        <f t="shared" si="121"/>
        <v>Home Office</v>
      </c>
      <c r="Q256" t="s">
        <v>41</v>
      </c>
      <c r="R256" t="str">
        <f t="shared" si="122"/>
        <v>East</v>
      </c>
      <c r="S256" t="str">
        <f t="shared" si="107"/>
        <v>OK</v>
      </c>
      <c r="T256" t="s">
        <v>310</v>
      </c>
      <c r="U256" t="str">
        <f t="shared" si="98"/>
        <v>Jharkhand</v>
      </c>
      <c r="V256" t="s">
        <v>311</v>
      </c>
      <c r="W256" t="str">
        <f t="shared" si="99"/>
        <v>Ranchi</v>
      </c>
      <c r="X256" t="str">
        <f t="shared" si="100"/>
        <v>Technology</v>
      </c>
      <c r="Y256" t="s">
        <v>85</v>
      </c>
      <c r="Z256" t="s">
        <v>86</v>
      </c>
      <c r="AA256" t="str">
        <f t="shared" si="101"/>
        <v>Accessories</v>
      </c>
      <c r="AB256" t="s">
        <v>2223</v>
      </c>
      <c r="AC256" t="s">
        <v>32</v>
      </c>
      <c r="AD256" t="str">
        <f t="shared" si="123"/>
        <v>Second Class</v>
      </c>
      <c r="AE256" t="str">
        <f t="shared" si="108"/>
        <v>OK</v>
      </c>
      <c r="AF256">
        <v>6</v>
      </c>
      <c r="AG256">
        <v>2013.33</v>
      </c>
      <c r="AH256">
        <v>0.2</v>
      </c>
      <c r="AI256">
        <f t="shared" si="109"/>
        <v>0.2</v>
      </c>
      <c r="AJ256" t="str">
        <f t="shared" si="110"/>
        <v>OK</v>
      </c>
      <c r="AK256">
        <v>9663.98</v>
      </c>
      <c r="AL256">
        <v>5628.93</v>
      </c>
      <c r="AM256">
        <v>4035.05</v>
      </c>
      <c r="AN256" t="s">
        <v>33</v>
      </c>
      <c r="AO256" t="str">
        <f t="shared" si="102"/>
        <v>PAID</v>
      </c>
      <c r="AP256" t="str">
        <f t="shared" si="111"/>
        <v>OK</v>
      </c>
      <c r="AQ256" t="s">
        <v>34</v>
      </c>
      <c r="AR256" t="str">
        <f t="shared" si="103"/>
        <v>COMPLETED</v>
      </c>
      <c r="AS256" t="str">
        <f t="shared" si="112"/>
        <v>OK</v>
      </c>
      <c r="AT256">
        <f t="shared" si="113"/>
        <v>9663.9840000000004</v>
      </c>
      <c r="AU256">
        <f t="shared" si="114"/>
        <v>4035.0540000000001</v>
      </c>
      <c r="AV256" s="6">
        <f t="shared" si="115"/>
        <v>0.28003461098445509</v>
      </c>
      <c r="AW256" t="str">
        <f t="shared" si="116"/>
        <v>CLEAN</v>
      </c>
      <c r="AX256" s="10" t="str">
        <f t="shared" si="117"/>
        <v>MATCH</v>
      </c>
      <c r="AY256" t="str">
        <f t="shared" si="118"/>
        <v>MATCH</v>
      </c>
    </row>
    <row r="257" spans="1:51">
      <c r="A257" t="s">
        <v>2234</v>
      </c>
      <c r="B257">
        <f t="shared" si="94"/>
        <v>1</v>
      </c>
      <c r="C257" t="s">
        <v>2235</v>
      </c>
      <c r="D257" s="2">
        <v>45491</v>
      </c>
      <c r="E257" t="str">
        <f t="shared" si="95"/>
        <v>2024/07/18</v>
      </c>
      <c r="F257" t="str">
        <f t="shared" si="104"/>
        <v>July</v>
      </c>
      <c r="G257">
        <f t="shared" si="105"/>
        <v>2024</v>
      </c>
      <c r="H257" t="s">
        <v>2236</v>
      </c>
      <c r="I257" s="4">
        <v>45495</v>
      </c>
      <c r="J257" s="8">
        <f t="shared" si="96"/>
        <v>4</v>
      </c>
      <c r="K257" s="8" t="str">
        <f t="shared" si="106"/>
        <v>OK</v>
      </c>
      <c r="L257" t="s">
        <v>2237</v>
      </c>
      <c r="M257" t="s">
        <v>92</v>
      </c>
      <c r="N257" t="str">
        <f t="shared" si="97"/>
        <v>Neha Gupta</v>
      </c>
      <c r="O257" t="s">
        <v>40</v>
      </c>
      <c r="P257" t="str">
        <f t="shared" si="121"/>
        <v>Small Business</v>
      </c>
      <c r="Q257" t="s">
        <v>61</v>
      </c>
      <c r="R257" t="str">
        <f t="shared" si="122"/>
        <v>South</v>
      </c>
      <c r="S257" t="str">
        <f t="shared" si="107"/>
        <v>OK</v>
      </c>
      <c r="T257" t="s">
        <v>62</v>
      </c>
      <c r="U257" t="str">
        <f t="shared" si="98"/>
        <v>Telangana</v>
      </c>
      <c r="V257" t="s">
        <v>63</v>
      </c>
      <c r="W257" t="str">
        <f t="shared" si="99"/>
        <v>Hyderabad</v>
      </c>
      <c r="X257" t="str">
        <f t="shared" si="100"/>
        <v>Office Supplies</v>
      </c>
      <c r="Y257" t="s">
        <v>29</v>
      </c>
      <c r="Z257" t="s">
        <v>53</v>
      </c>
      <c r="AA257" t="str">
        <f t="shared" si="101"/>
        <v>Art</v>
      </c>
      <c r="AB257" t="s">
        <v>2238</v>
      </c>
      <c r="AC257" t="s">
        <v>66</v>
      </c>
      <c r="AD257" t="str">
        <f t="shared" si="123"/>
        <v>Standard Class</v>
      </c>
      <c r="AE257" t="str">
        <f t="shared" si="108"/>
        <v>OK</v>
      </c>
      <c r="AF257">
        <v>4</v>
      </c>
      <c r="AG257">
        <v>808.77</v>
      </c>
      <c r="AH257">
        <v>0</v>
      </c>
      <c r="AI257">
        <f t="shared" si="109"/>
        <v>0</v>
      </c>
      <c r="AJ257" t="str">
        <f t="shared" si="110"/>
        <v>OK</v>
      </c>
      <c r="AK257">
        <v>3235.08</v>
      </c>
      <c r="AL257">
        <v>1848.6</v>
      </c>
      <c r="AM257">
        <v>1386.48</v>
      </c>
      <c r="AN257" t="s">
        <v>33</v>
      </c>
      <c r="AO257" t="str">
        <f t="shared" si="102"/>
        <v>PAID</v>
      </c>
      <c r="AP257" t="str">
        <f t="shared" si="111"/>
        <v>OK</v>
      </c>
      <c r="AQ257" t="s">
        <v>34</v>
      </c>
      <c r="AR257" t="str">
        <f t="shared" si="103"/>
        <v>COMPLETED</v>
      </c>
      <c r="AS257" t="str">
        <f t="shared" si="112"/>
        <v>OK</v>
      </c>
      <c r="AT257">
        <f t="shared" si="113"/>
        <v>3235.08</v>
      </c>
      <c r="AU257">
        <f t="shared" si="114"/>
        <v>1386.48</v>
      </c>
      <c r="AV257" s="6">
        <f t="shared" si="115"/>
        <v>0.83432867193392435</v>
      </c>
      <c r="AW257" t="str">
        <f t="shared" si="116"/>
        <v>CLEAN</v>
      </c>
      <c r="AX257" s="10" t="str">
        <f t="shared" si="117"/>
        <v>MATCH</v>
      </c>
      <c r="AY257" t="str">
        <f t="shared" si="118"/>
        <v>MATCH</v>
      </c>
    </row>
    <row r="258" spans="1:51">
      <c r="A258" t="s">
        <v>2239</v>
      </c>
      <c r="B258">
        <f t="shared" ref="B258:B321" si="124">COUNTIF($A:$A,A258)</f>
        <v>1</v>
      </c>
      <c r="C258" t="s">
        <v>2087</v>
      </c>
      <c r="D258" s="3">
        <v>45342</v>
      </c>
      <c r="E258" t="str">
        <f t="shared" ref="E258:E321" si="125">IFERROR(
TEXT(
  IF(ISNUMBER(SEARCH("/",D258)),
     DATE(RIGHT(D258,4),LEFT(D258,FIND("/",D258)-1),
          MID(D258,FIND("/",D258)+1,FIND("/",D258,FIND("/",D258)+1)-FIND("/",D258)-1)),
     IF(ISNUMBER(SEARCH("-",D258)),
        DATEVALUE(SUBSTITUTE(D258,"-","/")),
        DATEVALUE(TEXT(D258,"dd mmm yyyy"))
     )
  ),
"yyyy/mm/dd"
),
"")</f>
        <v>2024/02/20</v>
      </c>
      <c r="F258" t="str">
        <f t="shared" si="104"/>
        <v>February</v>
      </c>
      <c r="G258">
        <f t="shared" si="105"/>
        <v>2024</v>
      </c>
      <c r="H258" t="s">
        <v>2087</v>
      </c>
      <c r="I258" s="4">
        <v>45342</v>
      </c>
      <c r="J258" s="8">
        <f t="shared" ref="J258:J321" si="126">I258-E258</f>
        <v>0</v>
      </c>
      <c r="K258" s="8" t="str">
        <f t="shared" si="106"/>
        <v>OK</v>
      </c>
      <c r="L258" t="s">
        <v>2240</v>
      </c>
      <c r="M258" t="s">
        <v>92</v>
      </c>
      <c r="N258" t="str">
        <f t="shared" ref="N258:N321" si="127">PROPER(TRIM(SUBSTITUTE(M258,CHAR(160)," ")))</f>
        <v>Neha Gupta</v>
      </c>
      <c r="O258" t="s">
        <v>107</v>
      </c>
      <c r="P258" t="str">
        <f t="shared" si="121"/>
        <v>Corporate</v>
      </c>
      <c r="Q258" t="s">
        <v>26</v>
      </c>
      <c r="R258" t="str">
        <f t="shared" si="122"/>
        <v>North</v>
      </c>
      <c r="S258" t="str">
        <f t="shared" si="107"/>
        <v>OK</v>
      </c>
      <c r="T258" t="s">
        <v>173</v>
      </c>
      <c r="U258" t="str">
        <f t="shared" ref="U258:U321" si="128">PROPER(TRIM(SUBSTITUTE(T258,CHAR(160)," ")))</f>
        <v>Uttar Pradesh</v>
      </c>
      <c r="V258" t="s">
        <v>174</v>
      </c>
      <c r="W258" t="str">
        <f t="shared" ref="W258:W321" si="129">PROPER(TRIM(SUBSTITUTE(V258,CHAR(160)," ")))</f>
        <v>Noida</v>
      </c>
      <c r="X258" t="str">
        <f t="shared" ref="X258:X321" si="130">PROPER(TRIM(SUBSTITUTE(Y258,CHAR(160)," ")))</f>
        <v>Technology</v>
      </c>
      <c r="Y258" t="s">
        <v>85</v>
      </c>
      <c r="Z258" t="s">
        <v>86</v>
      </c>
      <c r="AA258" t="str">
        <f t="shared" ref="AA258:AA321" si="131">PROPER(TRIM(SUBSTITUTE(Z258,CHAR(160)," ")))</f>
        <v>Accessories</v>
      </c>
      <c r="AB258" t="s">
        <v>2241</v>
      </c>
      <c r="AC258" t="s">
        <v>47</v>
      </c>
      <c r="AD258" t="str">
        <f t="shared" si="123"/>
        <v>Same Day</v>
      </c>
      <c r="AE258" t="str">
        <f t="shared" si="108"/>
        <v>OK</v>
      </c>
      <c r="AF258">
        <v>5</v>
      </c>
      <c r="AG258">
        <v>2604.91</v>
      </c>
      <c r="AH258">
        <v>0.15</v>
      </c>
      <c r="AI258">
        <f t="shared" si="109"/>
        <v>0.15</v>
      </c>
      <c r="AJ258" t="str">
        <f t="shared" si="110"/>
        <v>OK</v>
      </c>
      <c r="AK258">
        <v>11070.87</v>
      </c>
      <c r="AL258">
        <v>6623.61</v>
      </c>
      <c r="AM258">
        <v>4447.26</v>
      </c>
      <c r="AN258" t="s">
        <v>33</v>
      </c>
      <c r="AO258" t="str">
        <f t="shared" ref="AO258:AO321" si="132">UPPER(TRIM(SUBSTITUTE(AN258,CHAR(160)," ")))</f>
        <v>PAID</v>
      </c>
      <c r="AP258" t="str">
        <f t="shared" si="111"/>
        <v>OK</v>
      </c>
      <c r="AQ258" t="s">
        <v>124</v>
      </c>
      <c r="AR258" t="str">
        <f t="shared" ref="AR258:AR321" si="133">UPPER(TRIM(SUBSTITUTE(AQ258,CHAR(160)," ")))</f>
        <v>RETURNED</v>
      </c>
      <c r="AS258" t="str">
        <f t="shared" si="112"/>
        <v>RETURNED_ORDER</v>
      </c>
      <c r="AT258">
        <f t="shared" si="113"/>
        <v>11070.867499999998</v>
      </c>
      <c r="AU258">
        <f t="shared" si="114"/>
        <v>4447.2574999999988</v>
      </c>
      <c r="AV258" s="6">
        <f t="shared" si="115"/>
        <v>8.9624412901699035E-3</v>
      </c>
      <c r="AW258" t="str">
        <f t="shared" si="116"/>
        <v>CLEAN</v>
      </c>
      <c r="AX258" s="10" t="str">
        <f t="shared" si="117"/>
        <v>MATCH</v>
      </c>
      <c r="AY258" t="str">
        <f t="shared" si="118"/>
        <v>MATCH</v>
      </c>
    </row>
    <row r="259" spans="1:51">
      <c r="A259" t="s">
        <v>2242</v>
      </c>
      <c r="B259">
        <f t="shared" si="124"/>
        <v>1</v>
      </c>
      <c r="C259" t="s">
        <v>2243</v>
      </c>
      <c r="D259" s="3">
        <v>45387</v>
      </c>
      <c r="E259" t="str">
        <f t="shared" si="125"/>
        <v>2024/04/05</v>
      </c>
      <c r="F259" t="str">
        <f t="shared" ref="F259:F322" si="134">TEXT(E259,"MMMM")</f>
        <v>April</v>
      </c>
      <c r="G259">
        <f t="shared" ref="G259:G322" si="135">YEAR(E259)</f>
        <v>2024</v>
      </c>
      <c r="H259" t="s">
        <v>2244</v>
      </c>
      <c r="I259" s="4">
        <v>45416</v>
      </c>
      <c r="J259" s="8">
        <f t="shared" si="126"/>
        <v>29</v>
      </c>
      <c r="K259" s="8" t="str">
        <f t="shared" ref="K259:K322" si="136">IF(J259&lt;0,"INVAILD_SHIPPING","OK")</f>
        <v>OK</v>
      </c>
      <c r="L259" t="s">
        <v>2245</v>
      </c>
      <c r="M259" t="s">
        <v>39</v>
      </c>
      <c r="N259" t="str">
        <f t="shared" si="127"/>
        <v>Mira Das</v>
      </c>
      <c r="O259" t="s">
        <v>40</v>
      </c>
      <c r="P259" t="str">
        <f t="shared" si="121"/>
        <v>Small Business</v>
      </c>
      <c r="Q259" t="s">
        <v>72</v>
      </c>
      <c r="R259" t="str">
        <f t="shared" si="122"/>
        <v>West</v>
      </c>
      <c r="S259" t="str">
        <f t="shared" ref="S259:S322" si="137">IF(R259="Unknown","MISSING_REGION","OK")</f>
        <v>OK</v>
      </c>
      <c r="T259" t="s">
        <v>248</v>
      </c>
      <c r="U259" t="str">
        <f t="shared" si="128"/>
        <v>Goa</v>
      </c>
      <c r="V259" t="s">
        <v>249</v>
      </c>
      <c r="W259" t="str">
        <f t="shared" si="129"/>
        <v>Panaji</v>
      </c>
      <c r="X259" t="str">
        <f t="shared" si="130"/>
        <v>Furniture</v>
      </c>
      <c r="Y259" t="s">
        <v>44</v>
      </c>
      <c r="Z259" t="s">
        <v>45</v>
      </c>
      <c r="AA259" t="str">
        <f t="shared" si="131"/>
        <v>Tables</v>
      </c>
      <c r="AB259" t="s">
        <v>2246</v>
      </c>
      <c r="AC259" t="s">
        <v>66</v>
      </c>
      <c r="AD259" t="str">
        <f t="shared" si="123"/>
        <v>Standard Class</v>
      </c>
      <c r="AE259" t="str">
        <f t="shared" ref="AE259:AE322" si="138">IF(AD259="Unknown","MISSING_SHIP_MODE","OK")</f>
        <v>OK</v>
      </c>
      <c r="AF259">
        <v>7</v>
      </c>
      <c r="AG259">
        <v>2851.51</v>
      </c>
      <c r="AH259">
        <v>0</v>
      </c>
      <c r="AI259">
        <f t="shared" ref="AI259:AI322" si="139">IF(RIGHT(AH259,1)="%",VALUE(SUBSTITUTE(AH259,"%",""))/100,AH259)</f>
        <v>0</v>
      </c>
      <c r="AJ259" t="str">
        <f t="shared" ref="AJ259:AJ322" si="140">IF(AH259="","Missing Discount",
IF(AH259&lt;0,"Invalid Negative Discount",
"OK"))</f>
        <v>OK</v>
      </c>
      <c r="AK259">
        <v>19960.57</v>
      </c>
      <c r="AL259">
        <v>16603.599999999999</v>
      </c>
      <c r="AM259">
        <v>3356.97</v>
      </c>
      <c r="AN259" t="s">
        <v>33</v>
      </c>
      <c r="AO259" t="str">
        <f t="shared" si="132"/>
        <v>PAID</v>
      </c>
      <c r="AP259" t="str">
        <f t="shared" ref="AP259:AP322" si="141">IF(AO259="Failed","EXCLUDE_FROM_SALES",
IF(AO259="Refunded","REFUNDED_PAYMENT",
"OK"))</f>
        <v>OK</v>
      </c>
      <c r="AQ259" t="s">
        <v>34</v>
      </c>
      <c r="AR259" t="str">
        <f t="shared" si="133"/>
        <v>COMPLETED</v>
      </c>
      <c r="AS259" t="str">
        <f t="shared" ref="AS259:AS322" si="142">IF(AR259="Cancelled","EXCLUDE_FROM_SALES",
IF(AR259="Returned","RETURNED_ORDER",
"OK"))</f>
        <v>OK</v>
      </c>
      <c r="AT259">
        <f t="shared" ref="AT259:AT322" si="143">IF(AI259&lt;0,"INVAILD",AF259*AG259*(1-AI259))</f>
        <v>19960.57</v>
      </c>
      <c r="AU259">
        <f t="shared" ref="AU259:AU322" si="144">IF(AT259="INVAILD","INVAILD",AT259-AL259)</f>
        <v>3356.9700000000012</v>
      </c>
      <c r="AV259" s="6">
        <f t="shared" ref="AV259:AV322" si="145">IF(OR(AT259="INVALID",AU259="INVALID"),"",AU280/AT259)</f>
        <v>4.0298398292233147E-2</v>
      </c>
      <c r="AW259" t="str">
        <f t="shared" ref="AW259:AW322" si="146">IF(OR(AJ259&lt;&gt;"OK",K259="INVALID_SHIPPING"),
"INVALID",
IF(OR(S259&lt;&gt;"OK",AE259&lt;&gt;"OK"),
"WARNING",
"CLEAN"))</f>
        <v>CLEAN</v>
      </c>
      <c r="AX259" s="10" t="str">
        <f t="shared" ref="AX259:AX322" si="147">IF(AT259="INVALID","INVALID",
IF(ROUND(AK259,2)=ROUND(AT259,2),"MATCH","MISMATCH"))</f>
        <v>MATCH</v>
      </c>
      <c r="AY259" t="str">
        <f t="shared" ref="AY259:AY322" si="148">IF(AU259="INVALID","INVALID",IF(ROUND(AM259,2)=ROUND(AU259,2),"MATCH","MISMATCH"))</f>
        <v>MATCH</v>
      </c>
    </row>
    <row r="260" spans="1:51">
      <c r="A260" t="s">
        <v>2247</v>
      </c>
      <c r="B260">
        <f t="shared" si="124"/>
        <v>1</v>
      </c>
      <c r="C260" t="s">
        <v>2248</v>
      </c>
      <c r="D260" s="3">
        <v>45567</v>
      </c>
      <c r="E260" t="str">
        <f t="shared" si="125"/>
        <v>2024/10/02</v>
      </c>
      <c r="F260" t="str">
        <f t="shared" si="134"/>
        <v>October</v>
      </c>
      <c r="G260">
        <f t="shared" si="135"/>
        <v>2024</v>
      </c>
      <c r="H260" t="s">
        <v>859</v>
      </c>
      <c r="I260" s="4">
        <v>45333</v>
      </c>
      <c r="J260" s="8">
        <f t="shared" si="126"/>
        <v>-234</v>
      </c>
      <c r="K260" s="8" t="str">
        <f t="shared" si="136"/>
        <v>INVAILD_SHIPPING</v>
      </c>
      <c r="L260" t="s">
        <v>2249</v>
      </c>
      <c r="M260" t="s">
        <v>24</v>
      </c>
      <c r="N260" t="str">
        <f t="shared" si="127"/>
        <v>Karan Malhotra</v>
      </c>
      <c r="O260" t="s">
        <v>107</v>
      </c>
      <c r="P260" t="str">
        <f t="shared" si="121"/>
        <v>Corporate</v>
      </c>
      <c r="Q260" t="s">
        <v>26</v>
      </c>
      <c r="R260" t="str">
        <f t="shared" ref="R260:R272" si="149">PROPER(TRIM(SUBSTITUTE(Q260,CHAR(160)," ")))</f>
        <v>North</v>
      </c>
      <c r="S260" t="str">
        <f t="shared" si="137"/>
        <v>OK</v>
      </c>
      <c r="T260" t="s">
        <v>27</v>
      </c>
      <c r="U260" t="str">
        <f t="shared" si="128"/>
        <v>Rajasthan</v>
      </c>
      <c r="V260" t="s">
        <v>28</v>
      </c>
      <c r="W260" t="str">
        <f t="shared" si="129"/>
        <v>Jaipur</v>
      </c>
      <c r="X260" t="str">
        <f t="shared" si="130"/>
        <v>Technology</v>
      </c>
      <c r="Y260" t="s">
        <v>85</v>
      </c>
      <c r="Z260" t="s">
        <v>222</v>
      </c>
      <c r="AA260" t="str">
        <f t="shared" si="131"/>
        <v>Phones</v>
      </c>
      <c r="AB260" t="s">
        <v>2250</v>
      </c>
      <c r="AC260" t="s">
        <v>32</v>
      </c>
      <c r="AD260" t="str">
        <f t="shared" si="123"/>
        <v>Second Class</v>
      </c>
      <c r="AE260" t="str">
        <f t="shared" si="138"/>
        <v>OK</v>
      </c>
      <c r="AF260">
        <v>3</v>
      </c>
      <c r="AG260">
        <v>3183.72</v>
      </c>
      <c r="AH260">
        <v>0.1</v>
      </c>
      <c r="AI260">
        <f t="shared" si="139"/>
        <v>0.1</v>
      </c>
      <c r="AJ260" t="str">
        <f t="shared" si="140"/>
        <v>OK</v>
      </c>
      <c r="AK260">
        <v>8596.0400000000009</v>
      </c>
      <c r="AL260">
        <v>5378.16</v>
      </c>
      <c r="AM260">
        <v>3217.88</v>
      </c>
      <c r="AN260" t="s">
        <v>33</v>
      </c>
      <c r="AO260" t="str">
        <f t="shared" si="132"/>
        <v>PAID</v>
      </c>
      <c r="AP260" t="str">
        <f t="shared" si="141"/>
        <v>OK</v>
      </c>
      <c r="AQ260" t="s">
        <v>34</v>
      </c>
      <c r="AR260" t="str">
        <f t="shared" si="133"/>
        <v>COMPLETED</v>
      </c>
      <c r="AS260" t="str">
        <f t="shared" si="142"/>
        <v>OK</v>
      </c>
      <c r="AT260">
        <f t="shared" si="143"/>
        <v>8596.0439999999999</v>
      </c>
      <c r="AU260">
        <f t="shared" si="144"/>
        <v>3217.884</v>
      </c>
      <c r="AW260" t="str">
        <f t="shared" si="146"/>
        <v>CLEAN</v>
      </c>
      <c r="AX260" s="10" t="str">
        <f t="shared" si="147"/>
        <v>MATCH</v>
      </c>
      <c r="AY260" t="str">
        <f t="shared" si="148"/>
        <v>MATCH</v>
      </c>
    </row>
    <row r="261" spans="1:51">
      <c r="A261" t="s">
        <v>2251</v>
      </c>
      <c r="B261">
        <f t="shared" si="124"/>
        <v>1</v>
      </c>
      <c r="C261" t="s">
        <v>2252</v>
      </c>
      <c r="D261" s="3">
        <v>45379</v>
      </c>
      <c r="E261" t="str">
        <f t="shared" si="125"/>
        <v>2024/03/28</v>
      </c>
      <c r="F261" t="str">
        <f t="shared" si="134"/>
        <v>March</v>
      </c>
      <c r="G261">
        <f t="shared" si="135"/>
        <v>2024</v>
      </c>
      <c r="H261" t="s">
        <v>2182</v>
      </c>
      <c r="I261" s="4">
        <v>45386</v>
      </c>
      <c r="J261" s="8">
        <f t="shared" si="126"/>
        <v>7</v>
      </c>
      <c r="K261" s="8" t="str">
        <f t="shared" si="136"/>
        <v>OK</v>
      </c>
      <c r="L261" t="s">
        <v>2253</v>
      </c>
      <c r="M261" t="s">
        <v>71</v>
      </c>
      <c r="N261" t="str">
        <f t="shared" si="127"/>
        <v>Ananya Rao</v>
      </c>
      <c r="O261" t="s">
        <v>114</v>
      </c>
      <c r="P261" t="str">
        <f t="shared" si="121"/>
        <v>Home Office</v>
      </c>
      <c r="Q261" t="s">
        <v>72</v>
      </c>
      <c r="R261" t="str">
        <f t="shared" si="149"/>
        <v>West</v>
      </c>
      <c r="S261" t="str">
        <f t="shared" si="137"/>
        <v>OK</v>
      </c>
      <c r="T261" t="s">
        <v>248</v>
      </c>
      <c r="U261" t="str">
        <f t="shared" si="128"/>
        <v>Goa</v>
      </c>
      <c r="V261" t="s">
        <v>249</v>
      </c>
      <c r="W261" t="str">
        <f t="shared" si="129"/>
        <v>Panaji</v>
      </c>
      <c r="X261" t="str">
        <f t="shared" si="130"/>
        <v>Office Supplies</v>
      </c>
      <c r="Y261" t="s">
        <v>29</v>
      </c>
      <c r="Z261" t="s">
        <v>30</v>
      </c>
      <c r="AA261" t="str">
        <f t="shared" si="131"/>
        <v>Paper</v>
      </c>
      <c r="AB261" t="s">
        <v>2254</v>
      </c>
      <c r="AC261" t="s">
        <v>55</v>
      </c>
      <c r="AD261" t="str">
        <f t="shared" si="123"/>
        <v>First Class</v>
      </c>
      <c r="AE261" t="str">
        <f t="shared" si="138"/>
        <v>OK</v>
      </c>
      <c r="AF261">
        <v>3</v>
      </c>
      <c r="AG261">
        <v>1150.92</v>
      </c>
      <c r="AH261">
        <v>0</v>
      </c>
      <c r="AI261">
        <f t="shared" si="139"/>
        <v>0</v>
      </c>
      <c r="AJ261" t="str">
        <f t="shared" si="140"/>
        <v>OK</v>
      </c>
      <c r="AK261">
        <v>3452.76</v>
      </c>
      <c r="AL261">
        <v>2077.96</v>
      </c>
      <c r="AM261">
        <v>1374.8</v>
      </c>
      <c r="AN261" t="s">
        <v>33</v>
      </c>
      <c r="AO261" t="str">
        <f t="shared" si="132"/>
        <v>PAID</v>
      </c>
      <c r="AP261" t="str">
        <f t="shared" si="141"/>
        <v>OK</v>
      </c>
      <c r="AQ261" t="s">
        <v>34</v>
      </c>
      <c r="AR261" t="str">
        <f t="shared" si="133"/>
        <v>COMPLETED</v>
      </c>
      <c r="AS261" t="str">
        <f t="shared" si="142"/>
        <v>OK</v>
      </c>
      <c r="AT261">
        <f t="shared" si="143"/>
        <v>3452.76</v>
      </c>
      <c r="AU261">
        <f t="shared" si="144"/>
        <v>1374.8000000000002</v>
      </c>
      <c r="AV261" s="6">
        <f t="shared" si="145"/>
        <v>0.39547608290179448</v>
      </c>
      <c r="AW261" t="str">
        <f t="shared" si="146"/>
        <v>CLEAN</v>
      </c>
      <c r="AX261" s="10" t="str">
        <f t="shared" si="147"/>
        <v>MATCH</v>
      </c>
      <c r="AY261" t="str">
        <f t="shared" si="148"/>
        <v>MATCH</v>
      </c>
    </row>
    <row r="262" spans="1:51">
      <c r="A262" t="s">
        <v>2264</v>
      </c>
      <c r="B262">
        <f t="shared" si="124"/>
        <v>1</v>
      </c>
      <c r="C262" t="s">
        <v>2007</v>
      </c>
      <c r="D262" s="3">
        <v>45558</v>
      </c>
      <c r="E262" t="str">
        <f t="shared" si="125"/>
        <v>2024/09/23</v>
      </c>
      <c r="F262" t="str">
        <f t="shared" si="134"/>
        <v>September</v>
      </c>
      <c r="G262">
        <f t="shared" si="135"/>
        <v>2024</v>
      </c>
      <c r="H262" t="s">
        <v>2265</v>
      </c>
      <c r="I262" s="4">
        <v>45560</v>
      </c>
      <c r="J262" s="8">
        <f t="shared" si="126"/>
        <v>2</v>
      </c>
      <c r="K262" s="8" t="str">
        <f t="shared" si="136"/>
        <v>OK</v>
      </c>
      <c r="L262" t="s">
        <v>2266</v>
      </c>
      <c r="M262" t="s">
        <v>161</v>
      </c>
      <c r="N262" t="str">
        <f t="shared" si="127"/>
        <v>Aarav Sharma</v>
      </c>
      <c r="O262" t="s">
        <v>114</v>
      </c>
      <c r="P262" t="str">
        <f t="shared" si="121"/>
        <v>Home Office</v>
      </c>
      <c r="Q262" t="s">
        <v>26</v>
      </c>
      <c r="R262" t="str">
        <f t="shared" si="149"/>
        <v>North</v>
      </c>
      <c r="S262" t="str">
        <f t="shared" si="137"/>
        <v>OK</v>
      </c>
      <c r="T262" t="s">
        <v>505</v>
      </c>
      <c r="U262" t="str">
        <f t="shared" si="128"/>
        <v>Delhi</v>
      </c>
      <c r="V262" t="s">
        <v>506</v>
      </c>
      <c r="W262" t="str">
        <f t="shared" si="129"/>
        <v>New Delhi</v>
      </c>
      <c r="X262" t="str">
        <f t="shared" si="130"/>
        <v>Office Supplies</v>
      </c>
      <c r="Y262" t="s">
        <v>29</v>
      </c>
      <c r="Z262" t="s">
        <v>197</v>
      </c>
      <c r="AA262" t="str">
        <f t="shared" si="131"/>
        <v>Binders</v>
      </c>
      <c r="AB262" t="s">
        <v>2267</v>
      </c>
      <c r="AC262" t="s">
        <v>55</v>
      </c>
      <c r="AD262" t="str">
        <f t="shared" si="123"/>
        <v>First Class</v>
      </c>
      <c r="AE262" t="str">
        <f t="shared" si="138"/>
        <v>OK</v>
      </c>
      <c r="AF262">
        <v>2</v>
      </c>
      <c r="AG262">
        <v>1275.1400000000001</v>
      </c>
      <c r="AH262">
        <v>0.2</v>
      </c>
      <c r="AI262">
        <f t="shared" si="139"/>
        <v>0.2</v>
      </c>
      <c r="AJ262" t="str">
        <f t="shared" si="140"/>
        <v>OK</v>
      </c>
      <c r="AK262">
        <v>2040.22</v>
      </c>
      <c r="AL262">
        <v>1395.71</v>
      </c>
      <c r="AM262">
        <v>644.51</v>
      </c>
      <c r="AN262" t="s">
        <v>33</v>
      </c>
      <c r="AO262" t="str">
        <f t="shared" si="132"/>
        <v>PAID</v>
      </c>
      <c r="AP262" t="str">
        <f t="shared" si="141"/>
        <v>OK</v>
      </c>
      <c r="AQ262" t="s">
        <v>34</v>
      </c>
      <c r="AR262" t="str">
        <f t="shared" si="133"/>
        <v>COMPLETED</v>
      </c>
      <c r="AS262" t="str">
        <f t="shared" si="142"/>
        <v>OK</v>
      </c>
      <c r="AT262">
        <f t="shared" si="143"/>
        <v>2040.2240000000002</v>
      </c>
      <c r="AU262">
        <f t="shared" si="144"/>
        <v>644.51400000000012</v>
      </c>
      <c r="AV262" s="6">
        <f t="shared" si="145"/>
        <v>0.22403128283953147</v>
      </c>
      <c r="AW262" t="str">
        <f t="shared" si="146"/>
        <v>CLEAN</v>
      </c>
      <c r="AX262" s="10" t="str">
        <f t="shared" si="147"/>
        <v>MATCH</v>
      </c>
      <c r="AY262" t="str">
        <f t="shared" si="148"/>
        <v>MATCH</v>
      </c>
    </row>
    <row r="263" spans="1:51">
      <c r="A263" t="s">
        <v>2277</v>
      </c>
      <c r="B263">
        <f t="shared" si="124"/>
        <v>1</v>
      </c>
      <c r="C263" t="s">
        <v>2278</v>
      </c>
      <c r="D263" s="3">
        <v>45320</v>
      </c>
      <c r="E263" t="str">
        <f t="shared" si="125"/>
        <v>2024/01/29</v>
      </c>
      <c r="F263" t="str">
        <f t="shared" si="134"/>
        <v>January</v>
      </c>
      <c r="G263">
        <f t="shared" si="135"/>
        <v>2024</v>
      </c>
      <c r="H263" t="s">
        <v>2279</v>
      </c>
      <c r="I263" s="4">
        <v>45328</v>
      </c>
      <c r="J263" s="8">
        <f t="shared" si="126"/>
        <v>8</v>
      </c>
      <c r="K263" s="8" t="str">
        <f t="shared" si="136"/>
        <v>OK</v>
      </c>
      <c r="L263" t="s">
        <v>2280</v>
      </c>
      <c r="M263" t="s">
        <v>161</v>
      </c>
      <c r="N263" t="str">
        <f t="shared" si="127"/>
        <v>Aarav Sharma</v>
      </c>
      <c r="O263" t="s">
        <v>40</v>
      </c>
      <c r="P263" t="str">
        <f t="shared" si="121"/>
        <v>Small Business</v>
      </c>
      <c r="Q263" t="s">
        <v>72</v>
      </c>
      <c r="R263" t="str">
        <f t="shared" si="149"/>
        <v>West</v>
      </c>
      <c r="S263" t="str">
        <f t="shared" si="137"/>
        <v>OK</v>
      </c>
      <c r="T263" t="s">
        <v>83</v>
      </c>
      <c r="U263" t="str">
        <f t="shared" si="128"/>
        <v>Madhya Pradesh</v>
      </c>
      <c r="V263" t="s">
        <v>84</v>
      </c>
      <c r="W263" t="str">
        <f t="shared" si="129"/>
        <v>Indore</v>
      </c>
      <c r="X263" t="str">
        <f t="shared" si="130"/>
        <v>Office Supplies</v>
      </c>
      <c r="Y263" t="s">
        <v>29</v>
      </c>
      <c r="Z263" t="s">
        <v>108</v>
      </c>
      <c r="AA263" t="str">
        <f t="shared" si="131"/>
        <v>Labels</v>
      </c>
      <c r="AB263" t="s">
        <v>2281</v>
      </c>
      <c r="AC263" t="s">
        <v>66</v>
      </c>
      <c r="AD263" t="str">
        <f t="shared" si="123"/>
        <v>Standard Class</v>
      </c>
      <c r="AE263" t="str">
        <f t="shared" si="138"/>
        <v>OK</v>
      </c>
      <c r="AF263">
        <v>2</v>
      </c>
      <c r="AG263">
        <v>1258.9000000000001</v>
      </c>
      <c r="AH263">
        <v>0</v>
      </c>
      <c r="AI263">
        <f t="shared" si="139"/>
        <v>0</v>
      </c>
      <c r="AJ263" t="str">
        <f t="shared" si="140"/>
        <v>OK</v>
      </c>
      <c r="AK263">
        <v>2517.8000000000002</v>
      </c>
      <c r="AL263">
        <v>1478.54</v>
      </c>
      <c r="AM263">
        <v>1039.26</v>
      </c>
      <c r="AN263" t="s">
        <v>33</v>
      </c>
      <c r="AO263" t="str">
        <f t="shared" si="132"/>
        <v>PAID</v>
      </c>
      <c r="AP263" t="str">
        <f t="shared" si="141"/>
        <v>OK</v>
      </c>
      <c r="AQ263" t="s">
        <v>34</v>
      </c>
      <c r="AR263" t="str">
        <f t="shared" si="133"/>
        <v>COMPLETED</v>
      </c>
      <c r="AS263" t="str">
        <f t="shared" si="142"/>
        <v>OK</v>
      </c>
      <c r="AT263">
        <f t="shared" si="143"/>
        <v>2517.8000000000002</v>
      </c>
      <c r="AU263">
        <f t="shared" si="144"/>
        <v>1039.2600000000002</v>
      </c>
      <c r="AV263" s="6">
        <f t="shared" si="145"/>
        <v>1.5643657161013576</v>
      </c>
      <c r="AW263" t="str">
        <f t="shared" si="146"/>
        <v>CLEAN</v>
      </c>
      <c r="AX263" s="10" t="str">
        <f t="shared" si="147"/>
        <v>MATCH</v>
      </c>
      <c r="AY263" t="str">
        <f t="shared" si="148"/>
        <v>MATCH</v>
      </c>
    </row>
    <row r="264" spans="1:51">
      <c r="A264" t="s">
        <v>2282</v>
      </c>
      <c r="B264">
        <f t="shared" si="124"/>
        <v>1</v>
      </c>
      <c r="C264" t="s">
        <v>2283</v>
      </c>
      <c r="D264" s="3">
        <v>45295</v>
      </c>
      <c r="E264" t="str">
        <f t="shared" si="125"/>
        <v>2024/01/04</v>
      </c>
      <c r="F264" t="str">
        <f t="shared" si="134"/>
        <v>January</v>
      </c>
      <c r="G264">
        <f t="shared" si="135"/>
        <v>2024</v>
      </c>
      <c r="H264" t="s">
        <v>2284</v>
      </c>
      <c r="I264" s="4">
        <v>45299</v>
      </c>
      <c r="J264" s="8">
        <f t="shared" si="126"/>
        <v>4</v>
      </c>
      <c r="K264" s="8" t="str">
        <f t="shared" si="136"/>
        <v>OK</v>
      </c>
      <c r="L264" t="s">
        <v>2285</v>
      </c>
      <c r="M264" t="s">
        <v>39</v>
      </c>
      <c r="N264" t="str">
        <f t="shared" si="127"/>
        <v>Mira Das</v>
      </c>
      <c r="O264" t="s">
        <v>40</v>
      </c>
      <c r="P264" t="str">
        <f t="shared" si="121"/>
        <v>Small Business</v>
      </c>
      <c r="Q264" t="s">
        <v>41</v>
      </c>
      <c r="R264" t="str">
        <f t="shared" si="149"/>
        <v>East</v>
      </c>
      <c r="S264" t="str">
        <f t="shared" si="137"/>
        <v>OK</v>
      </c>
      <c r="T264" t="s">
        <v>185</v>
      </c>
      <c r="U264" t="str">
        <f t="shared" si="128"/>
        <v>Bihar</v>
      </c>
      <c r="V264" t="s">
        <v>186</v>
      </c>
      <c r="W264" t="str">
        <f t="shared" si="129"/>
        <v>Patna</v>
      </c>
      <c r="X264" t="str">
        <f t="shared" si="130"/>
        <v>Technology</v>
      </c>
      <c r="Y264" t="s">
        <v>85</v>
      </c>
      <c r="Z264" t="s">
        <v>86</v>
      </c>
      <c r="AA264" t="str">
        <f t="shared" si="131"/>
        <v>Accessories</v>
      </c>
      <c r="AB264" t="s">
        <v>2286</v>
      </c>
      <c r="AC264" t="s">
        <v>47</v>
      </c>
      <c r="AD264" t="str">
        <f t="shared" ref="AD264:AD295" si="150">PROPER(TRIM(SUBSTITUTE(AC264,CHAR(160)," ")))</f>
        <v>Same Day</v>
      </c>
      <c r="AE264" t="str">
        <f t="shared" si="138"/>
        <v>OK</v>
      </c>
      <c r="AF264">
        <v>9</v>
      </c>
      <c r="AG264">
        <v>1591.96</v>
      </c>
      <c r="AH264">
        <v>0.2</v>
      </c>
      <c r="AI264">
        <f t="shared" si="139"/>
        <v>0.2</v>
      </c>
      <c r="AJ264" t="str">
        <f t="shared" si="140"/>
        <v>OK</v>
      </c>
      <c r="AK264">
        <v>11462.11</v>
      </c>
      <c r="AL264">
        <v>7105.48</v>
      </c>
      <c r="AM264">
        <v>4356.63</v>
      </c>
      <c r="AN264" t="s">
        <v>33</v>
      </c>
      <c r="AO264" t="str">
        <f t="shared" si="132"/>
        <v>PAID</v>
      </c>
      <c r="AP264" t="str">
        <f t="shared" si="141"/>
        <v>OK</v>
      </c>
      <c r="AQ264" t="s">
        <v>34</v>
      </c>
      <c r="AR264" t="str">
        <f t="shared" si="133"/>
        <v>COMPLETED</v>
      </c>
      <c r="AS264" t="str">
        <f t="shared" si="142"/>
        <v>OK</v>
      </c>
      <c r="AT264">
        <f t="shared" si="143"/>
        <v>11462.112000000001</v>
      </c>
      <c r="AU264">
        <f t="shared" si="144"/>
        <v>4356.6320000000014</v>
      </c>
      <c r="AV264" s="6">
        <f t="shared" si="145"/>
        <v>-2.0460944283217612</v>
      </c>
      <c r="AW264" t="str">
        <f t="shared" si="146"/>
        <v>CLEAN</v>
      </c>
      <c r="AX264" s="10" t="str">
        <f t="shared" si="147"/>
        <v>MATCH</v>
      </c>
      <c r="AY264" t="str">
        <f t="shared" si="148"/>
        <v>MATCH</v>
      </c>
    </row>
    <row r="265" spans="1:51">
      <c r="A265" t="s">
        <v>2287</v>
      </c>
      <c r="B265">
        <f t="shared" si="124"/>
        <v>1</v>
      </c>
      <c r="C265" t="s">
        <v>2288</v>
      </c>
      <c r="D265" s="3">
        <v>45524</v>
      </c>
      <c r="E265" t="str">
        <f t="shared" si="125"/>
        <v>2024/08/20</v>
      </c>
      <c r="F265" t="str">
        <f t="shared" si="134"/>
        <v>August</v>
      </c>
      <c r="G265">
        <f t="shared" si="135"/>
        <v>2024</v>
      </c>
      <c r="H265" t="s">
        <v>1625</v>
      </c>
      <c r="I265" s="4">
        <v>45525</v>
      </c>
      <c r="J265" s="8">
        <f t="shared" si="126"/>
        <v>1</v>
      </c>
      <c r="K265" s="8" t="str">
        <f t="shared" si="136"/>
        <v>OK</v>
      </c>
      <c r="L265" t="s">
        <v>2289</v>
      </c>
      <c r="M265" t="s">
        <v>106</v>
      </c>
      <c r="N265" t="str">
        <f t="shared" si="127"/>
        <v>Aditi Sen</v>
      </c>
      <c r="O265" t="s">
        <v>107</v>
      </c>
      <c r="P265" t="str">
        <f t="shared" ref="P265:P328" si="151">PROPER(TRIM(SUBSTITUTE(O265,CHAR(160)," ")))</f>
        <v>Corporate</v>
      </c>
      <c r="Q265" t="s">
        <v>41</v>
      </c>
      <c r="R265" t="str">
        <f t="shared" si="149"/>
        <v>East</v>
      </c>
      <c r="S265" t="str">
        <f t="shared" si="137"/>
        <v>OK</v>
      </c>
      <c r="T265" t="s">
        <v>42</v>
      </c>
      <c r="U265" t="str">
        <f t="shared" si="128"/>
        <v>Odisha</v>
      </c>
      <c r="V265" t="s">
        <v>43</v>
      </c>
      <c r="W265" t="str">
        <f t="shared" si="129"/>
        <v>Bhubaneswar</v>
      </c>
      <c r="X265" t="str">
        <f t="shared" si="130"/>
        <v>Technology</v>
      </c>
      <c r="Y265" t="s">
        <v>85</v>
      </c>
      <c r="Z265" t="s">
        <v>93</v>
      </c>
      <c r="AA265" t="str">
        <f t="shared" si="131"/>
        <v>Copiers</v>
      </c>
      <c r="AB265" t="s">
        <v>2290</v>
      </c>
      <c r="AC265" t="s">
        <v>55</v>
      </c>
      <c r="AD265" t="str">
        <f t="shared" si="150"/>
        <v>First Class</v>
      </c>
      <c r="AE265" t="str">
        <f t="shared" si="138"/>
        <v>OK</v>
      </c>
      <c r="AF265">
        <v>5</v>
      </c>
      <c r="AG265">
        <v>4288.33</v>
      </c>
      <c r="AH265">
        <v>0.1</v>
      </c>
      <c r="AI265">
        <f t="shared" si="139"/>
        <v>0.1</v>
      </c>
      <c r="AJ265" t="str">
        <f t="shared" si="140"/>
        <v>OK</v>
      </c>
      <c r="AK265">
        <v>19297.490000000002</v>
      </c>
      <c r="AL265">
        <v>15451.66</v>
      </c>
      <c r="AM265">
        <v>3845.83</v>
      </c>
      <c r="AN265" t="s">
        <v>123</v>
      </c>
      <c r="AO265" t="str">
        <f t="shared" si="132"/>
        <v>REFUNDED</v>
      </c>
      <c r="AP265" t="str">
        <f t="shared" si="141"/>
        <v>REFUNDED_PAYMENT</v>
      </c>
      <c r="AQ265" t="s">
        <v>77</v>
      </c>
      <c r="AR265" t="str">
        <f t="shared" si="133"/>
        <v>CANCELLED</v>
      </c>
      <c r="AS265" t="str">
        <f t="shared" si="142"/>
        <v>EXCLUDE_FROM_SALES</v>
      </c>
      <c r="AT265">
        <f t="shared" si="143"/>
        <v>19297.485000000001</v>
      </c>
      <c r="AU265">
        <f t="shared" si="144"/>
        <v>3845.8250000000007</v>
      </c>
      <c r="AV265" s="6">
        <f t="shared" si="145"/>
        <v>0.21818563403469401</v>
      </c>
      <c r="AW265" t="str">
        <f t="shared" si="146"/>
        <v>CLEAN</v>
      </c>
      <c r="AX265" s="10" t="str">
        <f t="shared" si="147"/>
        <v>MATCH</v>
      </c>
      <c r="AY265" t="str">
        <f t="shared" si="148"/>
        <v>MATCH</v>
      </c>
    </row>
    <row r="266" spans="1:51">
      <c r="A266" t="s">
        <v>2296</v>
      </c>
      <c r="B266">
        <f t="shared" si="124"/>
        <v>1</v>
      </c>
      <c r="C266" t="s">
        <v>2297</v>
      </c>
      <c r="D266" s="3">
        <v>45310</v>
      </c>
      <c r="E266" t="str">
        <f t="shared" si="125"/>
        <v>2024/01/19</v>
      </c>
      <c r="F266" t="str">
        <f t="shared" si="134"/>
        <v>January</v>
      </c>
      <c r="G266">
        <f t="shared" si="135"/>
        <v>2024</v>
      </c>
      <c r="H266" t="s">
        <v>2050</v>
      </c>
      <c r="I266" s="4">
        <v>45316</v>
      </c>
      <c r="J266" s="8">
        <f t="shared" si="126"/>
        <v>6</v>
      </c>
      <c r="K266" s="8" t="str">
        <f t="shared" si="136"/>
        <v>OK</v>
      </c>
      <c r="L266" t="s">
        <v>2298</v>
      </c>
      <c r="M266" t="s">
        <v>106</v>
      </c>
      <c r="N266" t="str">
        <f t="shared" si="127"/>
        <v>Aditi Sen</v>
      </c>
      <c r="O266" t="s">
        <v>107</v>
      </c>
      <c r="P266" t="str">
        <f t="shared" si="151"/>
        <v>Corporate</v>
      </c>
      <c r="Q266" t="s">
        <v>72</v>
      </c>
      <c r="R266" t="str">
        <f t="shared" si="149"/>
        <v>West</v>
      </c>
      <c r="S266" t="str">
        <f t="shared" si="137"/>
        <v>OK</v>
      </c>
      <c r="T266" t="s">
        <v>248</v>
      </c>
      <c r="U266" t="str">
        <f t="shared" si="128"/>
        <v>Goa</v>
      </c>
      <c r="V266" t="s">
        <v>249</v>
      </c>
      <c r="W266" t="str">
        <f t="shared" si="129"/>
        <v>Panaji</v>
      </c>
      <c r="X266" t="str">
        <f t="shared" si="130"/>
        <v>Technology</v>
      </c>
      <c r="Y266" t="s">
        <v>85</v>
      </c>
      <c r="Z266" t="s">
        <v>93</v>
      </c>
      <c r="AA266" t="str">
        <f t="shared" si="131"/>
        <v>Copiers</v>
      </c>
      <c r="AB266" t="s">
        <v>2299</v>
      </c>
      <c r="AC266" t="s">
        <v>55</v>
      </c>
      <c r="AD266" t="str">
        <f t="shared" si="150"/>
        <v>First Class</v>
      </c>
      <c r="AE266" t="str">
        <f t="shared" si="138"/>
        <v>OK</v>
      </c>
      <c r="AF266">
        <v>3</v>
      </c>
      <c r="AG266">
        <v>1041.6600000000001</v>
      </c>
      <c r="AH266">
        <v>0.1</v>
      </c>
      <c r="AI266">
        <f t="shared" si="139"/>
        <v>0.1</v>
      </c>
      <c r="AJ266" t="str">
        <f t="shared" si="140"/>
        <v>OK</v>
      </c>
      <c r="AK266">
        <v>2812.48</v>
      </c>
      <c r="AL266">
        <v>2282.12</v>
      </c>
      <c r="AM266">
        <v>530.36</v>
      </c>
      <c r="AN266" t="s">
        <v>33</v>
      </c>
      <c r="AO266" t="str">
        <f t="shared" si="132"/>
        <v>PAID</v>
      </c>
      <c r="AP266" t="str">
        <f t="shared" si="141"/>
        <v>OK</v>
      </c>
      <c r="AQ266" t="s">
        <v>34</v>
      </c>
      <c r="AR266" t="str">
        <f t="shared" si="133"/>
        <v>COMPLETED</v>
      </c>
      <c r="AS266" t="str">
        <f t="shared" si="142"/>
        <v>OK</v>
      </c>
      <c r="AT266">
        <f t="shared" si="143"/>
        <v>2812.4820000000004</v>
      </c>
      <c r="AU266">
        <f t="shared" si="144"/>
        <v>530.36200000000053</v>
      </c>
      <c r="AV266" s="6">
        <f t="shared" si="145"/>
        <v>0.38696140988635674</v>
      </c>
      <c r="AW266" t="str">
        <f t="shared" si="146"/>
        <v>CLEAN</v>
      </c>
      <c r="AX266" s="10" t="str">
        <f t="shared" si="147"/>
        <v>MATCH</v>
      </c>
      <c r="AY266" t="str">
        <f t="shared" si="148"/>
        <v>MATCH</v>
      </c>
    </row>
    <row r="267" spans="1:51">
      <c r="A267" t="s">
        <v>2300</v>
      </c>
      <c r="B267">
        <f t="shared" si="124"/>
        <v>1</v>
      </c>
      <c r="C267" t="s">
        <v>2301</v>
      </c>
      <c r="D267" s="3">
        <v>45501</v>
      </c>
      <c r="E267" t="str">
        <f t="shared" si="125"/>
        <v>2024/07/28</v>
      </c>
      <c r="F267" t="str">
        <f t="shared" si="134"/>
        <v>July</v>
      </c>
      <c r="G267">
        <f t="shared" si="135"/>
        <v>2024</v>
      </c>
      <c r="H267" t="s">
        <v>1593</v>
      </c>
      <c r="I267" s="4">
        <v>45504</v>
      </c>
      <c r="J267" s="8">
        <f t="shared" si="126"/>
        <v>3</v>
      </c>
      <c r="K267" s="8" t="str">
        <f t="shared" si="136"/>
        <v>OK</v>
      </c>
      <c r="L267" t="s">
        <v>2302</v>
      </c>
      <c r="M267" t="s">
        <v>106</v>
      </c>
      <c r="N267" t="str">
        <f t="shared" si="127"/>
        <v>Aditi Sen</v>
      </c>
      <c r="O267" t="s">
        <v>25</v>
      </c>
      <c r="P267" t="str">
        <f t="shared" si="151"/>
        <v>Consumer</v>
      </c>
      <c r="Q267" t="s">
        <v>26</v>
      </c>
      <c r="R267" t="str">
        <f t="shared" si="149"/>
        <v>North</v>
      </c>
      <c r="S267" t="str">
        <f t="shared" si="137"/>
        <v>OK</v>
      </c>
      <c r="T267" t="s">
        <v>27</v>
      </c>
      <c r="U267" t="str">
        <f t="shared" si="128"/>
        <v>Rajasthan</v>
      </c>
      <c r="V267" t="s">
        <v>28</v>
      </c>
      <c r="W267" t="str">
        <f t="shared" si="129"/>
        <v>Jaipur</v>
      </c>
      <c r="X267" t="str">
        <f t="shared" si="130"/>
        <v>Furniture</v>
      </c>
      <c r="Y267" t="s">
        <v>44</v>
      </c>
      <c r="Z267" t="s">
        <v>45</v>
      </c>
      <c r="AA267" t="str">
        <f t="shared" si="131"/>
        <v>Tables</v>
      </c>
      <c r="AB267" t="s">
        <v>2303</v>
      </c>
      <c r="AC267" t="s">
        <v>47</v>
      </c>
      <c r="AD267" t="str">
        <f t="shared" si="150"/>
        <v>Same Day</v>
      </c>
      <c r="AE267" t="str">
        <f t="shared" si="138"/>
        <v>OK</v>
      </c>
      <c r="AF267">
        <v>2</v>
      </c>
      <c r="AG267">
        <v>4424.78</v>
      </c>
      <c r="AH267">
        <v>0.2</v>
      </c>
      <c r="AI267">
        <f t="shared" si="139"/>
        <v>0.2</v>
      </c>
      <c r="AJ267" t="str">
        <f t="shared" si="140"/>
        <v>OK</v>
      </c>
      <c r="AK267">
        <v>7079.65</v>
      </c>
      <c r="AL267">
        <v>4465.91</v>
      </c>
      <c r="AM267">
        <v>2613.7399999999998</v>
      </c>
      <c r="AN267" t="s">
        <v>33</v>
      </c>
      <c r="AO267" t="str">
        <f t="shared" si="132"/>
        <v>PAID</v>
      </c>
      <c r="AP267" t="str">
        <f t="shared" si="141"/>
        <v>OK</v>
      </c>
      <c r="AQ267" t="s">
        <v>34</v>
      </c>
      <c r="AR267" t="str">
        <f t="shared" si="133"/>
        <v>COMPLETED</v>
      </c>
      <c r="AS267" t="str">
        <f t="shared" si="142"/>
        <v>OK</v>
      </c>
      <c r="AT267">
        <f t="shared" si="143"/>
        <v>7079.6480000000001</v>
      </c>
      <c r="AU267">
        <f t="shared" si="144"/>
        <v>2613.7380000000003</v>
      </c>
      <c r="AV267" s="6">
        <f t="shared" si="145"/>
        <v>0.15372543945687703</v>
      </c>
      <c r="AW267" t="str">
        <f t="shared" si="146"/>
        <v>CLEAN</v>
      </c>
      <c r="AX267" s="10" t="str">
        <f t="shared" si="147"/>
        <v>MATCH</v>
      </c>
      <c r="AY267" t="str">
        <f t="shared" si="148"/>
        <v>MATCH</v>
      </c>
    </row>
    <row r="268" spans="1:51">
      <c r="A268" t="s">
        <v>2304</v>
      </c>
      <c r="B268">
        <f t="shared" si="124"/>
        <v>1</v>
      </c>
      <c r="C268" t="s">
        <v>2305</v>
      </c>
      <c r="D268" s="3">
        <v>45333</v>
      </c>
      <c r="E268" t="str">
        <f t="shared" si="125"/>
        <v>2024/02/11</v>
      </c>
      <c r="F268" t="str">
        <f t="shared" si="134"/>
        <v>February</v>
      </c>
      <c r="G268">
        <f t="shared" si="135"/>
        <v>2024</v>
      </c>
      <c r="H268" t="s">
        <v>2306</v>
      </c>
      <c r="I268" s="4">
        <v>45337</v>
      </c>
      <c r="J268" s="8">
        <f t="shared" si="126"/>
        <v>4</v>
      </c>
      <c r="K268" s="8" t="str">
        <f t="shared" si="136"/>
        <v>OK</v>
      </c>
      <c r="L268" t="s">
        <v>2307</v>
      </c>
      <c r="M268" t="s">
        <v>365</v>
      </c>
      <c r="N268" t="str">
        <f t="shared" si="127"/>
        <v>Kabir Singh</v>
      </c>
      <c r="O268" t="s">
        <v>25</v>
      </c>
      <c r="P268" t="str">
        <f t="shared" si="151"/>
        <v>Consumer</v>
      </c>
      <c r="Q268" t="s">
        <v>61</v>
      </c>
      <c r="R268" t="str">
        <f t="shared" si="149"/>
        <v>South</v>
      </c>
      <c r="S268" t="str">
        <f t="shared" si="137"/>
        <v>OK</v>
      </c>
      <c r="T268" t="s">
        <v>62</v>
      </c>
      <c r="U268" t="str">
        <f t="shared" si="128"/>
        <v>Telangana</v>
      </c>
      <c r="V268" t="s">
        <v>63</v>
      </c>
      <c r="W268" t="str">
        <f t="shared" si="129"/>
        <v>Hyderabad</v>
      </c>
      <c r="X268" t="str">
        <f t="shared" si="130"/>
        <v>Office Supplies</v>
      </c>
      <c r="Y268" t="s">
        <v>29</v>
      </c>
      <c r="Z268" t="s">
        <v>197</v>
      </c>
      <c r="AA268" t="str">
        <f t="shared" si="131"/>
        <v>Binders</v>
      </c>
      <c r="AB268" t="s">
        <v>2308</v>
      </c>
      <c r="AC268" t="s">
        <v>66</v>
      </c>
      <c r="AD268" t="str">
        <f t="shared" si="150"/>
        <v>Standard Class</v>
      </c>
      <c r="AE268" t="str">
        <f t="shared" si="138"/>
        <v>OK</v>
      </c>
      <c r="AF268">
        <v>3</v>
      </c>
      <c r="AG268">
        <v>3019.14</v>
      </c>
      <c r="AH268">
        <v>0.25</v>
      </c>
      <c r="AI268">
        <f t="shared" si="139"/>
        <v>0.25</v>
      </c>
      <c r="AJ268" t="str">
        <f t="shared" si="140"/>
        <v>OK</v>
      </c>
      <c r="AK268">
        <v>6793.07</v>
      </c>
      <c r="AL268">
        <v>4985.22</v>
      </c>
      <c r="AM268">
        <v>1807.85</v>
      </c>
      <c r="AN268" t="s">
        <v>33</v>
      </c>
      <c r="AO268" t="str">
        <f t="shared" si="132"/>
        <v>PAID</v>
      </c>
      <c r="AP268" t="str">
        <f t="shared" si="141"/>
        <v>OK</v>
      </c>
      <c r="AQ268" t="s">
        <v>34</v>
      </c>
      <c r="AR268" t="str">
        <f t="shared" si="133"/>
        <v>COMPLETED</v>
      </c>
      <c r="AS268" t="str">
        <f t="shared" si="142"/>
        <v>OK</v>
      </c>
      <c r="AT268">
        <f t="shared" si="143"/>
        <v>6793.0650000000005</v>
      </c>
      <c r="AU268">
        <f t="shared" si="144"/>
        <v>1807.8450000000003</v>
      </c>
      <c r="AV268" s="6">
        <f t="shared" si="145"/>
        <v>0.50548169346237659</v>
      </c>
      <c r="AW268" t="str">
        <f t="shared" si="146"/>
        <v>CLEAN</v>
      </c>
      <c r="AX268" s="10" t="str">
        <f t="shared" si="147"/>
        <v>MATCH</v>
      </c>
      <c r="AY268" t="str">
        <f t="shared" si="148"/>
        <v>MATCH</v>
      </c>
    </row>
    <row r="269" spans="1:51">
      <c r="A269" t="s">
        <v>2309</v>
      </c>
      <c r="B269">
        <f t="shared" si="124"/>
        <v>1</v>
      </c>
      <c r="C269" t="s">
        <v>2310</v>
      </c>
      <c r="D269" s="3">
        <v>45353</v>
      </c>
      <c r="E269" t="str">
        <f t="shared" si="125"/>
        <v>2024/03/02</v>
      </c>
      <c r="F269" t="str">
        <f t="shared" si="134"/>
        <v>March</v>
      </c>
      <c r="G269">
        <f t="shared" si="135"/>
        <v>2024</v>
      </c>
      <c r="H269" t="s">
        <v>1505</v>
      </c>
      <c r="I269" s="4">
        <v>45358</v>
      </c>
      <c r="J269" s="8">
        <f t="shared" si="126"/>
        <v>5</v>
      </c>
      <c r="K269" s="8" t="str">
        <f t="shared" si="136"/>
        <v>OK</v>
      </c>
      <c r="L269" t="s">
        <v>2311</v>
      </c>
      <c r="M269" t="s">
        <v>179</v>
      </c>
      <c r="N269" t="str">
        <f t="shared" si="127"/>
        <v>Rohan Mehta</v>
      </c>
      <c r="O269" t="s">
        <v>107</v>
      </c>
      <c r="P269" t="str">
        <f t="shared" si="151"/>
        <v>Corporate</v>
      </c>
      <c r="Q269" t="s">
        <v>41</v>
      </c>
      <c r="R269" t="str">
        <f t="shared" si="149"/>
        <v>East</v>
      </c>
      <c r="S269" t="str">
        <f t="shared" si="137"/>
        <v>OK</v>
      </c>
      <c r="T269" t="s">
        <v>42</v>
      </c>
      <c r="U269" t="str">
        <f t="shared" si="128"/>
        <v>Odisha</v>
      </c>
      <c r="V269" t="s">
        <v>43</v>
      </c>
      <c r="W269" t="str">
        <f t="shared" si="129"/>
        <v>Bhubaneswar</v>
      </c>
      <c r="X269" t="str">
        <f t="shared" si="130"/>
        <v>Office Supplies</v>
      </c>
      <c r="Y269" t="s">
        <v>29</v>
      </c>
      <c r="Z269" t="s">
        <v>155</v>
      </c>
      <c r="AA269" t="str">
        <f t="shared" si="131"/>
        <v>Storage</v>
      </c>
      <c r="AB269" t="s">
        <v>2312</v>
      </c>
      <c r="AC269" t="s">
        <v>66</v>
      </c>
      <c r="AD269" t="str">
        <f t="shared" si="150"/>
        <v>Standard Class</v>
      </c>
      <c r="AE269" t="str">
        <f t="shared" si="138"/>
        <v>OK</v>
      </c>
      <c r="AF269">
        <v>7</v>
      </c>
      <c r="AG269">
        <v>263.45999999999998</v>
      </c>
      <c r="AH269">
        <v>0</v>
      </c>
      <c r="AI269">
        <f t="shared" si="139"/>
        <v>0</v>
      </c>
      <c r="AJ269" t="str">
        <f t="shared" si="140"/>
        <v>OK</v>
      </c>
      <c r="AK269">
        <v>1844.22</v>
      </c>
      <c r="AL269">
        <v>1094.21</v>
      </c>
      <c r="AM269">
        <v>750.01</v>
      </c>
      <c r="AN269" t="s">
        <v>33</v>
      </c>
      <c r="AO269" t="str">
        <f t="shared" si="132"/>
        <v>PAID</v>
      </c>
      <c r="AP269" t="str">
        <f t="shared" si="141"/>
        <v>OK</v>
      </c>
      <c r="AQ269" t="s">
        <v>34</v>
      </c>
      <c r="AR269" t="str">
        <f t="shared" si="133"/>
        <v>COMPLETED</v>
      </c>
      <c r="AS269" t="str">
        <f t="shared" si="142"/>
        <v>OK</v>
      </c>
      <c r="AT269">
        <f t="shared" si="143"/>
        <v>1844.2199999999998</v>
      </c>
      <c r="AU269">
        <f t="shared" si="144"/>
        <v>750.00999999999976</v>
      </c>
      <c r="AV269" s="6">
        <f t="shared" si="145"/>
        <v>2.3112687206515501</v>
      </c>
      <c r="AW269" t="str">
        <f t="shared" si="146"/>
        <v>CLEAN</v>
      </c>
      <c r="AX269" s="10" t="str">
        <f t="shared" si="147"/>
        <v>MATCH</v>
      </c>
      <c r="AY269" t="str">
        <f t="shared" si="148"/>
        <v>MATCH</v>
      </c>
    </row>
    <row r="270" spans="1:51">
      <c r="A270" t="s">
        <v>2313</v>
      </c>
      <c r="B270">
        <f t="shared" si="124"/>
        <v>1</v>
      </c>
      <c r="C270" t="s">
        <v>2314</v>
      </c>
      <c r="D270" s="3">
        <v>45609</v>
      </c>
      <c r="E270" t="str">
        <f t="shared" si="125"/>
        <v>2024/11/13</v>
      </c>
      <c r="F270" t="str">
        <f t="shared" si="134"/>
        <v>November</v>
      </c>
      <c r="G270">
        <f t="shared" si="135"/>
        <v>2024</v>
      </c>
      <c r="H270" t="s">
        <v>444</v>
      </c>
      <c r="I270" s="4">
        <v>45609</v>
      </c>
      <c r="J270" s="8">
        <f t="shared" si="126"/>
        <v>0</v>
      </c>
      <c r="K270" s="8" t="str">
        <f t="shared" si="136"/>
        <v>OK</v>
      </c>
      <c r="L270" t="s">
        <v>2315</v>
      </c>
      <c r="M270" t="s">
        <v>141</v>
      </c>
      <c r="N270" t="str">
        <f t="shared" si="127"/>
        <v>Priya Menon</v>
      </c>
      <c r="O270" t="s">
        <v>25</v>
      </c>
      <c r="P270" t="str">
        <f t="shared" si="151"/>
        <v>Consumer</v>
      </c>
      <c r="Q270" t="s">
        <v>72</v>
      </c>
      <c r="R270" t="str">
        <f t="shared" si="149"/>
        <v>West</v>
      </c>
      <c r="S270" t="str">
        <f t="shared" si="137"/>
        <v>OK</v>
      </c>
      <c r="T270" t="s">
        <v>248</v>
      </c>
      <c r="U270" t="str">
        <f t="shared" si="128"/>
        <v>Goa</v>
      </c>
      <c r="V270" t="s">
        <v>249</v>
      </c>
      <c r="W270" t="str">
        <f t="shared" si="129"/>
        <v>Panaji</v>
      </c>
      <c r="X270" t="str">
        <f t="shared" si="130"/>
        <v>Technology</v>
      </c>
      <c r="Y270" t="s">
        <v>85</v>
      </c>
      <c r="Z270" t="s">
        <v>93</v>
      </c>
      <c r="AA270" t="str">
        <f t="shared" si="131"/>
        <v>Copiers</v>
      </c>
      <c r="AB270" t="s">
        <v>2316</v>
      </c>
      <c r="AC270" t="s">
        <v>66</v>
      </c>
      <c r="AD270" t="str">
        <f t="shared" si="150"/>
        <v>Standard Class</v>
      </c>
      <c r="AE270" t="str">
        <f t="shared" si="138"/>
        <v>OK</v>
      </c>
      <c r="AF270">
        <v>6</v>
      </c>
      <c r="AG270">
        <v>191.45</v>
      </c>
      <c r="AH270">
        <v>0.2</v>
      </c>
      <c r="AI270">
        <f t="shared" si="139"/>
        <v>0.2</v>
      </c>
      <c r="AJ270" t="str">
        <f t="shared" si="140"/>
        <v>OK</v>
      </c>
      <c r="AK270">
        <v>918.96</v>
      </c>
      <c r="AL270">
        <v>554.17999999999995</v>
      </c>
      <c r="AM270">
        <v>364.78</v>
      </c>
      <c r="AN270" t="s">
        <v>33</v>
      </c>
      <c r="AO270" t="str">
        <f t="shared" si="132"/>
        <v>PAID</v>
      </c>
      <c r="AP270" t="str">
        <f t="shared" si="141"/>
        <v>OK</v>
      </c>
      <c r="AQ270" t="s">
        <v>34</v>
      </c>
      <c r="AR270" t="str">
        <f t="shared" si="133"/>
        <v>COMPLETED</v>
      </c>
      <c r="AS270" t="str">
        <f t="shared" si="142"/>
        <v>OK</v>
      </c>
      <c r="AT270">
        <f t="shared" si="143"/>
        <v>918.95999999999992</v>
      </c>
      <c r="AU270">
        <f t="shared" si="144"/>
        <v>364.78</v>
      </c>
      <c r="AV270" s="6">
        <f t="shared" si="145"/>
        <v>0.39563201880386506</v>
      </c>
      <c r="AW270" t="str">
        <f t="shared" si="146"/>
        <v>CLEAN</v>
      </c>
      <c r="AX270" s="10" t="str">
        <f t="shared" si="147"/>
        <v>MATCH</v>
      </c>
      <c r="AY270" t="str">
        <f t="shared" si="148"/>
        <v>MATCH</v>
      </c>
    </row>
    <row r="271" spans="1:51">
      <c r="A271" t="s">
        <v>2317</v>
      </c>
      <c r="B271">
        <f t="shared" si="124"/>
        <v>1</v>
      </c>
      <c r="C271" t="s">
        <v>1219</v>
      </c>
      <c r="D271" s="3">
        <v>45446</v>
      </c>
      <c r="E271" t="str">
        <f t="shared" si="125"/>
        <v>2024/06/03</v>
      </c>
      <c r="F271" t="str">
        <f t="shared" si="134"/>
        <v>June</v>
      </c>
      <c r="G271">
        <f t="shared" si="135"/>
        <v>2024</v>
      </c>
      <c r="H271" t="s">
        <v>2318</v>
      </c>
      <c r="I271" s="4">
        <v>45453</v>
      </c>
      <c r="J271" s="8">
        <f t="shared" si="126"/>
        <v>7</v>
      </c>
      <c r="K271" s="8" t="str">
        <f t="shared" si="136"/>
        <v>OK</v>
      </c>
      <c r="L271" t="s">
        <v>2319</v>
      </c>
      <c r="M271" t="s">
        <v>209</v>
      </c>
      <c r="N271" t="str">
        <f t="shared" si="127"/>
        <v>Diya Patel</v>
      </c>
      <c r="O271" t="s">
        <v>107</v>
      </c>
      <c r="P271" t="str">
        <f t="shared" si="151"/>
        <v>Corporate</v>
      </c>
      <c r="Q271" t="s">
        <v>26</v>
      </c>
      <c r="R271" t="str">
        <f t="shared" si="149"/>
        <v>North</v>
      </c>
      <c r="S271" t="str">
        <f t="shared" si="137"/>
        <v>OK</v>
      </c>
      <c r="T271" t="s">
        <v>153</v>
      </c>
      <c r="U271" t="str">
        <f t="shared" si="128"/>
        <v>Punjab</v>
      </c>
      <c r="V271" t="s">
        <v>154</v>
      </c>
      <c r="W271" t="str">
        <f t="shared" si="129"/>
        <v>Ludhiana</v>
      </c>
      <c r="X271" t="str">
        <f t="shared" si="130"/>
        <v>Furniture</v>
      </c>
      <c r="Y271" t="s">
        <v>44</v>
      </c>
      <c r="Z271" t="s">
        <v>64</v>
      </c>
      <c r="AA271" t="str">
        <f t="shared" si="131"/>
        <v>Furnishings</v>
      </c>
      <c r="AB271" t="s">
        <v>2320</v>
      </c>
      <c r="AC271" t="s">
        <v>66</v>
      </c>
      <c r="AD271" t="str">
        <f t="shared" si="150"/>
        <v>Standard Class</v>
      </c>
      <c r="AE271" t="str">
        <f t="shared" si="138"/>
        <v>OK</v>
      </c>
      <c r="AF271">
        <v>3</v>
      </c>
      <c r="AG271">
        <v>1633.57</v>
      </c>
      <c r="AH271">
        <v>0</v>
      </c>
      <c r="AI271">
        <f t="shared" si="139"/>
        <v>0</v>
      </c>
      <c r="AJ271" t="str">
        <f t="shared" si="140"/>
        <v>OK</v>
      </c>
      <c r="AK271">
        <v>4900.71</v>
      </c>
      <c r="AL271">
        <v>2713.9</v>
      </c>
      <c r="AM271">
        <v>2186.81</v>
      </c>
      <c r="AN271" t="s">
        <v>33</v>
      </c>
      <c r="AO271" t="str">
        <f t="shared" si="132"/>
        <v>PAID</v>
      </c>
      <c r="AP271" t="str">
        <f t="shared" si="141"/>
        <v>OK</v>
      </c>
      <c r="AQ271" t="s">
        <v>34</v>
      </c>
      <c r="AR271" t="str">
        <f t="shared" si="133"/>
        <v>COMPLETED</v>
      </c>
      <c r="AS271" t="str">
        <f t="shared" si="142"/>
        <v>OK</v>
      </c>
      <c r="AT271">
        <f t="shared" si="143"/>
        <v>4900.71</v>
      </c>
      <c r="AU271">
        <f t="shared" si="144"/>
        <v>2186.81</v>
      </c>
      <c r="AV271" s="6">
        <f t="shared" si="145"/>
        <v>0.64161519453303706</v>
      </c>
      <c r="AW271" t="str">
        <f t="shared" si="146"/>
        <v>CLEAN</v>
      </c>
      <c r="AX271" s="10" t="str">
        <f t="shared" si="147"/>
        <v>MATCH</v>
      </c>
      <c r="AY271" t="str">
        <f t="shared" si="148"/>
        <v>MATCH</v>
      </c>
    </row>
    <row r="272" spans="1:51">
      <c r="A272" t="s">
        <v>2326</v>
      </c>
      <c r="B272">
        <f t="shared" si="124"/>
        <v>1</v>
      </c>
      <c r="C272" t="s">
        <v>2327</v>
      </c>
      <c r="D272" s="3">
        <v>45478</v>
      </c>
      <c r="E272" t="str">
        <f t="shared" si="125"/>
        <v>2024/07/05</v>
      </c>
      <c r="F272" t="str">
        <f t="shared" si="134"/>
        <v>July</v>
      </c>
      <c r="G272">
        <f t="shared" si="135"/>
        <v>2024</v>
      </c>
      <c r="H272" t="s">
        <v>2328</v>
      </c>
      <c r="I272" s="4">
        <v>45426</v>
      </c>
      <c r="J272" s="8">
        <f t="shared" si="126"/>
        <v>-52</v>
      </c>
      <c r="K272" s="8" t="str">
        <f t="shared" si="136"/>
        <v>INVAILD_SHIPPING</v>
      </c>
      <c r="L272" t="s">
        <v>2329</v>
      </c>
      <c r="M272" t="s">
        <v>167</v>
      </c>
      <c r="N272" t="str">
        <f t="shared" si="127"/>
        <v>Sneha Kapoor</v>
      </c>
      <c r="O272" t="s">
        <v>40</v>
      </c>
      <c r="P272" t="str">
        <f t="shared" si="151"/>
        <v>Small Business</v>
      </c>
      <c r="Q272" t="s">
        <v>26</v>
      </c>
      <c r="R272" t="str">
        <f t="shared" si="149"/>
        <v>North</v>
      </c>
      <c r="S272" t="str">
        <f t="shared" si="137"/>
        <v>OK</v>
      </c>
      <c r="T272" t="s">
        <v>27</v>
      </c>
      <c r="U272" t="str">
        <f t="shared" si="128"/>
        <v>Rajasthan</v>
      </c>
      <c r="V272" t="s">
        <v>28</v>
      </c>
      <c r="W272" t="str">
        <f t="shared" si="129"/>
        <v>Jaipur</v>
      </c>
      <c r="X272" t="str">
        <f t="shared" si="130"/>
        <v>Office Supplies</v>
      </c>
      <c r="Y272" t="s">
        <v>29</v>
      </c>
      <c r="Z272" t="s">
        <v>155</v>
      </c>
      <c r="AA272" t="str">
        <f t="shared" si="131"/>
        <v>Storage</v>
      </c>
      <c r="AB272" t="s">
        <v>2330</v>
      </c>
      <c r="AC272" t="s">
        <v>55</v>
      </c>
      <c r="AD272" t="str">
        <f t="shared" si="150"/>
        <v>First Class</v>
      </c>
      <c r="AE272" t="str">
        <f t="shared" si="138"/>
        <v>OK</v>
      </c>
      <c r="AF272">
        <v>3</v>
      </c>
      <c r="AG272">
        <v>383.58</v>
      </c>
      <c r="AH272">
        <v>0.1</v>
      </c>
      <c r="AI272">
        <f t="shared" si="139"/>
        <v>0.1</v>
      </c>
      <c r="AJ272" t="str">
        <f t="shared" si="140"/>
        <v>OK</v>
      </c>
      <c r="AK272">
        <v>1035.67</v>
      </c>
      <c r="AL272">
        <v>595.41999999999996</v>
      </c>
      <c r="AM272">
        <v>440.25</v>
      </c>
      <c r="AN272" t="s">
        <v>33</v>
      </c>
      <c r="AO272" t="str">
        <f t="shared" si="132"/>
        <v>PAID</v>
      </c>
      <c r="AP272" t="str">
        <f t="shared" si="141"/>
        <v>OK</v>
      </c>
      <c r="AQ272" t="s">
        <v>34</v>
      </c>
      <c r="AR272" t="str">
        <f t="shared" si="133"/>
        <v>COMPLETED</v>
      </c>
      <c r="AS272" t="str">
        <f t="shared" si="142"/>
        <v>OK</v>
      </c>
      <c r="AT272">
        <f t="shared" si="143"/>
        <v>1035.6659999999999</v>
      </c>
      <c r="AU272">
        <f t="shared" si="144"/>
        <v>440.24599999999998</v>
      </c>
      <c r="AV272" s="6">
        <f t="shared" si="145"/>
        <v>1.5372330461751187</v>
      </c>
      <c r="AW272" t="str">
        <f t="shared" si="146"/>
        <v>CLEAN</v>
      </c>
      <c r="AX272" s="10" t="str">
        <f t="shared" si="147"/>
        <v>MATCH</v>
      </c>
      <c r="AY272" t="str">
        <f t="shared" si="148"/>
        <v>MATCH</v>
      </c>
    </row>
    <row r="273" spans="1:51">
      <c r="A273" t="s">
        <v>2336</v>
      </c>
      <c r="B273">
        <f t="shared" si="124"/>
        <v>1</v>
      </c>
      <c r="C273" t="s">
        <v>2337</v>
      </c>
      <c r="D273" s="3">
        <v>45541</v>
      </c>
      <c r="E273" t="str">
        <f t="shared" si="125"/>
        <v>2024/09/06</v>
      </c>
      <c r="F273" t="str">
        <f t="shared" si="134"/>
        <v>September</v>
      </c>
      <c r="G273">
        <f t="shared" si="135"/>
        <v>2024</v>
      </c>
      <c r="H273" t="s">
        <v>2338</v>
      </c>
      <c r="I273" s="4">
        <v>45456</v>
      </c>
      <c r="J273" s="8">
        <f t="shared" si="126"/>
        <v>-85</v>
      </c>
      <c r="K273" s="8" t="str">
        <f t="shared" si="136"/>
        <v>INVAILD_SHIPPING</v>
      </c>
      <c r="L273" t="s">
        <v>2339</v>
      </c>
      <c r="M273" t="s">
        <v>39</v>
      </c>
      <c r="N273" t="str">
        <f t="shared" si="127"/>
        <v>Mira Das</v>
      </c>
      <c r="O273" t="s">
        <v>114</v>
      </c>
      <c r="P273" t="str">
        <f t="shared" si="151"/>
        <v>Home Office</v>
      </c>
      <c r="R273" t="s">
        <v>4109</v>
      </c>
      <c r="S273" t="str">
        <f t="shared" si="137"/>
        <v>MISSING_REGION</v>
      </c>
      <c r="T273" t="s">
        <v>173</v>
      </c>
      <c r="U273" t="str">
        <f t="shared" si="128"/>
        <v>Uttar Pradesh</v>
      </c>
      <c r="V273" t="s">
        <v>174</v>
      </c>
      <c r="W273" t="str">
        <f t="shared" si="129"/>
        <v>Noida</v>
      </c>
      <c r="X273" t="str">
        <f t="shared" si="130"/>
        <v>Technology</v>
      </c>
      <c r="Y273" t="s">
        <v>85</v>
      </c>
      <c r="Z273" t="s">
        <v>381</v>
      </c>
      <c r="AA273" t="str">
        <f t="shared" si="131"/>
        <v>Machines</v>
      </c>
      <c r="AB273" t="s">
        <v>2340</v>
      </c>
      <c r="AC273" t="s">
        <v>47</v>
      </c>
      <c r="AD273" t="str">
        <f t="shared" si="150"/>
        <v>Same Day</v>
      </c>
      <c r="AE273" t="str">
        <f t="shared" si="138"/>
        <v>OK</v>
      </c>
      <c r="AF273">
        <v>7</v>
      </c>
      <c r="AG273">
        <v>4079.71</v>
      </c>
      <c r="AH273">
        <v>0.1</v>
      </c>
      <c r="AI273">
        <f t="shared" si="139"/>
        <v>0.1</v>
      </c>
      <c r="AJ273" t="str">
        <f t="shared" si="140"/>
        <v>OK</v>
      </c>
      <c r="AK273">
        <v>25702.17</v>
      </c>
      <c r="AL273">
        <v>14571.48</v>
      </c>
      <c r="AM273">
        <v>11130.69</v>
      </c>
      <c r="AN273" t="s">
        <v>123</v>
      </c>
      <c r="AO273" t="str">
        <f t="shared" si="132"/>
        <v>REFUNDED</v>
      </c>
      <c r="AP273" t="str">
        <f t="shared" si="141"/>
        <v>REFUNDED_PAYMENT</v>
      </c>
      <c r="AQ273" t="s">
        <v>124</v>
      </c>
      <c r="AR273" t="str">
        <f t="shared" si="133"/>
        <v>RETURNED</v>
      </c>
      <c r="AS273" t="str">
        <f t="shared" si="142"/>
        <v>RETURNED_ORDER</v>
      </c>
      <c r="AT273">
        <f t="shared" si="143"/>
        <v>25702.173000000003</v>
      </c>
      <c r="AU273">
        <f t="shared" si="144"/>
        <v>11130.693000000003</v>
      </c>
      <c r="AV273" s="6">
        <f t="shared" si="145"/>
        <v>6.1694102673731127E-2</v>
      </c>
      <c r="AW273" t="str">
        <f t="shared" si="146"/>
        <v>WARNING</v>
      </c>
      <c r="AX273" s="10" t="str">
        <f t="shared" si="147"/>
        <v>MATCH</v>
      </c>
      <c r="AY273" t="str">
        <f t="shared" si="148"/>
        <v>MATCH</v>
      </c>
    </row>
    <row r="274" spans="1:51">
      <c r="A274" t="s">
        <v>2341</v>
      </c>
      <c r="B274">
        <f t="shared" si="124"/>
        <v>1</v>
      </c>
      <c r="C274" t="s">
        <v>2342</v>
      </c>
      <c r="D274" s="2">
        <v>45345</v>
      </c>
      <c r="E274" t="str">
        <f t="shared" si="125"/>
        <v>2024/02/23</v>
      </c>
      <c r="F274" t="str">
        <f t="shared" si="134"/>
        <v>February</v>
      </c>
      <c r="G274">
        <f t="shared" si="135"/>
        <v>2024</v>
      </c>
      <c r="H274" t="s">
        <v>2087</v>
      </c>
      <c r="I274" s="4">
        <v>45342</v>
      </c>
      <c r="J274" s="8">
        <f t="shared" si="126"/>
        <v>-3</v>
      </c>
      <c r="K274" s="8" t="str">
        <f t="shared" si="136"/>
        <v>INVAILD_SHIPPING</v>
      </c>
      <c r="L274" t="s">
        <v>2343</v>
      </c>
      <c r="M274" t="s">
        <v>60</v>
      </c>
      <c r="N274" t="str">
        <f t="shared" si="127"/>
        <v>Arjun Bose</v>
      </c>
      <c r="O274" t="s">
        <v>107</v>
      </c>
      <c r="P274" t="str">
        <f t="shared" si="151"/>
        <v>Corporate</v>
      </c>
      <c r="Q274" t="s">
        <v>41</v>
      </c>
      <c r="R274" t="str">
        <f t="shared" ref="R274:R315" si="152">PROPER(TRIM(SUBSTITUTE(Q274,CHAR(160)," ")))</f>
        <v>East</v>
      </c>
      <c r="S274" t="str">
        <f t="shared" si="137"/>
        <v>OK</v>
      </c>
      <c r="T274" t="s">
        <v>42</v>
      </c>
      <c r="U274" t="str">
        <f t="shared" si="128"/>
        <v>Odisha</v>
      </c>
      <c r="V274" t="s">
        <v>43</v>
      </c>
      <c r="W274" t="str">
        <f t="shared" si="129"/>
        <v>Bhubaneswar</v>
      </c>
      <c r="X274" t="str">
        <f t="shared" si="130"/>
        <v>Furniture</v>
      </c>
      <c r="Y274" t="s">
        <v>44</v>
      </c>
      <c r="Z274" t="s">
        <v>75</v>
      </c>
      <c r="AA274" t="str">
        <f t="shared" si="131"/>
        <v>Chairs</v>
      </c>
      <c r="AB274" t="s">
        <v>2344</v>
      </c>
      <c r="AC274" t="s">
        <v>32</v>
      </c>
      <c r="AD274" t="str">
        <f t="shared" si="150"/>
        <v>Second Class</v>
      </c>
      <c r="AE274" t="str">
        <f t="shared" si="138"/>
        <v>OK</v>
      </c>
      <c r="AF274">
        <v>1</v>
      </c>
      <c r="AG274">
        <v>2202.5500000000002</v>
      </c>
      <c r="AI274">
        <f t="shared" si="139"/>
        <v>0</v>
      </c>
      <c r="AJ274" t="str">
        <f t="shared" si="140"/>
        <v>Missing Discount</v>
      </c>
      <c r="AK274">
        <v>1651.91</v>
      </c>
      <c r="AL274">
        <v>1034.57</v>
      </c>
      <c r="AM274">
        <v>617.34</v>
      </c>
      <c r="AN274" t="s">
        <v>33</v>
      </c>
      <c r="AO274" t="str">
        <f t="shared" si="132"/>
        <v>PAID</v>
      </c>
      <c r="AP274" t="str">
        <f t="shared" si="141"/>
        <v>OK</v>
      </c>
      <c r="AQ274" t="s">
        <v>34</v>
      </c>
      <c r="AR274" t="str">
        <f t="shared" si="133"/>
        <v>COMPLETED</v>
      </c>
      <c r="AS274" t="str">
        <f t="shared" si="142"/>
        <v>OK</v>
      </c>
      <c r="AT274">
        <f t="shared" si="143"/>
        <v>2202.5500000000002</v>
      </c>
      <c r="AU274">
        <f t="shared" si="144"/>
        <v>1167.9800000000002</v>
      </c>
      <c r="AV274" s="6">
        <f t="shared" si="145"/>
        <v>4.190232230823363</v>
      </c>
      <c r="AW274" t="str">
        <f t="shared" si="146"/>
        <v>INVALID</v>
      </c>
      <c r="AX274" s="10" t="str">
        <f t="shared" si="147"/>
        <v>MISMATCH</v>
      </c>
      <c r="AY274" t="str">
        <f t="shared" si="148"/>
        <v>MISMATCH</v>
      </c>
    </row>
    <row r="275" spans="1:51">
      <c r="A275" t="s">
        <v>2353</v>
      </c>
      <c r="B275">
        <f t="shared" si="124"/>
        <v>1</v>
      </c>
      <c r="C275" t="s">
        <v>262</v>
      </c>
      <c r="D275" s="3">
        <v>45495</v>
      </c>
      <c r="E275" t="str">
        <f t="shared" si="125"/>
        <v>2024/07/22</v>
      </c>
      <c r="F275" t="str">
        <f t="shared" si="134"/>
        <v>July</v>
      </c>
      <c r="G275">
        <f t="shared" si="135"/>
        <v>2024</v>
      </c>
      <c r="H275" t="s">
        <v>262</v>
      </c>
      <c r="I275" s="4">
        <v>45495</v>
      </c>
      <c r="J275" s="8">
        <f t="shared" si="126"/>
        <v>0</v>
      </c>
      <c r="K275" s="8" t="str">
        <f t="shared" si="136"/>
        <v>OK</v>
      </c>
      <c r="L275" t="s">
        <v>2354</v>
      </c>
      <c r="M275" t="s">
        <v>141</v>
      </c>
      <c r="N275" t="str">
        <f t="shared" si="127"/>
        <v>Priya Menon</v>
      </c>
      <c r="O275" t="s">
        <v>25</v>
      </c>
      <c r="P275" t="str">
        <f t="shared" si="151"/>
        <v>Consumer</v>
      </c>
      <c r="Q275" t="s">
        <v>61</v>
      </c>
      <c r="R275" t="str">
        <f t="shared" si="152"/>
        <v>South</v>
      </c>
      <c r="S275" t="str">
        <f t="shared" si="137"/>
        <v>OK</v>
      </c>
      <c r="T275" t="s">
        <v>228</v>
      </c>
      <c r="U275" t="str">
        <f t="shared" si="128"/>
        <v>Karnataka</v>
      </c>
      <c r="V275" t="s">
        <v>229</v>
      </c>
      <c r="W275" t="str">
        <f t="shared" si="129"/>
        <v>Bengaluru</v>
      </c>
      <c r="X275" t="str">
        <f t="shared" si="130"/>
        <v>Technology</v>
      </c>
      <c r="Y275" t="s">
        <v>85</v>
      </c>
      <c r="Z275" t="s">
        <v>86</v>
      </c>
      <c r="AA275" t="str">
        <f t="shared" si="131"/>
        <v>Accessories</v>
      </c>
      <c r="AB275" t="s">
        <v>2355</v>
      </c>
      <c r="AC275" t="s">
        <v>32</v>
      </c>
      <c r="AD275" t="str">
        <f t="shared" si="150"/>
        <v>Second Class</v>
      </c>
      <c r="AE275" t="str">
        <f t="shared" si="138"/>
        <v>OK</v>
      </c>
      <c r="AF275">
        <v>3</v>
      </c>
      <c r="AG275">
        <v>1286.22</v>
      </c>
      <c r="AH275">
        <v>0.25</v>
      </c>
      <c r="AI275">
        <f t="shared" si="139"/>
        <v>0.25</v>
      </c>
      <c r="AJ275" t="str">
        <f t="shared" si="140"/>
        <v>OK</v>
      </c>
      <c r="AK275">
        <v>2893.99</v>
      </c>
      <c r="AL275">
        <v>1856.03</v>
      </c>
      <c r="AM275">
        <v>1037.96</v>
      </c>
      <c r="AN275" t="s">
        <v>33</v>
      </c>
      <c r="AO275" t="str">
        <f t="shared" si="132"/>
        <v>PAID</v>
      </c>
      <c r="AP275" t="str">
        <f t="shared" si="141"/>
        <v>OK</v>
      </c>
      <c r="AQ275" t="s">
        <v>34</v>
      </c>
      <c r="AR275" t="str">
        <f t="shared" si="133"/>
        <v>COMPLETED</v>
      </c>
      <c r="AS275" t="str">
        <f t="shared" si="142"/>
        <v>OK</v>
      </c>
      <c r="AT275">
        <f t="shared" si="143"/>
        <v>2893.9949999999999</v>
      </c>
      <c r="AU275">
        <f t="shared" si="144"/>
        <v>1037.9649999999999</v>
      </c>
      <c r="AV275" s="6">
        <f t="shared" si="145"/>
        <v>0.22369078039181128</v>
      </c>
      <c r="AW275" t="str">
        <f t="shared" si="146"/>
        <v>CLEAN</v>
      </c>
      <c r="AX275" s="10" t="str">
        <f t="shared" si="147"/>
        <v>MISMATCH</v>
      </c>
      <c r="AY275" t="str">
        <f t="shared" si="148"/>
        <v>MISMATCH</v>
      </c>
    </row>
    <row r="276" spans="1:51">
      <c r="A276" t="s">
        <v>2356</v>
      </c>
      <c r="B276">
        <f t="shared" si="124"/>
        <v>1</v>
      </c>
      <c r="C276" t="s">
        <v>1404</v>
      </c>
      <c r="D276" s="2">
        <v>45651</v>
      </c>
      <c r="E276" t="str">
        <f t="shared" si="125"/>
        <v>2024/12/25</v>
      </c>
      <c r="F276" t="str">
        <f t="shared" si="134"/>
        <v>December</v>
      </c>
      <c r="G276">
        <f t="shared" si="135"/>
        <v>2024</v>
      </c>
      <c r="H276" t="s">
        <v>2357</v>
      </c>
      <c r="I276" s="4">
        <v>45651</v>
      </c>
      <c r="J276" s="8">
        <f t="shared" si="126"/>
        <v>0</v>
      </c>
      <c r="K276" s="8" t="str">
        <f t="shared" si="136"/>
        <v>OK</v>
      </c>
      <c r="L276" t="s">
        <v>2358</v>
      </c>
      <c r="M276" t="s">
        <v>39</v>
      </c>
      <c r="N276" t="str">
        <f t="shared" si="127"/>
        <v>Mira Das</v>
      </c>
      <c r="O276" t="s">
        <v>107</v>
      </c>
      <c r="P276" t="str">
        <f t="shared" si="151"/>
        <v>Corporate</v>
      </c>
      <c r="Q276" t="s">
        <v>41</v>
      </c>
      <c r="R276" t="str">
        <f t="shared" si="152"/>
        <v>East</v>
      </c>
      <c r="S276" t="str">
        <f t="shared" si="137"/>
        <v>OK</v>
      </c>
      <c r="T276" t="s">
        <v>185</v>
      </c>
      <c r="U276" t="str">
        <f t="shared" si="128"/>
        <v>Bihar</v>
      </c>
      <c r="V276" t="s">
        <v>186</v>
      </c>
      <c r="W276" t="str">
        <f t="shared" si="129"/>
        <v>Patna</v>
      </c>
      <c r="X276" t="str">
        <f t="shared" si="130"/>
        <v>Technology</v>
      </c>
      <c r="Y276" t="s">
        <v>85</v>
      </c>
      <c r="Z276" t="s">
        <v>93</v>
      </c>
      <c r="AA276" t="str">
        <f t="shared" si="131"/>
        <v>Copiers</v>
      </c>
      <c r="AB276" t="s">
        <v>2359</v>
      </c>
      <c r="AC276" t="s">
        <v>66</v>
      </c>
      <c r="AD276" t="str">
        <f t="shared" si="150"/>
        <v>Standard Class</v>
      </c>
      <c r="AE276" t="str">
        <f t="shared" si="138"/>
        <v>OK</v>
      </c>
      <c r="AF276">
        <v>1</v>
      </c>
      <c r="AG276">
        <v>829.66</v>
      </c>
      <c r="AH276">
        <v>0.15</v>
      </c>
      <c r="AI276">
        <f t="shared" si="139"/>
        <v>0.15</v>
      </c>
      <c r="AJ276" t="str">
        <f t="shared" si="140"/>
        <v>OK</v>
      </c>
      <c r="AK276">
        <v>705.21</v>
      </c>
      <c r="AL276">
        <v>438.32</v>
      </c>
      <c r="AM276">
        <v>266.89</v>
      </c>
      <c r="AN276" t="s">
        <v>33</v>
      </c>
      <c r="AO276" t="str">
        <f t="shared" si="132"/>
        <v>PAID</v>
      </c>
      <c r="AP276" t="str">
        <f t="shared" si="141"/>
        <v>OK</v>
      </c>
      <c r="AQ276" t="s">
        <v>34</v>
      </c>
      <c r="AR276" t="str">
        <f t="shared" si="133"/>
        <v>COMPLETED</v>
      </c>
      <c r="AS276" t="str">
        <f t="shared" si="142"/>
        <v>OK</v>
      </c>
      <c r="AT276">
        <f t="shared" si="143"/>
        <v>705.2109999999999</v>
      </c>
      <c r="AU276">
        <f t="shared" si="144"/>
        <v>266.89099999999991</v>
      </c>
      <c r="AV276" s="6">
        <f t="shared" si="145"/>
        <v>1.0152486277156767</v>
      </c>
      <c r="AW276" t="str">
        <f t="shared" si="146"/>
        <v>CLEAN</v>
      </c>
      <c r="AX276" s="10" t="str">
        <f t="shared" si="147"/>
        <v>MATCH</v>
      </c>
      <c r="AY276" t="str">
        <f t="shared" si="148"/>
        <v>MATCH</v>
      </c>
    </row>
    <row r="277" spans="1:51">
      <c r="A277" t="s">
        <v>2360</v>
      </c>
      <c r="B277">
        <f t="shared" si="124"/>
        <v>1</v>
      </c>
      <c r="C277" t="s">
        <v>2361</v>
      </c>
      <c r="D277" s="3">
        <v>45654</v>
      </c>
      <c r="E277" t="str">
        <f t="shared" si="125"/>
        <v>2024/12/28</v>
      </c>
      <c r="F277" t="str">
        <f t="shared" si="134"/>
        <v>December</v>
      </c>
      <c r="G277">
        <f t="shared" si="135"/>
        <v>2024</v>
      </c>
      <c r="H277" t="s">
        <v>2362</v>
      </c>
      <c r="I277" s="4">
        <v>45657</v>
      </c>
      <c r="J277" s="8">
        <f t="shared" si="126"/>
        <v>3</v>
      </c>
      <c r="K277" s="8" t="str">
        <f t="shared" si="136"/>
        <v>OK</v>
      </c>
      <c r="L277" t="s">
        <v>2363</v>
      </c>
      <c r="M277" t="s">
        <v>39</v>
      </c>
      <c r="N277" t="str">
        <f t="shared" si="127"/>
        <v>Mira Das</v>
      </c>
      <c r="O277" t="s">
        <v>40</v>
      </c>
      <c r="P277" t="str">
        <f t="shared" si="151"/>
        <v>Small Business</v>
      </c>
      <c r="Q277" t="s">
        <v>61</v>
      </c>
      <c r="R277" t="str">
        <f t="shared" si="152"/>
        <v>South</v>
      </c>
      <c r="S277" t="str">
        <f t="shared" si="137"/>
        <v>OK</v>
      </c>
      <c r="T277" t="s">
        <v>99</v>
      </c>
      <c r="U277" t="str">
        <f t="shared" si="128"/>
        <v>Andhra Pradesh</v>
      </c>
      <c r="V277" t="s">
        <v>100</v>
      </c>
      <c r="W277" t="str">
        <f t="shared" si="129"/>
        <v>Vijayawada</v>
      </c>
      <c r="X277" t="str">
        <f t="shared" si="130"/>
        <v>Furniture</v>
      </c>
      <c r="Y277" t="s">
        <v>44</v>
      </c>
      <c r="Z277" t="s">
        <v>64</v>
      </c>
      <c r="AA277" t="str">
        <f t="shared" si="131"/>
        <v>Furnishings</v>
      </c>
      <c r="AB277" t="s">
        <v>2364</v>
      </c>
      <c r="AC277" t="s">
        <v>55</v>
      </c>
      <c r="AD277" t="str">
        <f t="shared" si="150"/>
        <v>First Class</v>
      </c>
      <c r="AE277" t="str">
        <f t="shared" si="138"/>
        <v>OK</v>
      </c>
      <c r="AF277">
        <v>6</v>
      </c>
      <c r="AG277">
        <v>3641.22</v>
      </c>
      <c r="AH277">
        <v>0.25</v>
      </c>
      <c r="AI277">
        <f t="shared" si="139"/>
        <v>0.25</v>
      </c>
      <c r="AJ277" t="str">
        <f t="shared" si="140"/>
        <v>OK</v>
      </c>
      <c r="AK277">
        <v>16385.490000000002</v>
      </c>
      <c r="AL277">
        <v>13679.24</v>
      </c>
      <c r="AM277">
        <v>2706.25</v>
      </c>
      <c r="AN277" t="s">
        <v>33</v>
      </c>
      <c r="AO277" t="str">
        <f t="shared" si="132"/>
        <v>PAID</v>
      </c>
      <c r="AP277" t="str">
        <f t="shared" si="141"/>
        <v>OK</v>
      </c>
      <c r="AQ277" t="s">
        <v>34</v>
      </c>
      <c r="AR277" t="str">
        <f t="shared" si="133"/>
        <v>COMPLETED</v>
      </c>
      <c r="AS277" t="str">
        <f t="shared" si="142"/>
        <v>OK</v>
      </c>
      <c r="AT277">
        <f t="shared" si="143"/>
        <v>16385.489999999998</v>
      </c>
      <c r="AU277">
        <f t="shared" si="144"/>
        <v>2706.2499999999982</v>
      </c>
      <c r="AV277" s="6">
        <f t="shared" si="145"/>
        <v>7.0238973628496959E-2</v>
      </c>
      <c r="AW277" t="str">
        <f t="shared" si="146"/>
        <v>CLEAN</v>
      </c>
      <c r="AX277" s="10" t="str">
        <f t="shared" si="147"/>
        <v>MATCH</v>
      </c>
      <c r="AY277" t="str">
        <f t="shared" si="148"/>
        <v>MATCH</v>
      </c>
    </row>
    <row r="278" spans="1:51">
      <c r="A278" t="s">
        <v>2377</v>
      </c>
      <c r="B278">
        <f t="shared" si="124"/>
        <v>1</v>
      </c>
      <c r="C278" t="s">
        <v>2378</v>
      </c>
      <c r="D278" s="2">
        <v>45579</v>
      </c>
      <c r="E278" t="str">
        <f t="shared" si="125"/>
        <v>2024/10/14</v>
      </c>
      <c r="F278" t="str">
        <f t="shared" si="134"/>
        <v>October</v>
      </c>
      <c r="G278">
        <f t="shared" si="135"/>
        <v>2024</v>
      </c>
      <c r="H278" t="s">
        <v>2379</v>
      </c>
      <c r="I278" s="4">
        <v>45585</v>
      </c>
      <c r="J278" s="8">
        <f t="shared" si="126"/>
        <v>6</v>
      </c>
      <c r="K278" s="8" t="str">
        <f t="shared" si="136"/>
        <v>OK</v>
      </c>
      <c r="L278" t="s">
        <v>2380</v>
      </c>
      <c r="M278" t="s">
        <v>106</v>
      </c>
      <c r="N278" t="str">
        <f t="shared" si="127"/>
        <v>Aditi Sen</v>
      </c>
      <c r="O278" t="s">
        <v>40</v>
      </c>
      <c r="P278" t="str">
        <f t="shared" si="151"/>
        <v>Small Business</v>
      </c>
      <c r="Q278" t="s">
        <v>26</v>
      </c>
      <c r="R278" t="str">
        <f t="shared" si="152"/>
        <v>North</v>
      </c>
      <c r="S278" t="str">
        <f t="shared" si="137"/>
        <v>OK</v>
      </c>
      <c r="T278" t="s">
        <v>27</v>
      </c>
      <c r="U278" t="str">
        <f t="shared" si="128"/>
        <v>Rajasthan</v>
      </c>
      <c r="V278" t="s">
        <v>28</v>
      </c>
      <c r="W278" t="str">
        <f t="shared" si="129"/>
        <v>Jaipur</v>
      </c>
      <c r="X278" t="str">
        <f t="shared" si="130"/>
        <v>Furniture</v>
      </c>
      <c r="Y278" t="s">
        <v>44</v>
      </c>
      <c r="Z278" t="s">
        <v>45</v>
      </c>
      <c r="AA278" t="str">
        <f t="shared" si="131"/>
        <v>Tables</v>
      </c>
      <c r="AB278" t="s">
        <v>2381</v>
      </c>
      <c r="AC278" t="s">
        <v>47</v>
      </c>
      <c r="AD278" t="str">
        <f t="shared" si="150"/>
        <v>Same Day</v>
      </c>
      <c r="AE278" t="str">
        <f t="shared" si="138"/>
        <v>OK</v>
      </c>
      <c r="AF278">
        <v>7</v>
      </c>
      <c r="AG278">
        <v>1547.6</v>
      </c>
      <c r="AH278">
        <v>0.2</v>
      </c>
      <c r="AI278">
        <f t="shared" si="139"/>
        <v>0.2</v>
      </c>
      <c r="AJ278" t="str">
        <f t="shared" si="140"/>
        <v>OK</v>
      </c>
      <c r="AK278">
        <v>8666.56</v>
      </c>
      <c r="AL278">
        <v>5967.44</v>
      </c>
      <c r="AM278">
        <v>2699.12</v>
      </c>
      <c r="AN278" t="s">
        <v>33</v>
      </c>
      <c r="AO278" t="str">
        <f t="shared" si="132"/>
        <v>PAID</v>
      </c>
      <c r="AP278" t="str">
        <f t="shared" si="141"/>
        <v>OK</v>
      </c>
      <c r="AQ278" t="s">
        <v>34</v>
      </c>
      <c r="AR278" t="str">
        <f t="shared" si="133"/>
        <v>COMPLETED</v>
      </c>
      <c r="AS278" t="str">
        <f t="shared" si="142"/>
        <v>OK</v>
      </c>
      <c r="AT278">
        <f t="shared" si="143"/>
        <v>8666.56</v>
      </c>
      <c r="AU278">
        <f t="shared" si="144"/>
        <v>2699.12</v>
      </c>
      <c r="AV278" s="6">
        <f t="shared" si="145"/>
        <v>1.408658798877525</v>
      </c>
      <c r="AW278" t="str">
        <f t="shared" si="146"/>
        <v>CLEAN</v>
      </c>
      <c r="AX278" s="10" t="str">
        <f t="shared" si="147"/>
        <v>MATCH</v>
      </c>
      <c r="AY278" t="str">
        <f t="shared" si="148"/>
        <v>MATCH</v>
      </c>
    </row>
    <row r="279" spans="1:51">
      <c r="A279" t="s">
        <v>2382</v>
      </c>
      <c r="B279">
        <f t="shared" si="124"/>
        <v>1</v>
      </c>
      <c r="C279" t="s">
        <v>389</v>
      </c>
      <c r="D279" s="3">
        <v>45475</v>
      </c>
      <c r="E279" t="str">
        <f t="shared" si="125"/>
        <v>2024/07/02</v>
      </c>
      <c r="F279" t="str">
        <f t="shared" si="134"/>
        <v>July</v>
      </c>
      <c r="G279">
        <f t="shared" si="135"/>
        <v>2024</v>
      </c>
      <c r="H279" t="s">
        <v>2383</v>
      </c>
      <c r="I279" s="4">
        <v>45334</v>
      </c>
      <c r="J279" s="8">
        <f t="shared" si="126"/>
        <v>-141</v>
      </c>
      <c r="K279" s="8" t="str">
        <f t="shared" si="136"/>
        <v>INVAILD_SHIPPING</v>
      </c>
      <c r="L279" t="s">
        <v>2384</v>
      </c>
      <c r="M279" t="s">
        <v>60</v>
      </c>
      <c r="N279" t="str">
        <f t="shared" si="127"/>
        <v>Arjun Bose</v>
      </c>
      <c r="O279" t="s">
        <v>114</v>
      </c>
      <c r="P279" t="str">
        <f t="shared" si="151"/>
        <v>Home Office</v>
      </c>
      <c r="Q279" t="s">
        <v>41</v>
      </c>
      <c r="R279" t="str">
        <f t="shared" si="152"/>
        <v>East</v>
      </c>
      <c r="S279" t="str">
        <f t="shared" si="137"/>
        <v>OK</v>
      </c>
      <c r="T279" t="s">
        <v>120</v>
      </c>
      <c r="U279" t="str">
        <f t="shared" si="128"/>
        <v>West Bengal</v>
      </c>
      <c r="V279" t="s">
        <v>121</v>
      </c>
      <c r="W279" t="str">
        <f t="shared" si="129"/>
        <v>Kolkata</v>
      </c>
      <c r="X279" t="str">
        <f t="shared" si="130"/>
        <v>Technology</v>
      </c>
      <c r="Y279" t="s">
        <v>85</v>
      </c>
      <c r="Z279" t="s">
        <v>86</v>
      </c>
      <c r="AA279" t="str">
        <f t="shared" si="131"/>
        <v>Accessories</v>
      </c>
      <c r="AB279" t="s">
        <v>2385</v>
      </c>
      <c r="AC279" t="s">
        <v>32</v>
      </c>
      <c r="AD279" t="str">
        <f t="shared" si="150"/>
        <v>Second Class</v>
      </c>
      <c r="AE279" t="str">
        <f t="shared" si="138"/>
        <v>OK</v>
      </c>
      <c r="AF279">
        <v>1</v>
      </c>
      <c r="AG279">
        <v>452.19</v>
      </c>
      <c r="AH279">
        <v>0.2</v>
      </c>
      <c r="AI279">
        <f t="shared" si="139"/>
        <v>0.2</v>
      </c>
      <c r="AJ279" t="str">
        <f t="shared" si="140"/>
        <v>OK</v>
      </c>
      <c r="AK279">
        <v>361.75</v>
      </c>
      <c r="AL279">
        <v>262.52999999999997</v>
      </c>
      <c r="AM279">
        <v>99.22</v>
      </c>
      <c r="AN279" t="s">
        <v>33</v>
      </c>
      <c r="AO279" t="str">
        <f t="shared" si="132"/>
        <v>PAID</v>
      </c>
      <c r="AP279" t="str">
        <f t="shared" si="141"/>
        <v>OK</v>
      </c>
      <c r="AQ279" t="s">
        <v>34</v>
      </c>
      <c r="AR279" t="str">
        <f t="shared" si="133"/>
        <v>COMPLETED</v>
      </c>
      <c r="AS279" t="str">
        <f t="shared" si="142"/>
        <v>OK</v>
      </c>
      <c r="AT279">
        <f t="shared" si="143"/>
        <v>361.75200000000001</v>
      </c>
      <c r="AU279">
        <f t="shared" si="144"/>
        <v>99.222000000000037</v>
      </c>
      <c r="AV279" s="6">
        <f t="shared" si="145"/>
        <v>11.879298524956328</v>
      </c>
      <c r="AW279" t="str">
        <f t="shared" si="146"/>
        <v>CLEAN</v>
      </c>
      <c r="AX279" s="10" t="str">
        <f t="shared" si="147"/>
        <v>MATCH</v>
      </c>
      <c r="AY279" t="str">
        <f t="shared" si="148"/>
        <v>MATCH</v>
      </c>
    </row>
    <row r="280" spans="1:51">
      <c r="A280" t="s">
        <v>2386</v>
      </c>
      <c r="B280">
        <f t="shared" si="124"/>
        <v>1</v>
      </c>
      <c r="C280" t="s">
        <v>2387</v>
      </c>
      <c r="D280" s="3">
        <v>45551</v>
      </c>
      <c r="E280" t="str">
        <f t="shared" si="125"/>
        <v>2024/09/16</v>
      </c>
      <c r="F280" t="str">
        <f t="shared" si="134"/>
        <v>September</v>
      </c>
      <c r="G280">
        <f t="shared" si="135"/>
        <v>2024</v>
      </c>
      <c r="H280" t="s">
        <v>1888</v>
      </c>
      <c r="I280" s="4">
        <v>45554</v>
      </c>
      <c r="J280" s="8">
        <f t="shared" si="126"/>
        <v>3</v>
      </c>
      <c r="K280" s="8" t="str">
        <f t="shared" si="136"/>
        <v>OK</v>
      </c>
      <c r="L280" t="s">
        <v>2388</v>
      </c>
      <c r="M280" t="s">
        <v>106</v>
      </c>
      <c r="N280" t="str">
        <f t="shared" si="127"/>
        <v>Aditi Sen</v>
      </c>
      <c r="O280" t="s">
        <v>25</v>
      </c>
      <c r="P280" t="str">
        <f t="shared" si="151"/>
        <v>Consumer</v>
      </c>
      <c r="Q280" t="s">
        <v>72</v>
      </c>
      <c r="R280" t="str">
        <f t="shared" si="152"/>
        <v>West</v>
      </c>
      <c r="S280" t="str">
        <f t="shared" si="137"/>
        <v>OK</v>
      </c>
      <c r="T280" t="s">
        <v>27</v>
      </c>
      <c r="U280" t="str">
        <f t="shared" si="128"/>
        <v>Rajasthan</v>
      </c>
      <c r="V280" t="s">
        <v>134</v>
      </c>
      <c r="W280" t="str">
        <f t="shared" si="129"/>
        <v>Udaipur</v>
      </c>
      <c r="X280" t="str">
        <f t="shared" si="130"/>
        <v>Office Supplies</v>
      </c>
      <c r="Y280" t="s">
        <v>29</v>
      </c>
      <c r="Z280" t="s">
        <v>197</v>
      </c>
      <c r="AA280" t="str">
        <f t="shared" si="131"/>
        <v>Binders</v>
      </c>
      <c r="AB280" t="s">
        <v>2389</v>
      </c>
      <c r="AC280" t="s">
        <v>55</v>
      </c>
      <c r="AD280" t="str">
        <f t="shared" si="150"/>
        <v>First Class</v>
      </c>
      <c r="AE280" t="str">
        <f t="shared" si="138"/>
        <v>OK</v>
      </c>
      <c r="AF280">
        <v>7</v>
      </c>
      <c r="AG280">
        <v>406.42</v>
      </c>
      <c r="AH280">
        <v>0.15</v>
      </c>
      <c r="AI280">
        <f t="shared" si="139"/>
        <v>0.15</v>
      </c>
      <c r="AJ280" t="str">
        <f t="shared" si="140"/>
        <v>OK</v>
      </c>
      <c r="AK280">
        <v>2418.1999999999998</v>
      </c>
      <c r="AL280">
        <v>1613.82</v>
      </c>
      <c r="AM280">
        <v>804.38</v>
      </c>
      <c r="AN280" t="s">
        <v>33</v>
      </c>
      <c r="AO280" t="str">
        <f t="shared" si="132"/>
        <v>PAID</v>
      </c>
      <c r="AP280" t="str">
        <f t="shared" si="141"/>
        <v>OK</v>
      </c>
      <c r="AQ280" t="s">
        <v>34</v>
      </c>
      <c r="AR280" t="str">
        <f t="shared" si="133"/>
        <v>COMPLETED</v>
      </c>
      <c r="AS280" t="str">
        <f t="shared" si="142"/>
        <v>OK</v>
      </c>
      <c r="AT280">
        <f t="shared" si="143"/>
        <v>2418.1990000000001</v>
      </c>
      <c r="AU280">
        <f t="shared" si="144"/>
        <v>804.37900000000013</v>
      </c>
      <c r="AV280" s="6">
        <f t="shared" si="145"/>
        <v>3.414106738113778</v>
      </c>
      <c r="AW280" t="str">
        <f t="shared" si="146"/>
        <v>CLEAN</v>
      </c>
      <c r="AX280" s="10" t="str">
        <f t="shared" si="147"/>
        <v>MATCH</v>
      </c>
      <c r="AY280" t="str">
        <f t="shared" si="148"/>
        <v>MATCH</v>
      </c>
    </row>
    <row r="281" spans="1:51">
      <c r="A281" t="s">
        <v>2404</v>
      </c>
      <c r="B281">
        <f t="shared" si="124"/>
        <v>1</v>
      </c>
      <c r="C281" t="s">
        <v>2405</v>
      </c>
      <c r="D281" s="3">
        <v>45610</v>
      </c>
      <c r="E281" t="str">
        <f t="shared" si="125"/>
        <v>2024/11/14</v>
      </c>
      <c r="F281" t="str">
        <f t="shared" si="134"/>
        <v>November</v>
      </c>
      <c r="G281">
        <f t="shared" si="135"/>
        <v>2024</v>
      </c>
      <c r="H281" t="s">
        <v>2406</v>
      </c>
      <c r="I281" s="4">
        <v>45618</v>
      </c>
      <c r="J281" s="8">
        <f t="shared" si="126"/>
        <v>8</v>
      </c>
      <c r="K281" s="8" t="str">
        <f t="shared" si="136"/>
        <v>OK</v>
      </c>
      <c r="L281" t="s">
        <v>2407</v>
      </c>
      <c r="M281" t="s">
        <v>52</v>
      </c>
      <c r="N281" t="str">
        <f t="shared" si="127"/>
        <v>Isha Nair</v>
      </c>
      <c r="O281" t="s">
        <v>25</v>
      </c>
      <c r="P281" t="str">
        <f t="shared" si="151"/>
        <v>Consumer</v>
      </c>
      <c r="Q281" t="s">
        <v>72</v>
      </c>
      <c r="R281" t="str">
        <f t="shared" si="152"/>
        <v>West</v>
      </c>
      <c r="S281" t="str">
        <f t="shared" si="137"/>
        <v>OK</v>
      </c>
      <c r="T281" t="s">
        <v>83</v>
      </c>
      <c r="U281" t="str">
        <f t="shared" si="128"/>
        <v>Madhya Pradesh</v>
      </c>
      <c r="V281" t="s">
        <v>84</v>
      </c>
      <c r="W281" t="str">
        <f t="shared" si="129"/>
        <v>Indore</v>
      </c>
      <c r="X281" t="str">
        <f t="shared" si="130"/>
        <v>Technology</v>
      </c>
      <c r="Y281" t="s">
        <v>85</v>
      </c>
      <c r="Z281" t="s">
        <v>222</v>
      </c>
      <c r="AA281" t="str">
        <f t="shared" si="131"/>
        <v>Phones</v>
      </c>
      <c r="AB281" t="s">
        <v>2408</v>
      </c>
      <c r="AC281" t="s">
        <v>66</v>
      </c>
      <c r="AD281" t="str">
        <f t="shared" si="150"/>
        <v>Standard Class</v>
      </c>
      <c r="AE281" t="str">
        <f t="shared" si="138"/>
        <v>OK</v>
      </c>
      <c r="AF281">
        <v>3</v>
      </c>
      <c r="AG281">
        <v>671.68</v>
      </c>
      <c r="AH281">
        <v>-0.13</v>
      </c>
      <c r="AI281">
        <f t="shared" si="139"/>
        <v>-0.13</v>
      </c>
      <c r="AJ281" t="str">
        <f t="shared" si="140"/>
        <v>Invalid Negative Discount</v>
      </c>
      <c r="AK281">
        <v>1712.78</v>
      </c>
      <c r="AL281">
        <v>1569.38</v>
      </c>
      <c r="AM281">
        <v>360.66</v>
      </c>
      <c r="AN281" t="s">
        <v>199</v>
      </c>
      <c r="AO281" t="str">
        <f t="shared" si="132"/>
        <v>FAILED</v>
      </c>
      <c r="AP281" t="str">
        <f t="shared" si="141"/>
        <v>EXCLUDE_FROM_SALES</v>
      </c>
      <c r="AQ281" t="s">
        <v>77</v>
      </c>
      <c r="AR281" t="str">
        <f t="shared" si="133"/>
        <v>CANCELLED</v>
      </c>
      <c r="AS281" t="str">
        <f t="shared" si="142"/>
        <v>EXCLUDE_FROM_SALES</v>
      </c>
      <c r="AT281" t="str">
        <f t="shared" si="143"/>
        <v>INVAILD</v>
      </c>
      <c r="AU281" t="str">
        <f t="shared" si="144"/>
        <v>INVAILD</v>
      </c>
      <c r="AW281" t="str">
        <f t="shared" si="146"/>
        <v>INVALID</v>
      </c>
      <c r="AX281" s="10" t="s">
        <v>4116</v>
      </c>
      <c r="AY281" t="s">
        <v>4116</v>
      </c>
    </row>
    <row r="282" spans="1:51">
      <c r="A282" t="s">
        <v>2409</v>
      </c>
      <c r="B282">
        <f t="shared" si="124"/>
        <v>1</v>
      </c>
      <c r="C282" t="s">
        <v>2190</v>
      </c>
      <c r="D282" s="3">
        <v>45540</v>
      </c>
      <c r="E282" t="str">
        <f t="shared" si="125"/>
        <v>2024/09/05</v>
      </c>
      <c r="F282" t="str">
        <f t="shared" si="134"/>
        <v>September</v>
      </c>
      <c r="G282">
        <f t="shared" si="135"/>
        <v>2024</v>
      </c>
      <c r="H282" t="s">
        <v>2410</v>
      </c>
      <c r="I282" s="4">
        <v>45427</v>
      </c>
      <c r="J282" s="8">
        <f t="shared" si="126"/>
        <v>-113</v>
      </c>
      <c r="K282" s="8" t="str">
        <f t="shared" si="136"/>
        <v>INVAILD_SHIPPING</v>
      </c>
      <c r="L282" t="s">
        <v>2411</v>
      </c>
      <c r="M282" t="s">
        <v>39</v>
      </c>
      <c r="N282" t="str">
        <f t="shared" si="127"/>
        <v>Mira Das</v>
      </c>
      <c r="O282" t="s">
        <v>40</v>
      </c>
      <c r="P282" t="str">
        <f t="shared" si="151"/>
        <v>Small Business</v>
      </c>
      <c r="Q282" t="s">
        <v>41</v>
      </c>
      <c r="R282" t="str">
        <f t="shared" si="152"/>
        <v>East</v>
      </c>
      <c r="S282" t="str">
        <f t="shared" si="137"/>
        <v>OK</v>
      </c>
      <c r="T282" t="s">
        <v>215</v>
      </c>
      <c r="U282" t="str">
        <f t="shared" si="128"/>
        <v>Assam</v>
      </c>
      <c r="V282" t="s">
        <v>216</v>
      </c>
      <c r="W282" t="str">
        <f t="shared" si="129"/>
        <v>Guwahati</v>
      </c>
      <c r="X282" t="str">
        <f t="shared" si="130"/>
        <v>Technology</v>
      </c>
      <c r="Y282" t="s">
        <v>85</v>
      </c>
      <c r="Z282" t="s">
        <v>222</v>
      </c>
      <c r="AA282" t="str">
        <f t="shared" si="131"/>
        <v>Phones</v>
      </c>
      <c r="AB282" t="s">
        <v>2412</v>
      </c>
      <c r="AC282" t="s">
        <v>32</v>
      </c>
      <c r="AD282" t="str">
        <f t="shared" si="150"/>
        <v>Second Class</v>
      </c>
      <c r="AE282" t="str">
        <f t="shared" si="138"/>
        <v>OK</v>
      </c>
      <c r="AF282">
        <v>4</v>
      </c>
      <c r="AG282">
        <v>995.98</v>
      </c>
      <c r="AH282">
        <v>0.05</v>
      </c>
      <c r="AI282">
        <f t="shared" si="139"/>
        <v>0.05</v>
      </c>
      <c r="AJ282" t="str">
        <f t="shared" si="140"/>
        <v>OK</v>
      </c>
      <c r="AK282">
        <v>3784.72</v>
      </c>
      <c r="AL282">
        <v>2419.2399999999998</v>
      </c>
      <c r="AM282">
        <v>1365.48</v>
      </c>
      <c r="AN282" t="s">
        <v>123</v>
      </c>
      <c r="AO282" t="str">
        <f t="shared" si="132"/>
        <v>REFUNDED</v>
      </c>
      <c r="AP282" t="str">
        <f t="shared" si="141"/>
        <v>REFUNDED_PAYMENT</v>
      </c>
      <c r="AQ282" t="s">
        <v>124</v>
      </c>
      <c r="AR282" t="str">
        <f t="shared" si="133"/>
        <v>RETURNED</v>
      </c>
      <c r="AS282" t="str">
        <f t="shared" si="142"/>
        <v>RETURNED_ORDER</v>
      </c>
      <c r="AT282">
        <f t="shared" si="143"/>
        <v>3784.7239999999997</v>
      </c>
      <c r="AU282">
        <f t="shared" si="144"/>
        <v>1365.4839999999999</v>
      </c>
      <c r="AV282" s="6">
        <f t="shared" si="145"/>
        <v>2.2990580026443153E-2</v>
      </c>
      <c r="AW282" t="str">
        <f t="shared" si="146"/>
        <v>CLEAN</v>
      </c>
      <c r="AX282" s="10" t="str">
        <f t="shared" si="147"/>
        <v>MATCH</v>
      </c>
      <c r="AY282" t="str">
        <f t="shared" si="148"/>
        <v>MATCH</v>
      </c>
    </row>
    <row r="283" spans="1:51">
      <c r="A283" t="s">
        <v>2418</v>
      </c>
      <c r="B283">
        <f t="shared" si="124"/>
        <v>1</v>
      </c>
      <c r="C283" t="s">
        <v>2419</v>
      </c>
      <c r="D283" s="2">
        <v>45533</v>
      </c>
      <c r="E283" t="str">
        <f t="shared" si="125"/>
        <v>2024/08/29</v>
      </c>
      <c r="F283" t="str">
        <f t="shared" si="134"/>
        <v>August</v>
      </c>
      <c r="G283">
        <f t="shared" si="135"/>
        <v>2024</v>
      </c>
      <c r="H283" t="s">
        <v>2419</v>
      </c>
      <c r="I283" s="4">
        <v>45533</v>
      </c>
      <c r="J283" s="8">
        <f t="shared" si="126"/>
        <v>0</v>
      </c>
      <c r="K283" s="8" t="str">
        <f t="shared" si="136"/>
        <v>OK</v>
      </c>
      <c r="L283" t="s">
        <v>2420</v>
      </c>
      <c r="M283" t="s">
        <v>167</v>
      </c>
      <c r="N283" t="str">
        <f t="shared" si="127"/>
        <v>Sneha Kapoor</v>
      </c>
      <c r="O283" t="s">
        <v>40</v>
      </c>
      <c r="P283" t="str">
        <f t="shared" si="151"/>
        <v>Small Business</v>
      </c>
      <c r="Q283" t="s">
        <v>711</v>
      </c>
      <c r="R283" t="str">
        <f t="shared" si="152"/>
        <v>North</v>
      </c>
      <c r="S283" t="str">
        <f t="shared" si="137"/>
        <v>OK</v>
      </c>
      <c r="T283" t="s">
        <v>173</v>
      </c>
      <c r="U283" t="str">
        <f t="shared" si="128"/>
        <v>Uttar Pradesh</v>
      </c>
      <c r="V283" t="s">
        <v>174</v>
      </c>
      <c r="W283" t="str">
        <f t="shared" si="129"/>
        <v>Noida</v>
      </c>
      <c r="X283" t="str">
        <f t="shared" si="130"/>
        <v>Technology</v>
      </c>
      <c r="Y283" t="s">
        <v>85</v>
      </c>
      <c r="Z283" t="s">
        <v>86</v>
      </c>
      <c r="AA283" t="str">
        <f t="shared" si="131"/>
        <v>Accessories</v>
      </c>
      <c r="AB283" t="s">
        <v>2421</v>
      </c>
      <c r="AC283" t="s">
        <v>32</v>
      </c>
      <c r="AD283" t="str">
        <f t="shared" si="150"/>
        <v>Second Class</v>
      </c>
      <c r="AE283" t="str">
        <f t="shared" si="138"/>
        <v>OK</v>
      </c>
      <c r="AF283">
        <v>1</v>
      </c>
      <c r="AG283">
        <v>3106.88</v>
      </c>
      <c r="AH283">
        <v>0.2</v>
      </c>
      <c r="AI283">
        <f t="shared" si="139"/>
        <v>0.2</v>
      </c>
      <c r="AJ283" t="str">
        <f t="shared" si="140"/>
        <v>OK</v>
      </c>
      <c r="AK283">
        <v>2485.5</v>
      </c>
      <c r="AL283">
        <v>2028.43</v>
      </c>
      <c r="AM283">
        <v>457.07</v>
      </c>
      <c r="AN283" t="s">
        <v>33</v>
      </c>
      <c r="AO283" t="str">
        <f t="shared" si="132"/>
        <v>PAID</v>
      </c>
      <c r="AP283" t="str">
        <f t="shared" si="141"/>
        <v>OK</v>
      </c>
      <c r="AQ283" t="s">
        <v>77</v>
      </c>
      <c r="AR283" t="str">
        <f t="shared" si="133"/>
        <v>CANCELLED</v>
      </c>
      <c r="AS283" t="str">
        <f t="shared" si="142"/>
        <v>EXCLUDE_FROM_SALES</v>
      </c>
      <c r="AT283">
        <f t="shared" si="143"/>
        <v>2485.5040000000004</v>
      </c>
      <c r="AU283">
        <f t="shared" si="144"/>
        <v>457.0740000000003</v>
      </c>
      <c r="AV283" s="6">
        <f t="shared" si="145"/>
        <v>1.6644511535688675E-2</v>
      </c>
      <c r="AW283" t="str">
        <f t="shared" si="146"/>
        <v>CLEAN</v>
      </c>
      <c r="AX283" s="10" t="str">
        <f t="shared" si="147"/>
        <v>MATCH</v>
      </c>
      <c r="AY283" t="str">
        <f t="shared" si="148"/>
        <v>MATCH</v>
      </c>
    </row>
    <row r="284" spans="1:51">
      <c r="A284" t="s">
        <v>2428</v>
      </c>
      <c r="B284">
        <f t="shared" si="124"/>
        <v>1</v>
      </c>
      <c r="C284" t="s">
        <v>2429</v>
      </c>
      <c r="D284" s="3">
        <v>45648</v>
      </c>
      <c r="E284" t="str">
        <f t="shared" si="125"/>
        <v>2024/12/22</v>
      </c>
      <c r="F284" t="str">
        <f t="shared" si="134"/>
        <v>December</v>
      </c>
      <c r="G284">
        <f t="shared" si="135"/>
        <v>2024</v>
      </c>
      <c r="H284" t="s">
        <v>1444</v>
      </c>
      <c r="I284" s="4">
        <v>45652</v>
      </c>
      <c r="J284" s="8">
        <f t="shared" si="126"/>
        <v>4</v>
      </c>
      <c r="K284" s="8" t="str">
        <f t="shared" si="136"/>
        <v>OK</v>
      </c>
      <c r="L284" t="s">
        <v>2430</v>
      </c>
      <c r="M284" t="s">
        <v>147</v>
      </c>
      <c r="N284" t="str">
        <f t="shared" si="127"/>
        <v>Rahul Verma</v>
      </c>
      <c r="O284" t="s">
        <v>114</v>
      </c>
      <c r="P284" t="str">
        <f t="shared" si="151"/>
        <v>Home Office</v>
      </c>
      <c r="Q284" t="s">
        <v>26</v>
      </c>
      <c r="R284" t="str">
        <f t="shared" si="152"/>
        <v>North</v>
      </c>
      <c r="S284" t="str">
        <f t="shared" si="137"/>
        <v>OK</v>
      </c>
      <c r="T284" t="s">
        <v>173</v>
      </c>
      <c r="U284" t="str">
        <f t="shared" si="128"/>
        <v>Uttar Pradesh</v>
      </c>
      <c r="V284" t="s">
        <v>174</v>
      </c>
      <c r="W284" t="str">
        <f t="shared" si="129"/>
        <v>Noida</v>
      </c>
      <c r="X284" t="str">
        <f t="shared" si="130"/>
        <v>Furniture</v>
      </c>
      <c r="Y284" t="s">
        <v>44</v>
      </c>
      <c r="Z284" t="s">
        <v>75</v>
      </c>
      <c r="AA284" t="str">
        <f t="shared" si="131"/>
        <v>Chairs</v>
      </c>
      <c r="AB284" t="s">
        <v>2431</v>
      </c>
      <c r="AC284" t="s">
        <v>66</v>
      </c>
      <c r="AD284" t="str">
        <f t="shared" si="150"/>
        <v>Standard Class</v>
      </c>
      <c r="AE284" t="str">
        <f t="shared" si="138"/>
        <v>OK</v>
      </c>
      <c r="AF284">
        <v>9</v>
      </c>
      <c r="AG284">
        <v>1110.8699999999999</v>
      </c>
      <c r="AI284">
        <f t="shared" si="139"/>
        <v>0</v>
      </c>
      <c r="AJ284" t="str">
        <f t="shared" si="140"/>
        <v>Missing Discount</v>
      </c>
      <c r="AK284">
        <v>7498.37</v>
      </c>
      <c r="AL284">
        <v>6059.07</v>
      </c>
      <c r="AM284">
        <v>1439.3</v>
      </c>
      <c r="AN284" t="s">
        <v>33</v>
      </c>
      <c r="AO284" t="str">
        <f t="shared" si="132"/>
        <v>PAID</v>
      </c>
      <c r="AP284" t="str">
        <f t="shared" si="141"/>
        <v>OK</v>
      </c>
      <c r="AQ284" t="s">
        <v>77</v>
      </c>
      <c r="AR284" t="str">
        <f t="shared" si="133"/>
        <v>CANCELLED</v>
      </c>
      <c r="AS284" t="str">
        <f t="shared" si="142"/>
        <v>EXCLUDE_FROM_SALES</v>
      </c>
      <c r="AT284">
        <f t="shared" si="143"/>
        <v>9997.8299999999981</v>
      </c>
      <c r="AU284">
        <f t="shared" si="144"/>
        <v>3938.7599999999984</v>
      </c>
      <c r="AV284" s="6">
        <f t="shared" si="145"/>
        <v>0.22152627120085072</v>
      </c>
      <c r="AW284" t="str">
        <f t="shared" si="146"/>
        <v>INVALID</v>
      </c>
      <c r="AX284" s="10" t="str">
        <f t="shared" si="147"/>
        <v>MISMATCH</v>
      </c>
      <c r="AY284" t="str">
        <f t="shared" si="148"/>
        <v>MISMATCH</v>
      </c>
    </row>
    <row r="285" spans="1:51">
      <c r="A285" t="s">
        <v>2432</v>
      </c>
      <c r="B285">
        <f t="shared" si="124"/>
        <v>1</v>
      </c>
      <c r="C285" t="s">
        <v>1128</v>
      </c>
      <c r="D285" s="3">
        <v>45429</v>
      </c>
      <c r="E285" t="str">
        <f t="shared" si="125"/>
        <v>2024/05/17</v>
      </c>
      <c r="F285" t="str">
        <f t="shared" si="134"/>
        <v>May</v>
      </c>
      <c r="G285">
        <f t="shared" si="135"/>
        <v>2024</v>
      </c>
      <c r="H285" t="s">
        <v>2433</v>
      </c>
      <c r="I285" s="4">
        <v>45434</v>
      </c>
      <c r="J285" s="8">
        <f t="shared" si="126"/>
        <v>5</v>
      </c>
      <c r="K285" s="8" t="str">
        <f t="shared" si="136"/>
        <v>OK</v>
      </c>
      <c r="L285" t="s">
        <v>2434</v>
      </c>
      <c r="M285" t="s">
        <v>167</v>
      </c>
      <c r="N285" t="str">
        <f t="shared" si="127"/>
        <v>Sneha Kapoor</v>
      </c>
      <c r="O285" t="s">
        <v>25</v>
      </c>
      <c r="P285" t="str">
        <f t="shared" si="151"/>
        <v>Consumer</v>
      </c>
      <c r="Q285" t="s">
        <v>61</v>
      </c>
      <c r="R285" t="str">
        <f t="shared" si="152"/>
        <v>South</v>
      </c>
      <c r="S285" t="str">
        <f t="shared" si="137"/>
        <v>OK</v>
      </c>
      <c r="T285" t="s">
        <v>241</v>
      </c>
      <c r="U285" t="str">
        <f t="shared" si="128"/>
        <v>Kerala</v>
      </c>
      <c r="V285" t="s">
        <v>242</v>
      </c>
      <c r="W285" t="str">
        <f t="shared" si="129"/>
        <v>Kochi</v>
      </c>
      <c r="X285" t="str">
        <f t="shared" si="130"/>
        <v>Technology</v>
      </c>
      <c r="Y285" t="s">
        <v>85</v>
      </c>
      <c r="Z285" t="s">
        <v>222</v>
      </c>
      <c r="AA285" t="str">
        <f t="shared" si="131"/>
        <v>Phones</v>
      </c>
      <c r="AB285" t="s">
        <v>2435</v>
      </c>
      <c r="AC285" t="s">
        <v>47</v>
      </c>
      <c r="AD285" t="str">
        <f t="shared" si="150"/>
        <v>Same Day</v>
      </c>
      <c r="AE285" t="str">
        <f t="shared" si="138"/>
        <v>OK</v>
      </c>
      <c r="AF285">
        <v>9</v>
      </c>
      <c r="AG285">
        <v>3795.99</v>
      </c>
      <c r="AH285" t="s">
        <v>1169</v>
      </c>
      <c r="AI285">
        <f t="shared" si="139"/>
        <v>0.85</v>
      </c>
      <c r="AJ285" t="str">
        <f t="shared" si="140"/>
        <v>OK</v>
      </c>
      <c r="AK285">
        <v>34163.910000000003</v>
      </c>
      <c r="AL285">
        <v>28577.15</v>
      </c>
      <c r="AM285">
        <v>5586.76</v>
      </c>
      <c r="AN285" t="s">
        <v>33</v>
      </c>
      <c r="AO285" t="str">
        <f t="shared" si="132"/>
        <v>PAID</v>
      </c>
      <c r="AP285" t="str">
        <f t="shared" si="141"/>
        <v>OK</v>
      </c>
      <c r="AQ285" t="s">
        <v>34</v>
      </c>
      <c r="AR285" t="str">
        <f t="shared" si="133"/>
        <v>COMPLETED</v>
      </c>
      <c r="AS285" t="str">
        <f t="shared" si="142"/>
        <v>OK</v>
      </c>
      <c r="AT285">
        <f t="shared" si="143"/>
        <v>5124.5865000000003</v>
      </c>
      <c r="AU285">
        <f t="shared" si="144"/>
        <v>-23452.5635</v>
      </c>
      <c r="AV285" s="6">
        <f t="shared" si="145"/>
        <v>9.1139938802867346E-2</v>
      </c>
      <c r="AW285" t="str">
        <f t="shared" si="146"/>
        <v>CLEAN</v>
      </c>
      <c r="AX285" s="10" t="str">
        <f t="shared" si="147"/>
        <v>MISMATCH</v>
      </c>
      <c r="AY285" t="str">
        <f t="shared" si="148"/>
        <v>MISMATCH</v>
      </c>
    </row>
    <row r="286" spans="1:51">
      <c r="A286" t="s">
        <v>2436</v>
      </c>
      <c r="B286">
        <f t="shared" si="124"/>
        <v>1</v>
      </c>
      <c r="C286" t="s">
        <v>2437</v>
      </c>
      <c r="D286" s="2">
        <v>45604</v>
      </c>
      <c r="E286" t="str">
        <f t="shared" si="125"/>
        <v>2024/11/08</v>
      </c>
      <c r="F286" t="str">
        <f t="shared" si="134"/>
        <v>November</v>
      </c>
      <c r="G286">
        <f t="shared" si="135"/>
        <v>2024</v>
      </c>
      <c r="H286" t="s">
        <v>2438</v>
      </c>
      <c r="I286" s="4">
        <v>45521</v>
      </c>
      <c r="J286" s="8">
        <f t="shared" si="126"/>
        <v>-83</v>
      </c>
      <c r="K286" s="8" t="str">
        <f t="shared" si="136"/>
        <v>INVAILD_SHIPPING</v>
      </c>
      <c r="L286" t="s">
        <v>1236</v>
      </c>
      <c r="M286" t="s">
        <v>92</v>
      </c>
      <c r="N286" t="str">
        <f t="shared" si="127"/>
        <v>Neha Gupta</v>
      </c>
      <c r="O286" t="s">
        <v>25</v>
      </c>
      <c r="P286" t="str">
        <f t="shared" si="151"/>
        <v>Consumer</v>
      </c>
      <c r="Q286" t="s">
        <v>41</v>
      </c>
      <c r="R286" t="str">
        <f t="shared" si="152"/>
        <v>East</v>
      </c>
      <c r="S286" t="str">
        <f t="shared" si="137"/>
        <v>OK</v>
      </c>
      <c r="T286" t="s">
        <v>310</v>
      </c>
      <c r="U286" t="str">
        <f t="shared" si="128"/>
        <v>Jharkhand</v>
      </c>
      <c r="V286" t="s">
        <v>311</v>
      </c>
      <c r="W286" t="str">
        <f t="shared" si="129"/>
        <v>Ranchi</v>
      </c>
      <c r="X286" t="str">
        <f t="shared" si="130"/>
        <v>Office Supplies</v>
      </c>
      <c r="Y286" t="s">
        <v>29</v>
      </c>
      <c r="Z286" t="s">
        <v>53</v>
      </c>
      <c r="AA286" t="str">
        <f t="shared" si="131"/>
        <v>Art</v>
      </c>
      <c r="AB286" t="s">
        <v>2439</v>
      </c>
      <c r="AC286" t="s">
        <v>32</v>
      </c>
      <c r="AD286" t="str">
        <f t="shared" si="150"/>
        <v>Second Class</v>
      </c>
      <c r="AE286" t="str">
        <f t="shared" si="138"/>
        <v>OK</v>
      </c>
      <c r="AF286">
        <v>6</v>
      </c>
      <c r="AG286">
        <v>3497.54</v>
      </c>
      <c r="AH286">
        <v>0.15</v>
      </c>
      <c r="AI286">
        <f t="shared" si="139"/>
        <v>0.15</v>
      </c>
      <c r="AJ286" t="str">
        <f t="shared" si="140"/>
        <v>OK</v>
      </c>
      <c r="AK286">
        <v>17837.45</v>
      </c>
      <c r="AL286">
        <v>13627.02</v>
      </c>
      <c r="AM286">
        <v>4210.43</v>
      </c>
      <c r="AN286" t="s">
        <v>33</v>
      </c>
      <c r="AO286" t="str">
        <f t="shared" si="132"/>
        <v>PAID</v>
      </c>
      <c r="AP286" t="str">
        <f t="shared" si="141"/>
        <v>OK</v>
      </c>
      <c r="AQ286" t="s">
        <v>34</v>
      </c>
      <c r="AR286" t="str">
        <f t="shared" si="133"/>
        <v>COMPLETED</v>
      </c>
      <c r="AS286" t="str">
        <f t="shared" si="142"/>
        <v>OK</v>
      </c>
      <c r="AT286">
        <f t="shared" si="143"/>
        <v>17837.453999999998</v>
      </c>
      <c r="AU286">
        <f t="shared" si="144"/>
        <v>4210.4339999999975</v>
      </c>
      <c r="AV286" s="6">
        <f t="shared" si="145"/>
        <v>0.29433124256410154</v>
      </c>
      <c r="AW286" t="str">
        <f t="shared" si="146"/>
        <v>CLEAN</v>
      </c>
      <c r="AX286" s="10" t="str">
        <f t="shared" si="147"/>
        <v>MATCH</v>
      </c>
      <c r="AY286" t="str">
        <f t="shared" si="148"/>
        <v>MATCH</v>
      </c>
    </row>
    <row r="287" spans="1:51">
      <c r="A287" t="s">
        <v>2440</v>
      </c>
      <c r="B287">
        <f t="shared" si="124"/>
        <v>2</v>
      </c>
      <c r="C287" t="s">
        <v>2441</v>
      </c>
      <c r="D287" s="3">
        <v>45295</v>
      </c>
      <c r="E287" t="str">
        <f t="shared" si="125"/>
        <v>2024/01/04</v>
      </c>
      <c r="F287" t="str">
        <f t="shared" si="134"/>
        <v>January</v>
      </c>
      <c r="G287">
        <f t="shared" si="135"/>
        <v>2024</v>
      </c>
      <c r="H287" t="s">
        <v>2442</v>
      </c>
      <c r="I287" s="4">
        <v>45391</v>
      </c>
      <c r="J287" s="8">
        <f t="shared" si="126"/>
        <v>96</v>
      </c>
      <c r="K287" s="8" t="str">
        <f t="shared" si="136"/>
        <v>OK</v>
      </c>
      <c r="L287" t="s">
        <v>2443</v>
      </c>
      <c r="M287" t="s">
        <v>141</v>
      </c>
      <c r="N287" t="str">
        <f t="shared" si="127"/>
        <v>Priya Menon</v>
      </c>
      <c r="O287" t="s">
        <v>40</v>
      </c>
      <c r="P287" t="str">
        <f t="shared" si="151"/>
        <v>Small Business</v>
      </c>
      <c r="Q287" t="s">
        <v>41</v>
      </c>
      <c r="R287" t="str">
        <f t="shared" si="152"/>
        <v>East</v>
      </c>
      <c r="S287" t="str">
        <f t="shared" si="137"/>
        <v>OK</v>
      </c>
      <c r="T287" t="s">
        <v>42</v>
      </c>
      <c r="U287" t="str">
        <f t="shared" si="128"/>
        <v>Odisha</v>
      </c>
      <c r="V287" t="s">
        <v>43</v>
      </c>
      <c r="W287" t="str">
        <f t="shared" si="129"/>
        <v>Bhubaneswar</v>
      </c>
      <c r="X287" t="str">
        <f t="shared" si="130"/>
        <v>Technology</v>
      </c>
      <c r="Y287" t="s">
        <v>85</v>
      </c>
      <c r="Z287" t="s">
        <v>93</v>
      </c>
      <c r="AA287" t="str">
        <f t="shared" si="131"/>
        <v>Copiers</v>
      </c>
      <c r="AB287" t="s">
        <v>2444</v>
      </c>
      <c r="AC287" t="s">
        <v>32</v>
      </c>
      <c r="AD287" t="str">
        <f t="shared" si="150"/>
        <v>Second Class</v>
      </c>
      <c r="AE287" t="str">
        <f t="shared" si="138"/>
        <v>OK</v>
      </c>
      <c r="AF287">
        <v>6</v>
      </c>
      <c r="AG287">
        <v>826.93</v>
      </c>
      <c r="AH287">
        <v>0.1</v>
      </c>
      <c r="AI287">
        <f t="shared" si="139"/>
        <v>0.1</v>
      </c>
      <c r="AJ287" t="str">
        <f t="shared" si="140"/>
        <v>OK</v>
      </c>
      <c r="AK287">
        <v>4465.42</v>
      </c>
      <c r="AL287">
        <v>3377.1</v>
      </c>
      <c r="AM287">
        <v>1088.32</v>
      </c>
      <c r="AN287" t="s">
        <v>33</v>
      </c>
      <c r="AO287" t="str">
        <f t="shared" si="132"/>
        <v>PAID</v>
      </c>
      <c r="AP287" t="str">
        <f t="shared" si="141"/>
        <v>OK</v>
      </c>
      <c r="AQ287" t="s">
        <v>34</v>
      </c>
      <c r="AR287" t="str">
        <f t="shared" si="133"/>
        <v>COMPLETED</v>
      </c>
      <c r="AS287" t="str">
        <f t="shared" si="142"/>
        <v>OK</v>
      </c>
      <c r="AT287">
        <f t="shared" si="143"/>
        <v>4465.4220000000005</v>
      </c>
      <c r="AU287">
        <f t="shared" si="144"/>
        <v>1088.3220000000006</v>
      </c>
      <c r="AV287" s="6">
        <f t="shared" si="145"/>
        <v>0.99733507829719203</v>
      </c>
      <c r="AW287" t="str">
        <f t="shared" si="146"/>
        <v>CLEAN</v>
      </c>
      <c r="AX287" s="10" t="str">
        <f t="shared" si="147"/>
        <v>MATCH</v>
      </c>
      <c r="AY287" t="str">
        <f t="shared" si="148"/>
        <v>MATCH</v>
      </c>
    </row>
    <row r="288" spans="1:51">
      <c r="A288" t="s">
        <v>2440</v>
      </c>
      <c r="B288">
        <f t="shared" si="124"/>
        <v>2</v>
      </c>
      <c r="C288" t="s">
        <v>2441</v>
      </c>
      <c r="D288" s="3">
        <v>45295</v>
      </c>
      <c r="E288" t="str">
        <f t="shared" si="125"/>
        <v>2024/01/04</v>
      </c>
      <c r="F288" t="str">
        <f t="shared" si="134"/>
        <v>January</v>
      </c>
      <c r="G288">
        <f t="shared" si="135"/>
        <v>2024</v>
      </c>
      <c r="H288" t="s">
        <v>2442</v>
      </c>
      <c r="I288" s="4">
        <v>45391</v>
      </c>
      <c r="J288" s="8">
        <f t="shared" si="126"/>
        <v>96</v>
      </c>
      <c r="K288" s="8" t="str">
        <f t="shared" si="136"/>
        <v>OK</v>
      </c>
      <c r="L288" t="s">
        <v>2443</v>
      </c>
      <c r="M288" t="s">
        <v>141</v>
      </c>
      <c r="N288" t="str">
        <f t="shared" si="127"/>
        <v>Priya Menon</v>
      </c>
      <c r="O288" t="s">
        <v>40</v>
      </c>
      <c r="P288" t="str">
        <f t="shared" si="151"/>
        <v>Small Business</v>
      </c>
      <c r="Q288" t="s">
        <v>41</v>
      </c>
      <c r="R288" t="str">
        <f t="shared" si="152"/>
        <v>East</v>
      </c>
      <c r="S288" t="str">
        <f t="shared" si="137"/>
        <v>OK</v>
      </c>
      <c r="T288" t="s">
        <v>42</v>
      </c>
      <c r="U288" t="str">
        <f t="shared" si="128"/>
        <v>Odisha</v>
      </c>
      <c r="V288" t="s">
        <v>43</v>
      </c>
      <c r="W288" t="str">
        <f t="shared" si="129"/>
        <v>Bhubaneswar</v>
      </c>
      <c r="X288" t="str">
        <f t="shared" si="130"/>
        <v>Technology</v>
      </c>
      <c r="Y288" t="s">
        <v>85</v>
      </c>
      <c r="Z288" t="s">
        <v>93</v>
      </c>
      <c r="AA288" t="str">
        <f t="shared" si="131"/>
        <v>Copiers</v>
      </c>
      <c r="AB288" t="s">
        <v>2444</v>
      </c>
      <c r="AC288" t="s">
        <v>32</v>
      </c>
      <c r="AD288" t="str">
        <f t="shared" si="150"/>
        <v>Second Class</v>
      </c>
      <c r="AE288" t="str">
        <f t="shared" si="138"/>
        <v>OK</v>
      </c>
      <c r="AF288">
        <v>6</v>
      </c>
      <c r="AG288">
        <v>826.93</v>
      </c>
      <c r="AH288">
        <v>0.1</v>
      </c>
      <c r="AI288">
        <f t="shared" si="139"/>
        <v>0.1</v>
      </c>
      <c r="AJ288" t="str">
        <f t="shared" si="140"/>
        <v>OK</v>
      </c>
      <c r="AK288">
        <v>4465.42</v>
      </c>
      <c r="AL288">
        <v>3377.1</v>
      </c>
      <c r="AM288">
        <v>1088.32</v>
      </c>
      <c r="AN288" t="s">
        <v>33</v>
      </c>
      <c r="AO288" t="str">
        <f t="shared" si="132"/>
        <v>PAID</v>
      </c>
      <c r="AP288" t="str">
        <f t="shared" si="141"/>
        <v>OK</v>
      </c>
      <c r="AQ288" t="s">
        <v>34</v>
      </c>
      <c r="AR288" t="str">
        <f t="shared" si="133"/>
        <v>COMPLETED</v>
      </c>
      <c r="AS288" t="str">
        <f t="shared" si="142"/>
        <v>OK</v>
      </c>
      <c r="AT288">
        <f t="shared" si="143"/>
        <v>4465.4220000000005</v>
      </c>
      <c r="AU288">
        <f t="shared" si="144"/>
        <v>1088.3220000000006</v>
      </c>
      <c r="AV288" s="6">
        <f t="shared" si="145"/>
        <v>0.31218729159304553</v>
      </c>
      <c r="AW288" t="str">
        <f t="shared" si="146"/>
        <v>CLEAN</v>
      </c>
      <c r="AX288" s="10" t="str">
        <f t="shared" si="147"/>
        <v>MATCH</v>
      </c>
      <c r="AY288" t="str">
        <f t="shared" si="148"/>
        <v>MATCH</v>
      </c>
    </row>
    <row r="289" spans="1:51">
      <c r="A289" t="s">
        <v>2445</v>
      </c>
      <c r="B289">
        <f t="shared" si="124"/>
        <v>1</v>
      </c>
      <c r="C289" t="s">
        <v>2446</v>
      </c>
      <c r="D289" s="3">
        <v>45563</v>
      </c>
      <c r="E289" t="str">
        <f t="shared" si="125"/>
        <v>2024/09/28</v>
      </c>
      <c r="F289" t="str">
        <f t="shared" si="134"/>
        <v>September</v>
      </c>
      <c r="G289">
        <f t="shared" si="135"/>
        <v>2024</v>
      </c>
      <c r="H289" t="s">
        <v>2447</v>
      </c>
      <c r="I289" s="4">
        <v>45570</v>
      </c>
      <c r="J289" s="8">
        <f t="shared" si="126"/>
        <v>7</v>
      </c>
      <c r="K289" s="8" t="str">
        <f t="shared" si="136"/>
        <v>OK</v>
      </c>
      <c r="L289" t="s">
        <v>2448</v>
      </c>
      <c r="M289" t="s">
        <v>161</v>
      </c>
      <c r="N289" t="str">
        <f t="shared" si="127"/>
        <v>Aarav Sharma</v>
      </c>
      <c r="O289" t="s">
        <v>25</v>
      </c>
      <c r="P289" t="str">
        <f t="shared" si="151"/>
        <v>Consumer</v>
      </c>
      <c r="Q289" t="s">
        <v>61</v>
      </c>
      <c r="R289" t="str">
        <f t="shared" si="152"/>
        <v>South</v>
      </c>
      <c r="S289" t="str">
        <f t="shared" si="137"/>
        <v>OK</v>
      </c>
      <c r="T289" t="s">
        <v>338</v>
      </c>
      <c r="U289" t="str">
        <f t="shared" si="128"/>
        <v>Tamil Nadu</v>
      </c>
      <c r="V289" t="s">
        <v>339</v>
      </c>
      <c r="W289" t="str">
        <f t="shared" si="129"/>
        <v>Chennai</v>
      </c>
      <c r="X289" t="str">
        <f t="shared" si="130"/>
        <v>Technology</v>
      </c>
      <c r="Y289" t="s">
        <v>85</v>
      </c>
      <c r="Z289" t="s">
        <v>222</v>
      </c>
      <c r="AA289" t="str">
        <f t="shared" si="131"/>
        <v>Phones</v>
      </c>
      <c r="AB289" t="s">
        <v>2449</v>
      </c>
      <c r="AC289" t="s">
        <v>66</v>
      </c>
      <c r="AD289" t="str">
        <f t="shared" si="150"/>
        <v>Standard Class</v>
      </c>
      <c r="AE289" t="str">
        <f t="shared" si="138"/>
        <v>OK</v>
      </c>
      <c r="AF289">
        <v>7</v>
      </c>
      <c r="AG289">
        <v>1681.6</v>
      </c>
      <c r="AH289">
        <v>0.1</v>
      </c>
      <c r="AI289">
        <f t="shared" si="139"/>
        <v>0.1</v>
      </c>
      <c r="AJ289" t="str">
        <f t="shared" si="140"/>
        <v>OK</v>
      </c>
      <c r="AK289">
        <v>10594.08</v>
      </c>
      <c r="AL289">
        <v>7160.31</v>
      </c>
      <c r="AM289">
        <v>3433.77</v>
      </c>
      <c r="AN289" t="s">
        <v>33</v>
      </c>
      <c r="AO289" t="str">
        <f t="shared" si="132"/>
        <v>PAID</v>
      </c>
      <c r="AP289" t="str">
        <f t="shared" si="141"/>
        <v>OK</v>
      </c>
      <c r="AQ289" t="s">
        <v>34</v>
      </c>
      <c r="AR289" t="str">
        <f t="shared" si="133"/>
        <v>COMPLETED</v>
      </c>
      <c r="AS289" t="str">
        <f t="shared" si="142"/>
        <v>OK</v>
      </c>
      <c r="AT289">
        <f t="shared" si="143"/>
        <v>10594.08</v>
      </c>
      <c r="AU289">
        <f t="shared" si="144"/>
        <v>3433.7699999999995</v>
      </c>
      <c r="AV289" s="6">
        <f t="shared" si="145"/>
        <v>9.9158681074713387E-3</v>
      </c>
      <c r="AW289" t="str">
        <f t="shared" si="146"/>
        <v>CLEAN</v>
      </c>
      <c r="AX289" s="10" t="str">
        <f t="shared" si="147"/>
        <v>MATCH</v>
      </c>
      <c r="AY289" t="str">
        <f t="shared" si="148"/>
        <v>MATCH</v>
      </c>
    </row>
    <row r="290" spans="1:51">
      <c r="A290" t="s">
        <v>2455</v>
      </c>
      <c r="B290">
        <f t="shared" si="124"/>
        <v>1</v>
      </c>
      <c r="C290" t="s">
        <v>2456</v>
      </c>
      <c r="D290" s="3">
        <v>45546</v>
      </c>
      <c r="E290" t="str">
        <f t="shared" si="125"/>
        <v>2024/09/11</v>
      </c>
      <c r="F290" t="str">
        <f t="shared" si="134"/>
        <v>September</v>
      </c>
      <c r="G290">
        <f t="shared" si="135"/>
        <v>2024</v>
      </c>
      <c r="H290" t="s">
        <v>1379</v>
      </c>
      <c r="I290" s="4">
        <v>45610</v>
      </c>
      <c r="J290" s="8">
        <f t="shared" si="126"/>
        <v>64</v>
      </c>
      <c r="K290" s="8" t="str">
        <f t="shared" si="136"/>
        <v>OK</v>
      </c>
      <c r="L290" t="s">
        <v>2457</v>
      </c>
      <c r="M290" t="s">
        <v>92</v>
      </c>
      <c r="N290" t="str">
        <f t="shared" si="127"/>
        <v>Neha Gupta</v>
      </c>
      <c r="O290" t="s">
        <v>107</v>
      </c>
      <c r="P290" t="str">
        <f t="shared" si="151"/>
        <v>Corporate</v>
      </c>
      <c r="Q290" t="s">
        <v>72</v>
      </c>
      <c r="R290" t="str">
        <f t="shared" si="152"/>
        <v>West</v>
      </c>
      <c r="S290" t="str">
        <f t="shared" si="137"/>
        <v>OK</v>
      </c>
      <c r="T290" t="s">
        <v>83</v>
      </c>
      <c r="U290" t="str">
        <f t="shared" si="128"/>
        <v>Madhya Pradesh</v>
      </c>
      <c r="V290" t="s">
        <v>84</v>
      </c>
      <c r="W290" t="str">
        <f t="shared" si="129"/>
        <v>Indore</v>
      </c>
      <c r="X290" t="str">
        <f t="shared" si="130"/>
        <v>Office Supplies</v>
      </c>
      <c r="Y290" t="s">
        <v>29</v>
      </c>
      <c r="Z290" t="s">
        <v>53</v>
      </c>
      <c r="AA290" t="str">
        <f t="shared" si="131"/>
        <v>Art</v>
      </c>
      <c r="AB290" t="s">
        <v>2458</v>
      </c>
      <c r="AC290" t="s">
        <v>55</v>
      </c>
      <c r="AD290" t="str">
        <f t="shared" si="150"/>
        <v>First Class</v>
      </c>
      <c r="AE290" t="str">
        <f t="shared" si="138"/>
        <v>OK</v>
      </c>
      <c r="AF290">
        <v>9</v>
      </c>
      <c r="AG290">
        <v>2438.29</v>
      </c>
      <c r="AH290">
        <v>0.2</v>
      </c>
      <c r="AI290">
        <f t="shared" si="139"/>
        <v>0.2</v>
      </c>
      <c r="AJ290" t="str">
        <f t="shared" si="140"/>
        <v>OK</v>
      </c>
      <c r="AK290">
        <v>17555.689999999999</v>
      </c>
      <c r="AL290">
        <v>13293.2</v>
      </c>
      <c r="AM290">
        <v>4262.49</v>
      </c>
      <c r="AN290" t="s">
        <v>33</v>
      </c>
      <c r="AO290" t="str">
        <f t="shared" si="132"/>
        <v>PAID</v>
      </c>
      <c r="AP290" t="str">
        <f t="shared" si="141"/>
        <v>OK</v>
      </c>
      <c r="AQ290" t="s">
        <v>77</v>
      </c>
      <c r="AR290" t="str">
        <f t="shared" si="133"/>
        <v>CANCELLED</v>
      </c>
      <c r="AS290" t="str">
        <f t="shared" si="142"/>
        <v>EXCLUDE_FROM_SALES</v>
      </c>
      <c r="AT290">
        <f t="shared" si="143"/>
        <v>17555.688000000002</v>
      </c>
      <c r="AU290">
        <f t="shared" si="144"/>
        <v>4262.4880000000012</v>
      </c>
      <c r="AV290" s="6">
        <f t="shared" si="145"/>
        <v>0.21341271273447088</v>
      </c>
      <c r="AW290" t="str">
        <f t="shared" si="146"/>
        <v>CLEAN</v>
      </c>
      <c r="AX290" s="10" t="str">
        <f t="shared" si="147"/>
        <v>MATCH</v>
      </c>
      <c r="AY290" t="str">
        <f t="shared" si="148"/>
        <v>MATCH</v>
      </c>
    </row>
    <row r="291" spans="1:51">
      <c r="A291" t="s">
        <v>2459</v>
      </c>
      <c r="B291">
        <f t="shared" si="124"/>
        <v>1</v>
      </c>
      <c r="C291" t="s">
        <v>2460</v>
      </c>
      <c r="D291" s="3">
        <v>45641</v>
      </c>
      <c r="E291" t="str">
        <f t="shared" si="125"/>
        <v>2024/12/15</v>
      </c>
      <c r="F291" t="str">
        <f t="shared" si="134"/>
        <v>December</v>
      </c>
      <c r="G291">
        <f t="shared" si="135"/>
        <v>2024</v>
      </c>
      <c r="H291" t="s">
        <v>2461</v>
      </c>
      <c r="I291" s="4">
        <v>45641</v>
      </c>
      <c r="J291" s="8">
        <f t="shared" si="126"/>
        <v>0</v>
      </c>
      <c r="K291" s="8" t="str">
        <f t="shared" si="136"/>
        <v>OK</v>
      </c>
      <c r="L291" t="s">
        <v>2462</v>
      </c>
      <c r="M291" t="s">
        <v>161</v>
      </c>
      <c r="N291" t="str">
        <f t="shared" si="127"/>
        <v>Aarav Sharma</v>
      </c>
      <c r="O291" t="s">
        <v>40</v>
      </c>
      <c r="P291" t="str">
        <f t="shared" si="151"/>
        <v>Small Business</v>
      </c>
      <c r="Q291" t="s">
        <v>26</v>
      </c>
      <c r="R291" t="str">
        <f t="shared" si="152"/>
        <v>North</v>
      </c>
      <c r="S291" t="str">
        <f t="shared" si="137"/>
        <v>OK</v>
      </c>
      <c r="T291" t="s">
        <v>153</v>
      </c>
      <c r="U291" t="str">
        <f t="shared" si="128"/>
        <v>Punjab</v>
      </c>
      <c r="V291" t="s">
        <v>154</v>
      </c>
      <c r="W291" t="str">
        <f t="shared" si="129"/>
        <v>Ludhiana</v>
      </c>
      <c r="X291" t="str">
        <f t="shared" si="130"/>
        <v>Furniture</v>
      </c>
      <c r="Y291" t="s">
        <v>44</v>
      </c>
      <c r="Z291" t="s">
        <v>64</v>
      </c>
      <c r="AA291" t="str">
        <f t="shared" si="131"/>
        <v>Furnishings</v>
      </c>
      <c r="AB291" t="s">
        <v>2463</v>
      </c>
      <c r="AC291" t="s">
        <v>55</v>
      </c>
      <c r="AD291" t="str">
        <f t="shared" si="150"/>
        <v>First Class</v>
      </c>
      <c r="AE291" t="str">
        <f t="shared" si="138"/>
        <v>OK</v>
      </c>
      <c r="AF291">
        <v>2</v>
      </c>
      <c r="AG291">
        <v>669.8</v>
      </c>
      <c r="AH291">
        <v>0.1</v>
      </c>
      <c r="AI291">
        <f t="shared" si="139"/>
        <v>0.1</v>
      </c>
      <c r="AJ291" t="str">
        <f t="shared" si="140"/>
        <v>OK</v>
      </c>
      <c r="AK291">
        <v>1205.6400000000001</v>
      </c>
      <c r="AL291">
        <v>842.07</v>
      </c>
      <c r="AM291">
        <v>363.57</v>
      </c>
      <c r="AN291" t="s">
        <v>123</v>
      </c>
      <c r="AO291" t="str">
        <f t="shared" si="132"/>
        <v>REFUNDED</v>
      </c>
      <c r="AP291" t="str">
        <f t="shared" si="141"/>
        <v>REFUNDED_PAYMENT</v>
      </c>
      <c r="AQ291" t="s">
        <v>124</v>
      </c>
      <c r="AR291" t="str">
        <f t="shared" si="133"/>
        <v>RETURNED</v>
      </c>
      <c r="AS291" t="str">
        <f t="shared" si="142"/>
        <v>RETURNED_ORDER</v>
      </c>
      <c r="AT291">
        <f t="shared" si="143"/>
        <v>1205.6399999999999</v>
      </c>
      <c r="AU291">
        <f t="shared" si="144"/>
        <v>363.56999999999982</v>
      </c>
      <c r="AV291" s="6">
        <f t="shared" si="145"/>
        <v>4.1420813841611102</v>
      </c>
      <c r="AW291" t="str">
        <f t="shared" si="146"/>
        <v>CLEAN</v>
      </c>
      <c r="AX291" s="10" t="str">
        <f t="shared" si="147"/>
        <v>MATCH</v>
      </c>
      <c r="AY291" t="str">
        <f t="shared" si="148"/>
        <v>MATCH</v>
      </c>
    </row>
    <row r="292" spans="1:51">
      <c r="A292" t="s">
        <v>2467</v>
      </c>
      <c r="B292">
        <f t="shared" si="124"/>
        <v>1</v>
      </c>
      <c r="C292" t="s">
        <v>2468</v>
      </c>
      <c r="D292" s="2">
        <v>45382</v>
      </c>
      <c r="E292" t="str">
        <f t="shared" si="125"/>
        <v>2024/03/31</v>
      </c>
      <c r="F292" t="str">
        <f t="shared" si="134"/>
        <v>March</v>
      </c>
      <c r="G292">
        <f t="shared" si="135"/>
        <v>2024</v>
      </c>
      <c r="H292" t="s">
        <v>1418</v>
      </c>
      <c r="I292" s="4">
        <v>45477</v>
      </c>
      <c r="J292" s="8">
        <f t="shared" si="126"/>
        <v>95</v>
      </c>
      <c r="K292" s="8" t="str">
        <f t="shared" si="136"/>
        <v>OK</v>
      </c>
      <c r="L292" t="s">
        <v>2469</v>
      </c>
      <c r="M292" t="s">
        <v>52</v>
      </c>
      <c r="N292" t="str">
        <f t="shared" si="127"/>
        <v>Isha Nair</v>
      </c>
      <c r="O292" t="s">
        <v>40</v>
      </c>
      <c r="P292" t="str">
        <f t="shared" si="151"/>
        <v>Small Business</v>
      </c>
      <c r="Q292" t="s">
        <v>26</v>
      </c>
      <c r="R292" t="str">
        <f t="shared" si="152"/>
        <v>North</v>
      </c>
      <c r="S292" t="str">
        <f t="shared" si="137"/>
        <v>OK</v>
      </c>
      <c r="T292" t="s">
        <v>322</v>
      </c>
      <c r="U292" t="str">
        <f t="shared" si="128"/>
        <v>Haryana</v>
      </c>
      <c r="V292" t="s">
        <v>323</v>
      </c>
      <c r="W292" t="str">
        <f t="shared" si="129"/>
        <v>Gurugram</v>
      </c>
      <c r="X292" t="str">
        <f t="shared" si="130"/>
        <v>Technology</v>
      </c>
      <c r="Y292" t="s">
        <v>85</v>
      </c>
      <c r="Z292" t="s">
        <v>381</v>
      </c>
      <c r="AA292" t="str">
        <f t="shared" si="131"/>
        <v>Machines</v>
      </c>
      <c r="AB292" t="s">
        <v>2470</v>
      </c>
      <c r="AC292" t="s">
        <v>32</v>
      </c>
      <c r="AD292" t="str">
        <f t="shared" si="150"/>
        <v>Second Class</v>
      </c>
      <c r="AE292" t="str">
        <f t="shared" si="138"/>
        <v>OK</v>
      </c>
      <c r="AF292">
        <v>4</v>
      </c>
      <c r="AG292">
        <v>1831</v>
      </c>
      <c r="AH292">
        <v>0</v>
      </c>
      <c r="AI292">
        <f t="shared" si="139"/>
        <v>0</v>
      </c>
      <c r="AJ292" t="str">
        <f t="shared" si="140"/>
        <v>OK</v>
      </c>
      <c r="AK292">
        <v>7324</v>
      </c>
      <c r="AL292">
        <v>4179.63</v>
      </c>
      <c r="AM292">
        <v>3144.37</v>
      </c>
      <c r="AN292" t="s">
        <v>33</v>
      </c>
      <c r="AO292" t="str">
        <f t="shared" si="132"/>
        <v>PAID</v>
      </c>
      <c r="AP292" t="str">
        <f t="shared" si="141"/>
        <v>OK</v>
      </c>
      <c r="AQ292" t="s">
        <v>34</v>
      </c>
      <c r="AR292" t="str">
        <f t="shared" si="133"/>
        <v>COMPLETED</v>
      </c>
      <c r="AS292" t="str">
        <f t="shared" si="142"/>
        <v>OK</v>
      </c>
      <c r="AT292">
        <f t="shared" si="143"/>
        <v>7324</v>
      </c>
      <c r="AU292">
        <f t="shared" si="144"/>
        <v>3144.37</v>
      </c>
      <c r="AV292" s="6">
        <f t="shared" si="145"/>
        <v>2.9954942654287272E-2</v>
      </c>
      <c r="AW292" t="str">
        <f t="shared" si="146"/>
        <v>CLEAN</v>
      </c>
      <c r="AX292" s="10" t="str">
        <f t="shared" si="147"/>
        <v>MATCH</v>
      </c>
      <c r="AY292" t="str">
        <f t="shared" si="148"/>
        <v>MATCH</v>
      </c>
    </row>
    <row r="293" spans="1:51">
      <c r="A293" t="s">
        <v>2476</v>
      </c>
      <c r="B293">
        <f t="shared" si="124"/>
        <v>1</v>
      </c>
      <c r="C293" t="s">
        <v>643</v>
      </c>
      <c r="D293" s="3">
        <v>45583</v>
      </c>
      <c r="E293" t="str">
        <f t="shared" si="125"/>
        <v>2024/10/18</v>
      </c>
      <c r="F293" t="str">
        <f t="shared" si="134"/>
        <v>October</v>
      </c>
      <c r="G293">
        <f t="shared" si="135"/>
        <v>2024</v>
      </c>
      <c r="H293" t="s">
        <v>2477</v>
      </c>
      <c r="I293" s="4">
        <v>45586</v>
      </c>
      <c r="J293" s="8">
        <f t="shared" si="126"/>
        <v>3</v>
      </c>
      <c r="K293" s="8" t="str">
        <f t="shared" si="136"/>
        <v>OK</v>
      </c>
      <c r="L293" t="s">
        <v>2478</v>
      </c>
      <c r="M293" t="s">
        <v>2479</v>
      </c>
      <c r="N293" t="str">
        <f t="shared" si="127"/>
        <v>Aarav Sharma</v>
      </c>
      <c r="O293" t="s">
        <v>25</v>
      </c>
      <c r="P293" t="str">
        <f t="shared" si="151"/>
        <v>Consumer</v>
      </c>
      <c r="Q293" t="s">
        <v>61</v>
      </c>
      <c r="R293" t="str">
        <f t="shared" si="152"/>
        <v>South</v>
      </c>
      <c r="S293" t="str">
        <f t="shared" si="137"/>
        <v>OK</v>
      </c>
      <c r="T293" t="s">
        <v>228</v>
      </c>
      <c r="U293" t="str">
        <f t="shared" si="128"/>
        <v>Karnataka</v>
      </c>
      <c r="V293" t="s">
        <v>229</v>
      </c>
      <c r="W293" t="str">
        <f t="shared" si="129"/>
        <v>Bengaluru</v>
      </c>
      <c r="X293" t="str">
        <f t="shared" si="130"/>
        <v>Office Supplies</v>
      </c>
      <c r="Y293" t="s">
        <v>29</v>
      </c>
      <c r="Z293" t="s">
        <v>155</v>
      </c>
      <c r="AA293" t="str">
        <f t="shared" si="131"/>
        <v>Storage</v>
      </c>
      <c r="AB293" t="s">
        <v>2480</v>
      </c>
      <c r="AC293" t="s">
        <v>32</v>
      </c>
      <c r="AD293" t="str">
        <f t="shared" si="150"/>
        <v>Second Class</v>
      </c>
      <c r="AE293" t="str">
        <f t="shared" si="138"/>
        <v>OK</v>
      </c>
      <c r="AF293">
        <v>2</v>
      </c>
      <c r="AG293">
        <v>4238.51</v>
      </c>
      <c r="AH293">
        <v>0</v>
      </c>
      <c r="AI293">
        <f t="shared" si="139"/>
        <v>0</v>
      </c>
      <c r="AJ293" t="str">
        <f t="shared" si="140"/>
        <v>OK</v>
      </c>
      <c r="AK293">
        <v>8477.02</v>
      </c>
      <c r="AL293">
        <v>6884.96</v>
      </c>
      <c r="AM293">
        <v>1592.06</v>
      </c>
      <c r="AN293" t="s">
        <v>33</v>
      </c>
      <c r="AO293" t="str">
        <f t="shared" si="132"/>
        <v>PAID</v>
      </c>
      <c r="AP293" t="str">
        <f t="shared" si="141"/>
        <v>OK</v>
      </c>
      <c r="AQ293" t="s">
        <v>34</v>
      </c>
      <c r="AR293" t="str">
        <f t="shared" si="133"/>
        <v>COMPLETED</v>
      </c>
      <c r="AS293" t="str">
        <f t="shared" si="142"/>
        <v>OK</v>
      </c>
      <c r="AT293">
        <f t="shared" si="143"/>
        <v>8477.02</v>
      </c>
      <c r="AU293">
        <f t="shared" si="144"/>
        <v>1592.0600000000004</v>
      </c>
      <c r="AV293" s="6">
        <f t="shared" si="145"/>
        <v>0.40608397762421233</v>
      </c>
      <c r="AW293" t="str">
        <f t="shared" si="146"/>
        <v>CLEAN</v>
      </c>
      <c r="AX293" s="10" t="str">
        <f t="shared" si="147"/>
        <v>MATCH</v>
      </c>
      <c r="AY293" t="str">
        <f t="shared" si="148"/>
        <v>MATCH</v>
      </c>
    </row>
    <row r="294" spans="1:51">
      <c r="A294" t="s">
        <v>2481</v>
      </c>
      <c r="B294">
        <f t="shared" si="124"/>
        <v>1</v>
      </c>
      <c r="C294" t="s">
        <v>2482</v>
      </c>
      <c r="D294" s="3">
        <v>45588</v>
      </c>
      <c r="E294" t="str">
        <f t="shared" si="125"/>
        <v>2024/10/23</v>
      </c>
      <c r="F294" t="str">
        <f t="shared" si="134"/>
        <v>October</v>
      </c>
      <c r="G294">
        <f t="shared" si="135"/>
        <v>2024</v>
      </c>
      <c r="H294" t="s">
        <v>2483</v>
      </c>
      <c r="I294" s="4">
        <v>45591</v>
      </c>
      <c r="J294" s="8">
        <f t="shared" si="126"/>
        <v>3</v>
      </c>
      <c r="K294" s="8" t="str">
        <f t="shared" si="136"/>
        <v>OK</v>
      </c>
      <c r="L294" t="s">
        <v>2484</v>
      </c>
      <c r="M294" t="s">
        <v>167</v>
      </c>
      <c r="N294" t="str">
        <f t="shared" si="127"/>
        <v>Sneha Kapoor</v>
      </c>
      <c r="O294" t="s">
        <v>25</v>
      </c>
      <c r="P294" t="str">
        <f t="shared" si="151"/>
        <v>Consumer</v>
      </c>
      <c r="Q294" t="s">
        <v>72</v>
      </c>
      <c r="R294" t="str">
        <f t="shared" si="152"/>
        <v>West</v>
      </c>
      <c r="S294" t="str">
        <f t="shared" si="137"/>
        <v>OK</v>
      </c>
      <c r="T294" t="s">
        <v>83</v>
      </c>
      <c r="U294" t="str">
        <f t="shared" si="128"/>
        <v>Madhya Pradesh</v>
      </c>
      <c r="V294" t="s">
        <v>84</v>
      </c>
      <c r="W294" t="str">
        <f t="shared" si="129"/>
        <v>Indore</v>
      </c>
      <c r="X294" t="str">
        <f t="shared" si="130"/>
        <v>Furniture</v>
      </c>
      <c r="Y294" t="s">
        <v>44</v>
      </c>
      <c r="Z294" t="s">
        <v>203</v>
      </c>
      <c r="AA294" t="str">
        <f t="shared" si="131"/>
        <v>Bookcases</v>
      </c>
      <c r="AB294" t="s">
        <v>2485</v>
      </c>
      <c r="AC294" t="s">
        <v>66</v>
      </c>
      <c r="AD294" t="str">
        <f t="shared" si="150"/>
        <v>Standard Class</v>
      </c>
      <c r="AE294" t="str">
        <f t="shared" si="138"/>
        <v>OK</v>
      </c>
      <c r="AF294">
        <v>9</v>
      </c>
      <c r="AG294">
        <v>544.27</v>
      </c>
      <c r="AH294">
        <v>0.25</v>
      </c>
      <c r="AI294">
        <f t="shared" si="139"/>
        <v>0.25</v>
      </c>
      <c r="AJ294" t="str">
        <f t="shared" si="140"/>
        <v>OK</v>
      </c>
      <c r="AK294">
        <v>3673.82</v>
      </c>
      <c r="AL294">
        <v>2088.15</v>
      </c>
      <c r="AM294">
        <v>1585.67</v>
      </c>
      <c r="AN294" t="s">
        <v>33</v>
      </c>
      <c r="AO294" t="str">
        <f t="shared" si="132"/>
        <v>PAID</v>
      </c>
      <c r="AP294" t="str">
        <f t="shared" si="141"/>
        <v>OK</v>
      </c>
      <c r="AQ294" t="s">
        <v>34</v>
      </c>
      <c r="AR294" t="str">
        <f t="shared" si="133"/>
        <v>COMPLETED</v>
      </c>
      <c r="AS294" t="str">
        <f t="shared" si="142"/>
        <v>OK</v>
      </c>
      <c r="AT294">
        <f t="shared" si="143"/>
        <v>3673.8225000000002</v>
      </c>
      <c r="AU294">
        <f t="shared" si="144"/>
        <v>1585.6725000000001</v>
      </c>
      <c r="AV294" s="6">
        <f t="shared" si="145"/>
        <v>0.68907507099213416</v>
      </c>
      <c r="AW294" t="str">
        <f t="shared" si="146"/>
        <v>CLEAN</v>
      </c>
      <c r="AX294" s="10" t="str">
        <f t="shared" si="147"/>
        <v>MATCH</v>
      </c>
      <c r="AY294" t="str">
        <f t="shared" si="148"/>
        <v>MATCH</v>
      </c>
    </row>
    <row r="295" spans="1:51">
      <c r="A295" t="s">
        <v>2492</v>
      </c>
      <c r="B295">
        <f t="shared" si="124"/>
        <v>1</v>
      </c>
      <c r="C295" t="s">
        <v>2493</v>
      </c>
      <c r="D295" s="2">
        <v>45614</v>
      </c>
      <c r="E295" t="str">
        <f t="shared" si="125"/>
        <v>2024/11/18</v>
      </c>
      <c r="F295" t="str">
        <f t="shared" si="134"/>
        <v>November</v>
      </c>
      <c r="G295">
        <f t="shared" si="135"/>
        <v>2024</v>
      </c>
      <c r="H295" t="s">
        <v>2406</v>
      </c>
      <c r="I295" s="4">
        <v>45618</v>
      </c>
      <c r="J295" s="8">
        <f t="shared" si="126"/>
        <v>4</v>
      </c>
      <c r="K295" s="8" t="str">
        <f t="shared" si="136"/>
        <v>OK</v>
      </c>
      <c r="L295" t="s">
        <v>2494</v>
      </c>
      <c r="M295" t="s">
        <v>24</v>
      </c>
      <c r="N295" t="str">
        <f t="shared" si="127"/>
        <v>Karan Malhotra</v>
      </c>
      <c r="O295" t="s">
        <v>114</v>
      </c>
      <c r="P295" t="str">
        <f t="shared" si="151"/>
        <v>Home Office</v>
      </c>
      <c r="Q295" t="s">
        <v>61</v>
      </c>
      <c r="R295" t="str">
        <f t="shared" si="152"/>
        <v>South</v>
      </c>
      <c r="S295" t="str">
        <f t="shared" si="137"/>
        <v>OK</v>
      </c>
      <c r="T295" t="s">
        <v>241</v>
      </c>
      <c r="U295" t="str">
        <f t="shared" si="128"/>
        <v>Kerala</v>
      </c>
      <c r="V295" t="s">
        <v>242</v>
      </c>
      <c r="W295" t="str">
        <f t="shared" si="129"/>
        <v>Kochi</v>
      </c>
      <c r="X295" t="str">
        <f t="shared" si="130"/>
        <v>Technology</v>
      </c>
      <c r="Y295" t="s">
        <v>85</v>
      </c>
      <c r="Z295" t="s">
        <v>86</v>
      </c>
      <c r="AA295" t="str">
        <f t="shared" si="131"/>
        <v>Accessories</v>
      </c>
      <c r="AB295" t="s">
        <v>2495</v>
      </c>
      <c r="AC295" t="s">
        <v>66</v>
      </c>
      <c r="AD295" t="str">
        <f t="shared" si="150"/>
        <v>Standard Class</v>
      </c>
      <c r="AE295" t="str">
        <f t="shared" si="138"/>
        <v>OK</v>
      </c>
      <c r="AF295">
        <v>6</v>
      </c>
      <c r="AG295">
        <v>3872.94</v>
      </c>
      <c r="AH295">
        <v>0.1</v>
      </c>
      <c r="AI295">
        <f t="shared" si="139"/>
        <v>0.1</v>
      </c>
      <c r="AJ295" t="str">
        <f t="shared" si="140"/>
        <v>OK</v>
      </c>
      <c r="AK295">
        <v>20913.88</v>
      </c>
      <c r="AL295">
        <v>11684.68</v>
      </c>
      <c r="AM295">
        <v>9229.2000000000007</v>
      </c>
      <c r="AN295" t="s">
        <v>33</v>
      </c>
      <c r="AO295" t="str">
        <f t="shared" si="132"/>
        <v>PAID</v>
      </c>
      <c r="AP295" t="str">
        <f t="shared" si="141"/>
        <v>OK</v>
      </c>
      <c r="AQ295" t="s">
        <v>34</v>
      </c>
      <c r="AR295" t="str">
        <f t="shared" si="133"/>
        <v>COMPLETED</v>
      </c>
      <c r="AS295" t="str">
        <f t="shared" si="142"/>
        <v>OK</v>
      </c>
      <c r="AT295">
        <f t="shared" si="143"/>
        <v>20913.876</v>
      </c>
      <c r="AU295">
        <f t="shared" si="144"/>
        <v>9229.1959999999999</v>
      </c>
      <c r="AV295" s="6">
        <f t="shared" si="145"/>
        <v>5.9243728900372175E-2</v>
      </c>
      <c r="AW295" t="str">
        <f t="shared" si="146"/>
        <v>CLEAN</v>
      </c>
      <c r="AX295" s="10" t="str">
        <f t="shared" si="147"/>
        <v>MATCH</v>
      </c>
      <c r="AY295" t="str">
        <f t="shared" si="148"/>
        <v>MATCH</v>
      </c>
    </row>
    <row r="296" spans="1:51">
      <c r="A296" t="s">
        <v>2500</v>
      </c>
      <c r="B296">
        <f t="shared" si="124"/>
        <v>1</v>
      </c>
      <c r="C296" t="s">
        <v>2501</v>
      </c>
      <c r="D296" s="3">
        <v>45563</v>
      </c>
      <c r="E296" t="str">
        <f t="shared" si="125"/>
        <v>2024/09/28</v>
      </c>
      <c r="F296" t="str">
        <f t="shared" si="134"/>
        <v>September</v>
      </c>
      <c r="G296">
        <f t="shared" si="135"/>
        <v>2024</v>
      </c>
      <c r="H296" t="s">
        <v>2502</v>
      </c>
      <c r="I296" s="4">
        <v>45569</v>
      </c>
      <c r="J296" s="8">
        <f t="shared" si="126"/>
        <v>6</v>
      </c>
      <c r="K296" s="8" t="str">
        <f t="shared" si="136"/>
        <v>OK</v>
      </c>
      <c r="L296" t="s">
        <v>2503</v>
      </c>
      <c r="M296" t="s">
        <v>365</v>
      </c>
      <c r="N296" t="str">
        <f t="shared" si="127"/>
        <v>Kabir Singh</v>
      </c>
      <c r="O296" t="s">
        <v>114</v>
      </c>
      <c r="P296" t="str">
        <f t="shared" si="151"/>
        <v>Home Office</v>
      </c>
      <c r="Q296" t="s">
        <v>26</v>
      </c>
      <c r="R296" t="str">
        <f t="shared" si="152"/>
        <v>North</v>
      </c>
      <c r="S296" t="str">
        <f t="shared" si="137"/>
        <v>OK</v>
      </c>
      <c r="T296" t="s">
        <v>505</v>
      </c>
      <c r="U296" t="str">
        <f t="shared" si="128"/>
        <v>Delhi</v>
      </c>
      <c r="V296" t="s">
        <v>506</v>
      </c>
      <c r="W296" t="str">
        <f t="shared" si="129"/>
        <v>New Delhi</v>
      </c>
      <c r="X296" t="str">
        <f t="shared" si="130"/>
        <v>Technology</v>
      </c>
      <c r="Y296" t="s">
        <v>85</v>
      </c>
      <c r="Z296" t="s">
        <v>93</v>
      </c>
      <c r="AA296" t="str">
        <f t="shared" si="131"/>
        <v>Copiers</v>
      </c>
      <c r="AB296" t="s">
        <v>2504</v>
      </c>
      <c r="AC296" t="s">
        <v>66</v>
      </c>
      <c r="AD296" t="str">
        <f t="shared" ref="AD296:AD302" si="153">PROPER(TRIM(SUBSTITUTE(AC296,CHAR(160)," ")))</f>
        <v>Standard Class</v>
      </c>
      <c r="AE296" t="str">
        <f t="shared" si="138"/>
        <v>OK</v>
      </c>
      <c r="AF296">
        <v>1</v>
      </c>
      <c r="AG296">
        <v>2233.1799999999998</v>
      </c>
      <c r="AH296">
        <v>0</v>
      </c>
      <c r="AI296">
        <f t="shared" si="139"/>
        <v>0</v>
      </c>
      <c r="AJ296" t="str">
        <f t="shared" si="140"/>
        <v>OK</v>
      </c>
      <c r="AK296">
        <v>2233.1799999999998</v>
      </c>
      <c r="AL296">
        <v>1585.82</v>
      </c>
      <c r="AM296">
        <v>647.36</v>
      </c>
      <c r="AN296" t="s">
        <v>199</v>
      </c>
      <c r="AO296" t="str">
        <f t="shared" si="132"/>
        <v>FAILED</v>
      </c>
      <c r="AP296" t="str">
        <f t="shared" si="141"/>
        <v>EXCLUDE_FROM_SALES</v>
      </c>
      <c r="AQ296" t="s">
        <v>124</v>
      </c>
      <c r="AR296" t="str">
        <f t="shared" si="133"/>
        <v>RETURNED</v>
      </c>
      <c r="AS296" t="str">
        <f t="shared" si="142"/>
        <v>RETURNED_ORDER</v>
      </c>
      <c r="AT296">
        <f t="shared" si="143"/>
        <v>2233.1799999999998</v>
      </c>
      <c r="AU296">
        <f t="shared" si="144"/>
        <v>647.3599999999999</v>
      </c>
      <c r="AV296" s="6">
        <f t="shared" si="145"/>
        <v>0.62308456998540207</v>
      </c>
      <c r="AW296" t="str">
        <f t="shared" si="146"/>
        <v>CLEAN</v>
      </c>
      <c r="AX296" s="10" t="str">
        <f t="shared" si="147"/>
        <v>MATCH</v>
      </c>
      <c r="AY296" t="str">
        <f t="shared" si="148"/>
        <v>MATCH</v>
      </c>
    </row>
    <row r="297" spans="1:51">
      <c r="A297" t="s">
        <v>2517</v>
      </c>
      <c r="B297">
        <f t="shared" si="124"/>
        <v>1</v>
      </c>
      <c r="C297" t="s">
        <v>1108</v>
      </c>
      <c r="D297" s="3">
        <v>45489</v>
      </c>
      <c r="E297" t="str">
        <f t="shared" si="125"/>
        <v>2024/07/16</v>
      </c>
      <c r="F297" t="str">
        <f t="shared" si="134"/>
        <v>July</v>
      </c>
      <c r="G297">
        <f t="shared" si="135"/>
        <v>2024</v>
      </c>
      <c r="H297" t="s">
        <v>2518</v>
      </c>
      <c r="I297" s="4">
        <v>45496</v>
      </c>
      <c r="J297" s="8">
        <f t="shared" si="126"/>
        <v>7</v>
      </c>
      <c r="K297" s="8" t="str">
        <f t="shared" si="136"/>
        <v>OK</v>
      </c>
      <c r="L297" t="s">
        <v>2519</v>
      </c>
      <c r="M297" t="s">
        <v>161</v>
      </c>
      <c r="N297" t="str">
        <f t="shared" si="127"/>
        <v>Aarav Sharma</v>
      </c>
      <c r="O297" t="s">
        <v>114</v>
      </c>
      <c r="P297" t="str">
        <f t="shared" si="151"/>
        <v>Home Office</v>
      </c>
      <c r="Q297" t="s">
        <v>61</v>
      </c>
      <c r="R297" t="str">
        <f t="shared" si="152"/>
        <v>South</v>
      </c>
      <c r="S297" t="str">
        <f t="shared" si="137"/>
        <v>OK</v>
      </c>
      <c r="T297" t="s">
        <v>228</v>
      </c>
      <c r="U297" t="str">
        <f t="shared" si="128"/>
        <v>Karnataka</v>
      </c>
      <c r="V297" t="s">
        <v>229</v>
      </c>
      <c r="W297" t="str">
        <f t="shared" si="129"/>
        <v>Bengaluru</v>
      </c>
      <c r="X297" t="str">
        <f t="shared" si="130"/>
        <v>Technology</v>
      </c>
      <c r="Y297" t="s">
        <v>85</v>
      </c>
      <c r="Z297" t="s">
        <v>381</v>
      </c>
      <c r="AA297" t="str">
        <f t="shared" si="131"/>
        <v>Machines</v>
      </c>
      <c r="AB297" t="s">
        <v>2520</v>
      </c>
      <c r="AC297" t="s">
        <v>47</v>
      </c>
      <c r="AD297" t="str">
        <f t="shared" si="153"/>
        <v>Same Day</v>
      </c>
      <c r="AE297" t="str">
        <f t="shared" si="138"/>
        <v>OK</v>
      </c>
      <c r="AF297">
        <v>1</v>
      </c>
      <c r="AG297">
        <v>1695.91</v>
      </c>
      <c r="AH297">
        <v>0.05</v>
      </c>
      <c r="AI297">
        <f t="shared" si="139"/>
        <v>0.05</v>
      </c>
      <c r="AJ297" t="str">
        <f t="shared" si="140"/>
        <v>OK</v>
      </c>
      <c r="AK297">
        <v>1611.11</v>
      </c>
      <c r="AL297">
        <v>895.15</v>
      </c>
      <c r="AM297">
        <v>715.96</v>
      </c>
      <c r="AN297" t="s">
        <v>33</v>
      </c>
      <c r="AO297" t="str">
        <f t="shared" si="132"/>
        <v>PAID</v>
      </c>
      <c r="AP297" t="str">
        <f t="shared" si="141"/>
        <v>OK</v>
      </c>
      <c r="AQ297" t="s">
        <v>34</v>
      </c>
      <c r="AR297" t="str">
        <f t="shared" si="133"/>
        <v>COMPLETED</v>
      </c>
      <c r="AS297" t="str">
        <f t="shared" si="142"/>
        <v>OK</v>
      </c>
      <c r="AT297">
        <f t="shared" si="143"/>
        <v>1611.1144999999999</v>
      </c>
      <c r="AU297">
        <f t="shared" si="144"/>
        <v>715.96449999999993</v>
      </c>
      <c r="AV297" s="6">
        <f t="shared" si="145"/>
        <v>4.504659972956607</v>
      </c>
      <c r="AW297" t="str">
        <f t="shared" si="146"/>
        <v>CLEAN</v>
      </c>
      <c r="AX297" s="10" t="str">
        <f t="shared" si="147"/>
        <v>MATCH</v>
      </c>
      <c r="AY297" t="str">
        <f t="shared" si="148"/>
        <v>MATCH</v>
      </c>
    </row>
    <row r="298" spans="1:51">
      <c r="A298" t="s">
        <v>2530</v>
      </c>
      <c r="B298">
        <f t="shared" si="124"/>
        <v>1</v>
      </c>
      <c r="C298" t="s">
        <v>2531</v>
      </c>
      <c r="D298" s="3">
        <v>45384</v>
      </c>
      <c r="E298" t="str">
        <f t="shared" si="125"/>
        <v>2024/04/02</v>
      </c>
      <c r="F298" t="str">
        <f t="shared" si="134"/>
        <v>April</v>
      </c>
      <c r="G298">
        <f t="shared" si="135"/>
        <v>2024</v>
      </c>
      <c r="H298" t="s">
        <v>2532</v>
      </c>
      <c r="I298" s="4">
        <v>45385</v>
      </c>
      <c r="J298" s="8">
        <f t="shared" si="126"/>
        <v>1</v>
      </c>
      <c r="K298" s="8" t="str">
        <f t="shared" si="136"/>
        <v>OK</v>
      </c>
      <c r="L298" t="s">
        <v>2533</v>
      </c>
      <c r="M298" t="s">
        <v>365</v>
      </c>
      <c r="N298" t="str">
        <f t="shared" si="127"/>
        <v>Kabir Singh</v>
      </c>
      <c r="O298" t="s">
        <v>114</v>
      </c>
      <c r="P298" t="str">
        <f t="shared" si="151"/>
        <v>Home Office</v>
      </c>
      <c r="Q298" t="s">
        <v>72</v>
      </c>
      <c r="R298" t="str">
        <f t="shared" si="152"/>
        <v>West</v>
      </c>
      <c r="S298" t="str">
        <f t="shared" si="137"/>
        <v>OK</v>
      </c>
      <c r="T298" t="s">
        <v>248</v>
      </c>
      <c r="U298" t="str">
        <f t="shared" si="128"/>
        <v>Goa</v>
      </c>
      <c r="V298" t="s">
        <v>249</v>
      </c>
      <c r="W298" t="str">
        <f t="shared" si="129"/>
        <v>Panaji</v>
      </c>
      <c r="X298" t="str">
        <f t="shared" si="130"/>
        <v>Office Supplies</v>
      </c>
      <c r="Y298" t="s">
        <v>29</v>
      </c>
      <c r="Z298" t="s">
        <v>30</v>
      </c>
      <c r="AA298" t="str">
        <f t="shared" si="131"/>
        <v>Paper</v>
      </c>
      <c r="AB298" t="s">
        <v>2534</v>
      </c>
      <c r="AC298" t="s">
        <v>32</v>
      </c>
      <c r="AD298" t="str">
        <f t="shared" si="153"/>
        <v>Second Class</v>
      </c>
      <c r="AE298" t="str">
        <f t="shared" si="138"/>
        <v>OK</v>
      </c>
      <c r="AF298">
        <v>2</v>
      </c>
      <c r="AG298">
        <v>2902.63</v>
      </c>
      <c r="AH298">
        <v>0</v>
      </c>
      <c r="AI298">
        <f t="shared" si="139"/>
        <v>0</v>
      </c>
      <c r="AJ298" t="str">
        <f t="shared" si="140"/>
        <v>OK</v>
      </c>
      <c r="AK298">
        <v>5805.26</v>
      </c>
      <c r="AL298">
        <v>4654.3599999999997</v>
      </c>
      <c r="AM298">
        <v>1150.9000000000001</v>
      </c>
      <c r="AN298" t="s">
        <v>33</v>
      </c>
      <c r="AO298" t="str">
        <f t="shared" si="132"/>
        <v>PAID</v>
      </c>
      <c r="AP298" t="str">
        <f t="shared" si="141"/>
        <v>OK</v>
      </c>
      <c r="AQ298" t="s">
        <v>124</v>
      </c>
      <c r="AR298" t="str">
        <f t="shared" si="133"/>
        <v>RETURNED</v>
      </c>
      <c r="AS298" t="str">
        <f t="shared" si="142"/>
        <v>RETURNED_ORDER</v>
      </c>
      <c r="AT298">
        <f t="shared" si="143"/>
        <v>5805.26</v>
      </c>
      <c r="AU298">
        <f t="shared" si="144"/>
        <v>1150.9000000000005</v>
      </c>
      <c r="AV298" s="6">
        <f t="shared" si="145"/>
        <v>4.8490506885135183E-2</v>
      </c>
      <c r="AW298" t="str">
        <f t="shared" si="146"/>
        <v>CLEAN</v>
      </c>
      <c r="AX298" s="10" t="str">
        <f t="shared" si="147"/>
        <v>MATCH</v>
      </c>
      <c r="AY298" t="str">
        <f t="shared" si="148"/>
        <v>MATCH</v>
      </c>
    </row>
    <row r="299" spans="1:51">
      <c r="A299" t="s">
        <v>2535</v>
      </c>
      <c r="B299">
        <f t="shared" si="124"/>
        <v>1</v>
      </c>
      <c r="C299" t="s">
        <v>2536</v>
      </c>
      <c r="D299" s="2">
        <v>45626</v>
      </c>
      <c r="E299" t="str">
        <f t="shared" si="125"/>
        <v>2024/11/30</v>
      </c>
      <c r="F299" t="str">
        <f t="shared" si="134"/>
        <v>November</v>
      </c>
      <c r="G299">
        <f t="shared" si="135"/>
        <v>2024</v>
      </c>
      <c r="H299" t="s">
        <v>2537</v>
      </c>
      <c r="I299" s="4">
        <v>45627</v>
      </c>
      <c r="J299" s="8">
        <f t="shared" si="126"/>
        <v>1</v>
      </c>
      <c r="K299" s="8" t="str">
        <f t="shared" si="136"/>
        <v>OK</v>
      </c>
      <c r="L299" t="s">
        <v>2538</v>
      </c>
      <c r="M299" t="s">
        <v>71</v>
      </c>
      <c r="N299" t="str">
        <f t="shared" si="127"/>
        <v>Ananya Rao</v>
      </c>
      <c r="O299" t="s">
        <v>107</v>
      </c>
      <c r="P299" t="str">
        <f t="shared" si="151"/>
        <v>Corporate</v>
      </c>
      <c r="Q299" t="s">
        <v>72</v>
      </c>
      <c r="R299" t="str">
        <f t="shared" si="152"/>
        <v>West</v>
      </c>
      <c r="S299" t="str">
        <f t="shared" si="137"/>
        <v>OK</v>
      </c>
      <c r="T299" t="s">
        <v>234</v>
      </c>
      <c r="U299" t="str">
        <f t="shared" si="128"/>
        <v>Gujarat</v>
      </c>
      <c r="V299" t="s">
        <v>235</v>
      </c>
      <c r="W299" t="str">
        <f t="shared" si="129"/>
        <v>Ahmedabad</v>
      </c>
      <c r="X299" t="str">
        <f t="shared" si="130"/>
        <v>Furniture</v>
      </c>
      <c r="Y299" t="s">
        <v>44</v>
      </c>
      <c r="Z299" t="s">
        <v>75</v>
      </c>
      <c r="AA299" t="str">
        <f t="shared" si="131"/>
        <v>Chairs</v>
      </c>
      <c r="AB299" t="s">
        <v>2539</v>
      </c>
      <c r="AC299" t="s">
        <v>55</v>
      </c>
      <c r="AD299" t="str">
        <f t="shared" si="153"/>
        <v>First Class</v>
      </c>
      <c r="AE299" t="str">
        <f t="shared" si="138"/>
        <v>OK</v>
      </c>
      <c r="AF299">
        <v>9</v>
      </c>
      <c r="AG299">
        <v>4207.3599999999997</v>
      </c>
      <c r="AH299">
        <v>0.1</v>
      </c>
      <c r="AI299">
        <f t="shared" si="139"/>
        <v>0.1</v>
      </c>
      <c r="AJ299" t="str">
        <f t="shared" si="140"/>
        <v>OK</v>
      </c>
      <c r="AK299">
        <v>34079.620000000003</v>
      </c>
      <c r="AL299">
        <v>21871.39</v>
      </c>
      <c r="AM299">
        <v>12208.23</v>
      </c>
      <c r="AN299" t="s">
        <v>33</v>
      </c>
      <c r="AO299" t="str">
        <f t="shared" si="132"/>
        <v>PAID</v>
      </c>
      <c r="AP299" t="str">
        <f t="shared" si="141"/>
        <v>OK</v>
      </c>
      <c r="AQ299" t="s">
        <v>34</v>
      </c>
      <c r="AR299" t="str">
        <f t="shared" si="133"/>
        <v>COMPLETED</v>
      </c>
      <c r="AS299" t="str">
        <f t="shared" si="142"/>
        <v>OK</v>
      </c>
      <c r="AT299">
        <f t="shared" si="143"/>
        <v>34079.616000000002</v>
      </c>
      <c r="AU299">
        <f t="shared" si="144"/>
        <v>12208.226000000002</v>
      </c>
      <c r="AV299" s="6">
        <f t="shared" si="145"/>
        <v>6.3713746070378288E-3</v>
      </c>
      <c r="AW299" t="str">
        <f t="shared" si="146"/>
        <v>CLEAN</v>
      </c>
      <c r="AX299" s="10" t="str">
        <f t="shared" si="147"/>
        <v>MATCH</v>
      </c>
      <c r="AY299" t="str">
        <f t="shared" si="148"/>
        <v>MATCH</v>
      </c>
    </row>
    <row r="300" spans="1:51">
      <c r="A300" t="s">
        <v>2540</v>
      </c>
      <c r="B300">
        <f t="shared" si="124"/>
        <v>1</v>
      </c>
      <c r="C300" t="s">
        <v>2541</v>
      </c>
      <c r="D300" s="3">
        <v>45582</v>
      </c>
      <c r="E300" t="str">
        <f t="shared" si="125"/>
        <v>2024/10/17</v>
      </c>
      <c r="F300" t="str">
        <f t="shared" si="134"/>
        <v>October</v>
      </c>
      <c r="G300">
        <f t="shared" si="135"/>
        <v>2024</v>
      </c>
      <c r="H300" t="s">
        <v>2542</v>
      </c>
      <c r="I300" s="4">
        <v>45582</v>
      </c>
      <c r="J300" s="8">
        <f t="shared" si="126"/>
        <v>0</v>
      </c>
      <c r="K300" s="8" t="str">
        <f t="shared" si="136"/>
        <v>OK</v>
      </c>
      <c r="L300" t="s">
        <v>2543</v>
      </c>
      <c r="M300" t="s">
        <v>141</v>
      </c>
      <c r="N300" t="str">
        <f t="shared" si="127"/>
        <v>Priya Menon</v>
      </c>
      <c r="O300" t="s">
        <v>114</v>
      </c>
      <c r="P300" t="str">
        <f t="shared" si="151"/>
        <v>Home Office</v>
      </c>
      <c r="Q300" t="s">
        <v>41</v>
      </c>
      <c r="R300" t="str">
        <f t="shared" si="152"/>
        <v>East</v>
      </c>
      <c r="S300" t="str">
        <f t="shared" si="137"/>
        <v>OK</v>
      </c>
      <c r="T300" t="s">
        <v>120</v>
      </c>
      <c r="U300" t="str">
        <f t="shared" si="128"/>
        <v>West Bengal</v>
      </c>
      <c r="V300" t="s">
        <v>121</v>
      </c>
      <c r="W300" t="str">
        <f t="shared" si="129"/>
        <v>Kolkata</v>
      </c>
      <c r="X300" t="str">
        <f t="shared" si="130"/>
        <v>Furniture</v>
      </c>
      <c r="Y300" t="s">
        <v>44</v>
      </c>
      <c r="Z300" t="s">
        <v>75</v>
      </c>
      <c r="AA300" t="str">
        <f t="shared" si="131"/>
        <v>Chairs</v>
      </c>
      <c r="AB300" t="s">
        <v>2544</v>
      </c>
      <c r="AC300" t="s">
        <v>66</v>
      </c>
      <c r="AD300" t="str">
        <f t="shared" si="153"/>
        <v>Standard Class</v>
      </c>
      <c r="AE300" t="str">
        <f t="shared" si="138"/>
        <v>OK</v>
      </c>
      <c r="AF300">
        <v>5</v>
      </c>
      <c r="AG300">
        <v>2524.4</v>
      </c>
      <c r="AH300">
        <v>0.1</v>
      </c>
      <c r="AI300">
        <f t="shared" si="139"/>
        <v>0.1</v>
      </c>
      <c r="AJ300" t="str">
        <f t="shared" si="140"/>
        <v>OK</v>
      </c>
      <c r="AK300">
        <v>11359.8</v>
      </c>
      <c r="AL300">
        <v>7062.44</v>
      </c>
      <c r="AM300">
        <v>4297.3599999999997</v>
      </c>
      <c r="AN300" t="s">
        <v>33</v>
      </c>
      <c r="AO300" t="str">
        <f t="shared" si="132"/>
        <v>PAID</v>
      </c>
      <c r="AP300" t="str">
        <f t="shared" si="141"/>
        <v>OK</v>
      </c>
      <c r="AQ300" t="s">
        <v>34</v>
      </c>
      <c r="AR300" t="str">
        <f t="shared" si="133"/>
        <v>COMPLETED</v>
      </c>
      <c r="AS300" t="str">
        <f t="shared" si="142"/>
        <v>OK</v>
      </c>
      <c r="AT300">
        <f t="shared" si="143"/>
        <v>11359.800000000001</v>
      </c>
      <c r="AU300">
        <f t="shared" si="144"/>
        <v>4297.3600000000015</v>
      </c>
      <c r="AV300" s="6">
        <f t="shared" si="145"/>
        <v>9.4777548900508837E-2</v>
      </c>
      <c r="AW300" t="str">
        <f t="shared" si="146"/>
        <v>CLEAN</v>
      </c>
      <c r="AX300" s="10" t="str">
        <f t="shared" si="147"/>
        <v>MATCH</v>
      </c>
      <c r="AY300" t="str">
        <f t="shared" si="148"/>
        <v>MATCH</v>
      </c>
    </row>
    <row r="301" spans="1:51">
      <c r="A301" t="s">
        <v>2555</v>
      </c>
      <c r="B301">
        <f t="shared" si="124"/>
        <v>1</v>
      </c>
      <c r="C301" t="s">
        <v>2556</v>
      </c>
      <c r="D301" s="3">
        <v>45483</v>
      </c>
      <c r="E301" t="str">
        <f t="shared" si="125"/>
        <v>2024/07/10</v>
      </c>
      <c r="F301" t="str">
        <f t="shared" si="134"/>
        <v>July</v>
      </c>
      <c r="G301">
        <f t="shared" si="135"/>
        <v>2024</v>
      </c>
      <c r="H301" t="s">
        <v>2557</v>
      </c>
      <c r="I301" s="4">
        <v>45545</v>
      </c>
      <c r="J301" s="8">
        <f t="shared" si="126"/>
        <v>62</v>
      </c>
      <c r="K301" s="8" t="str">
        <f t="shared" si="136"/>
        <v>OK</v>
      </c>
      <c r="L301" t="s">
        <v>2558</v>
      </c>
      <c r="M301" t="s">
        <v>209</v>
      </c>
      <c r="N301" t="str">
        <f t="shared" si="127"/>
        <v>Diya Patel</v>
      </c>
      <c r="O301" t="s">
        <v>25</v>
      </c>
      <c r="P301" t="str">
        <f t="shared" si="151"/>
        <v>Consumer</v>
      </c>
      <c r="Q301" t="s">
        <v>61</v>
      </c>
      <c r="R301" t="str">
        <f t="shared" si="152"/>
        <v>South</v>
      </c>
      <c r="S301" t="str">
        <f t="shared" si="137"/>
        <v>OK</v>
      </c>
      <c r="T301" t="s">
        <v>338</v>
      </c>
      <c r="U301" t="str">
        <f t="shared" si="128"/>
        <v>Tamil Nadu</v>
      </c>
      <c r="V301" t="s">
        <v>339</v>
      </c>
      <c r="W301" t="str">
        <f t="shared" si="129"/>
        <v>Chennai</v>
      </c>
      <c r="X301" t="str">
        <f t="shared" si="130"/>
        <v>Office Supplies</v>
      </c>
      <c r="Y301" t="s">
        <v>29</v>
      </c>
      <c r="Z301" t="s">
        <v>197</v>
      </c>
      <c r="AA301" t="str">
        <f t="shared" si="131"/>
        <v>Binders</v>
      </c>
      <c r="AB301" t="s">
        <v>2559</v>
      </c>
      <c r="AC301" t="s">
        <v>66</v>
      </c>
      <c r="AD301" t="str">
        <f t="shared" si="153"/>
        <v>Standard Class</v>
      </c>
      <c r="AE301" t="str">
        <f t="shared" si="138"/>
        <v>OK</v>
      </c>
      <c r="AF301">
        <v>9</v>
      </c>
      <c r="AG301">
        <v>3457.09</v>
      </c>
      <c r="AH301">
        <v>0.05</v>
      </c>
      <c r="AI301">
        <f t="shared" si="139"/>
        <v>0.05</v>
      </c>
      <c r="AJ301" t="str">
        <f t="shared" si="140"/>
        <v>OK</v>
      </c>
      <c r="AK301">
        <v>29558.12</v>
      </c>
      <c r="AL301">
        <v>21302.13</v>
      </c>
      <c r="AM301">
        <v>8255.99</v>
      </c>
      <c r="AN301" t="s">
        <v>136</v>
      </c>
      <c r="AO301" t="str">
        <f t="shared" si="132"/>
        <v>PENDING</v>
      </c>
      <c r="AP301" t="str">
        <f t="shared" si="141"/>
        <v>OK</v>
      </c>
      <c r="AQ301" t="s">
        <v>124</v>
      </c>
      <c r="AR301" t="str">
        <f t="shared" si="133"/>
        <v>RETURNED</v>
      </c>
      <c r="AS301" t="str">
        <f t="shared" si="142"/>
        <v>RETURNED_ORDER</v>
      </c>
      <c r="AT301">
        <f t="shared" si="143"/>
        <v>29558.119500000001</v>
      </c>
      <c r="AU301">
        <f t="shared" si="144"/>
        <v>8255.9894999999997</v>
      </c>
      <c r="AV301" s="6">
        <f t="shared" si="145"/>
        <v>1.7108124892721954E-2</v>
      </c>
      <c r="AW301" t="str">
        <f t="shared" si="146"/>
        <v>CLEAN</v>
      </c>
      <c r="AX301" s="10" t="str">
        <f t="shared" si="147"/>
        <v>MATCH</v>
      </c>
      <c r="AY301" t="str">
        <f t="shared" si="148"/>
        <v>MATCH</v>
      </c>
    </row>
    <row r="302" spans="1:51">
      <c r="A302" t="s">
        <v>2560</v>
      </c>
      <c r="B302">
        <f t="shared" si="124"/>
        <v>1</v>
      </c>
      <c r="C302" t="s">
        <v>2279</v>
      </c>
      <c r="D302" s="3">
        <v>45445</v>
      </c>
      <c r="E302" t="str">
        <f t="shared" si="125"/>
        <v>2024/06/02</v>
      </c>
      <c r="F302" t="str">
        <f t="shared" si="134"/>
        <v>June</v>
      </c>
      <c r="G302">
        <f t="shared" si="135"/>
        <v>2024</v>
      </c>
      <c r="H302" t="s">
        <v>2561</v>
      </c>
      <c r="I302" s="4">
        <v>45330</v>
      </c>
      <c r="J302" s="8">
        <f t="shared" si="126"/>
        <v>-115</v>
      </c>
      <c r="K302" s="8" t="str">
        <f t="shared" si="136"/>
        <v>INVAILD_SHIPPING</v>
      </c>
      <c r="L302" t="s">
        <v>1109</v>
      </c>
      <c r="M302" t="s">
        <v>24</v>
      </c>
      <c r="N302" t="str">
        <f t="shared" si="127"/>
        <v>Karan Malhotra</v>
      </c>
      <c r="O302" t="s">
        <v>25</v>
      </c>
      <c r="P302" t="str">
        <f t="shared" si="151"/>
        <v>Consumer</v>
      </c>
      <c r="Q302" t="s">
        <v>41</v>
      </c>
      <c r="R302" t="str">
        <f t="shared" si="152"/>
        <v>East</v>
      </c>
      <c r="S302" t="str">
        <f t="shared" si="137"/>
        <v>OK</v>
      </c>
      <c r="T302" t="s">
        <v>310</v>
      </c>
      <c r="U302" t="str">
        <f t="shared" si="128"/>
        <v>Jharkhand</v>
      </c>
      <c r="V302" t="s">
        <v>311</v>
      </c>
      <c r="W302" t="str">
        <f t="shared" si="129"/>
        <v>Ranchi</v>
      </c>
      <c r="X302" t="str">
        <f t="shared" si="130"/>
        <v>Furniture</v>
      </c>
      <c r="Y302" t="s">
        <v>44</v>
      </c>
      <c r="Z302" t="s">
        <v>203</v>
      </c>
      <c r="AA302" t="str">
        <f t="shared" si="131"/>
        <v>Bookcases</v>
      </c>
      <c r="AB302" t="s">
        <v>2562</v>
      </c>
      <c r="AC302" t="s">
        <v>32</v>
      </c>
      <c r="AD302" t="str">
        <f t="shared" si="153"/>
        <v>Second Class</v>
      </c>
      <c r="AE302" t="str">
        <f t="shared" si="138"/>
        <v>OK</v>
      </c>
      <c r="AF302">
        <v>9</v>
      </c>
      <c r="AG302">
        <v>1822.25</v>
      </c>
      <c r="AH302">
        <v>0</v>
      </c>
      <c r="AI302">
        <f t="shared" si="139"/>
        <v>0</v>
      </c>
      <c r="AJ302" t="str">
        <f t="shared" si="140"/>
        <v>OK</v>
      </c>
      <c r="AK302">
        <v>16400.25</v>
      </c>
      <c r="AL302">
        <v>12146.96</v>
      </c>
      <c r="AM302">
        <v>4253.29</v>
      </c>
      <c r="AN302" t="s">
        <v>33</v>
      </c>
      <c r="AO302" t="str">
        <f t="shared" si="132"/>
        <v>PAID</v>
      </c>
      <c r="AP302" t="str">
        <f t="shared" si="141"/>
        <v>OK</v>
      </c>
      <c r="AQ302" t="s">
        <v>34</v>
      </c>
      <c r="AR302" t="str">
        <f t="shared" si="133"/>
        <v>COMPLETED</v>
      </c>
      <c r="AS302" t="str">
        <f t="shared" si="142"/>
        <v>OK</v>
      </c>
      <c r="AT302">
        <f t="shared" si="143"/>
        <v>16400.25</v>
      </c>
      <c r="AU302">
        <f t="shared" si="144"/>
        <v>4253.2900000000009</v>
      </c>
      <c r="AV302" s="6">
        <f t="shared" si="145"/>
        <v>5.2456029633694633E-2</v>
      </c>
      <c r="AW302" t="str">
        <f t="shared" si="146"/>
        <v>CLEAN</v>
      </c>
      <c r="AX302" s="10" t="str">
        <f t="shared" si="147"/>
        <v>MATCH</v>
      </c>
      <c r="AY302" t="str">
        <f t="shared" si="148"/>
        <v>MATCH</v>
      </c>
    </row>
    <row r="303" spans="1:51">
      <c r="A303" t="s">
        <v>2568</v>
      </c>
      <c r="B303">
        <f t="shared" si="124"/>
        <v>1</v>
      </c>
      <c r="C303" t="s">
        <v>1298</v>
      </c>
      <c r="D303" s="2">
        <v>45299</v>
      </c>
      <c r="E303" t="str">
        <f t="shared" si="125"/>
        <v>2024/01/08</v>
      </c>
      <c r="F303" t="str">
        <f t="shared" si="134"/>
        <v>January</v>
      </c>
      <c r="G303">
        <f t="shared" si="135"/>
        <v>2024</v>
      </c>
      <c r="H303" t="s">
        <v>2569</v>
      </c>
      <c r="I303" s="4">
        <v>45512</v>
      </c>
      <c r="J303" s="8">
        <f t="shared" si="126"/>
        <v>213</v>
      </c>
      <c r="K303" s="8" t="str">
        <f t="shared" si="136"/>
        <v>OK</v>
      </c>
      <c r="L303" t="s">
        <v>2570</v>
      </c>
      <c r="M303" t="s">
        <v>209</v>
      </c>
      <c r="N303" t="str">
        <f t="shared" si="127"/>
        <v>Diya Patel</v>
      </c>
      <c r="O303" t="s">
        <v>40</v>
      </c>
      <c r="P303" t="str">
        <f t="shared" si="151"/>
        <v>Small Business</v>
      </c>
      <c r="Q303" t="s">
        <v>72</v>
      </c>
      <c r="R303" t="str">
        <f t="shared" si="152"/>
        <v>West</v>
      </c>
      <c r="S303" t="str">
        <f t="shared" si="137"/>
        <v>OK</v>
      </c>
      <c r="T303" t="s">
        <v>73</v>
      </c>
      <c r="U303" t="str">
        <f t="shared" si="128"/>
        <v>Maharashtra</v>
      </c>
      <c r="V303" t="s">
        <v>74</v>
      </c>
      <c r="W303" t="str">
        <f t="shared" si="129"/>
        <v>Mumbai</v>
      </c>
      <c r="X303" t="str">
        <f t="shared" si="130"/>
        <v>Office Supplies</v>
      </c>
      <c r="Y303" t="s">
        <v>29</v>
      </c>
      <c r="Z303" t="s">
        <v>155</v>
      </c>
      <c r="AA303" t="str">
        <f t="shared" si="131"/>
        <v>Storage</v>
      </c>
      <c r="AB303" t="s">
        <v>2571</v>
      </c>
      <c r="AD303" t="s">
        <v>4109</v>
      </c>
      <c r="AE303" t="str">
        <f t="shared" si="138"/>
        <v>MISSING_SHIP_MODE</v>
      </c>
      <c r="AF303">
        <v>1</v>
      </c>
      <c r="AG303">
        <v>442.97</v>
      </c>
      <c r="AH303">
        <v>0.1</v>
      </c>
      <c r="AI303">
        <f t="shared" si="139"/>
        <v>0.1</v>
      </c>
      <c r="AJ303" t="str">
        <f t="shared" si="140"/>
        <v>OK</v>
      </c>
      <c r="AK303">
        <v>398.67</v>
      </c>
      <c r="AL303">
        <v>311.66000000000003</v>
      </c>
      <c r="AM303">
        <v>87.01</v>
      </c>
      <c r="AN303" t="s">
        <v>33</v>
      </c>
      <c r="AO303" t="str">
        <f t="shared" si="132"/>
        <v>PAID</v>
      </c>
      <c r="AP303" t="str">
        <f t="shared" si="141"/>
        <v>OK</v>
      </c>
      <c r="AQ303" t="s">
        <v>34</v>
      </c>
      <c r="AR303" t="str">
        <f t="shared" si="133"/>
        <v>COMPLETED</v>
      </c>
      <c r="AS303" t="str">
        <f t="shared" si="142"/>
        <v>OK</v>
      </c>
      <c r="AT303">
        <f t="shared" si="143"/>
        <v>398.67300000000006</v>
      </c>
      <c r="AU303">
        <f t="shared" si="144"/>
        <v>87.013000000000034</v>
      </c>
      <c r="AV303" s="6">
        <f t="shared" si="145"/>
        <v>1.4384395231179434</v>
      </c>
      <c r="AW303" t="str">
        <f t="shared" si="146"/>
        <v>WARNING</v>
      </c>
      <c r="AX303" s="10" t="str">
        <f t="shared" si="147"/>
        <v>MATCH</v>
      </c>
      <c r="AY303" t="str">
        <f t="shared" si="148"/>
        <v>MATCH</v>
      </c>
    </row>
    <row r="304" spans="1:51">
      <c r="A304" t="s">
        <v>2575</v>
      </c>
      <c r="B304">
        <f t="shared" si="124"/>
        <v>1</v>
      </c>
      <c r="C304" t="s">
        <v>2576</v>
      </c>
      <c r="D304" s="2">
        <v>45529</v>
      </c>
      <c r="E304" t="str">
        <f t="shared" si="125"/>
        <v>2024/08/25</v>
      </c>
      <c r="F304" t="str">
        <f t="shared" si="134"/>
        <v>August</v>
      </c>
      <c r="G304">
        <f t="shared" si="135"/>
        <v>2024</v>
      </c>
      <c r="H304" t="s">
        <v>394</v>
      </c>
      <c r="I304" s="4">
        <v>45536</v>
      </c>
      <c r="J304" s="8">
        <f t="shared" si="126"/>
        <v>7</v>
      </c>
      <c r="K304" s="8" t="str">
        <f t="shared" si="136"/>
        <v>OK</v>
      </c>
      <c r="L304" t="s">
        <v>2577</v>
      </c>
      <c r="M304" t="s">
        <v>52</v>
      </c>
      <c r="N304" t="str">
        <f t="shared" si="127"/>
        <v>Isha Nair</v>
      </c>
      <c r="O304" t="s">
        <v>114</v>
      </c>
      <c r="P304" t="str">
        <f t="shared" si="151"/>
        <v>Home Office</v>
      </c>
      <c r="Q304" t="s">
        <v>26</v>
      </c>
      <c r="R304" t="str">
        <f t="shared" si="152"/>
        <v>North</v>
      </c>
      <c r="S304" t="str">
        <f t="shared" si="137"/>
        <v>OK</v>
      </c>
      <c r="T304" t="s">
        <v>27</v>
      </c>
      <c r="U304" t="str">
        <f t="shared" si="128"/>
        <v>Rajasthan</v>
      </c>
      <c r="V304" t="s">
        <v>28</v>
      </c>
      <c r="W304" t="str">
        <f t="shared" si="129"/>
        <v>Jaipur</v>
      </c>
      <c r="X304" t="str">
        <f t="shared" si="130"/>
        <v>Furniture</v>
      </c>
      <c r="Y304" t="s">
        <v>44</v>
      </c>
      <c r="Z304" t="s">
        <v>45</v>
      </c>
      <c r="AA304" t="str">
        <f t="shared" si="131"/>
        <v>Tables</v>
      </c>
      <c r="AB304" t="s">
        <v>2578</v>
      </c>
      <c r="AC304" t="s">
        <v>47</v>
      </c>
      <c r="AD304" t="str">
        <f t="shared" ref="AD304:AD335" si="154">PROPER(TRIM(SUBSTITUTE(AC304,CHAR(160)," ")))</f>
        <v>Same Day</v>
      </c>
      <c r="AE304" t="str">
        <f t="shared" si="138"/>
        <v>OK</v>
      </c>
      <c r="AF304">
        <v>6</v>
      </c>
      <c r="AG304">
        <v>481.3</v>
      </c>
      <c r="AH304">
        <v>0.25</v>
      </c>
      <c r="AI304">
        <f t="shared" si="139"/>
        <v>0.25</v>
      </c>
      <c r="AJ304" t="str">
        <f t="shared" si="140"/>
        <v>OK</v>
      </c>
      <c r="AK304">
        <v>2165.85</v>
      </c>
      <c r="AL304">
        <v>2124.48</v>
      </c>
      <c r="AM304">
        <v>430.45</v>
      </c>
      <c r="AN304" t="s">
        <v>33</v>
      </c>
      <c r="AO304" t="str">
        <f t="shared" si="132"/>
        <v>PAID</v>
      </c>
      <c r="AP304" t="str">
        <f t="shared" si="141"/>
        <v>OK</v>
      </c>
      <c r="AQ304" t="s">
        <v>34</v>
      </c>
      <c r="AR304" t="str">
        <f t="shared" si="133"/>
        <v>COMPLETED</v>
      </c>
      <c r="AS304" t="str">
        <f t="shared" si="142"/>
        <v>OK</v>
      </c>
      <c r="AT304">
        <f t="shared" si="143"/>
        <v>2165.8500000000004</v>
      </c>
      <c r="AU304">
        <f t="shared" si="144"/>
        <v>41.370000000000346</v>
      </c>
      <c r="AV304" s="6">
        <f t="shared" si="145"/>
        <v>0.40935660364291171</v>
      </c>
      <c r="AW304" t="str">
        <f t="shared" si="146"/>
        <v>CLEAN</v>
      </c>
      <c r="AX304" s="10" t="str">
        <f t="shared" si="147"/>
        <v>MATCH</v>
      </c>
      <c r="AY304" t="str">
        <f t="shared" si="148"/>
        <v>MISMATCH</v>
      </c>
    </row>
    <row r="305" spans="1:51">
      <c r="A305" t="s">
        <v>2584</v>
      </c>
      <c r="B305">
        <f t="shared" si="124"/>
        <v>1</v>
      </c>
      <c r="C305" t="s">
        <v>2585</v>
      </c>
      <c r="D305" s="3">
        <v>45431</v>
      </c>
      <c r="E305" t="str">
        <f t="shared" si="125"/>
        <v>2024/05/19</v>
      </c>
      <c r="F305" t="str">
        <f t="shared" si="134"/>
        <v>May</v>
      </c>
      <c r="G305">
        <f t="shared" si="135"/>
        <v>2024</v>
      </c>
      <c r="H305" t="s">
        <v>2586</v>
      </c>
      <c r="I305" s="4">
        <v>45433</v>
      </c>
      <c r="J305" s="8">
        <f t="shared" si="126"/>
        <v>2</v>
      </c>
      <c r="K305" s="8" t="str">
        <f t="shared" si="136"/>
        <v>OK</v>
      </c>
      <c r="L305" t="s">
        <v>2587</v>
      </c>
      <c r="M305" t="s">
        <v>209</v>
      </c>
      <c r="N305" t="str">
        <f t="shared" si="127"/>
        <v>Diya Patel</v>
      </c>
      <c r="O305" t="s">
        <v>40</v>
      </c>
      <c r="P305" t="str">
        <f t="shared" si="151"/>
        <v>Small Business</v>
      </c>
      <c r="Q305" t="s">
        <v>72</v>
      </c>
      <c r="R305" t="str">
        <f t="shared" si="152"/>
        <v>West</v>
      </c>
      <c r="S305" t="str">
        <f t="shared" si="137"/>
        <v>OK</v>
      </c>
      <c r="T305" t="s">
        <v>73</v>
      </c>
      <c r="U305" t="str">
        <f t="shared" si="128"/>
        <v>Maharashtra</v>
      </c>
      <c r="V305" t="s">
        <v>74</v>
      </c>
      <c r="W305" t="str">
        <f t="shared" si="129"/>
        <v>Mumbai</v>
      </c>
      <c r="X305" t="str">
        <f t="shared" si="130"/>
        <v>Technology</v>
      </c>
      <c r="Y305" t="s">
        <v>85</v>
      </c>
      <c r="Z305" t="s">
        <v>93</v>
      </c>
      <c r="AA305" t="str">
        <f t="shared" si="131"/>
        <v>Copiers</v>
      </c>
      <c r="AB305" t="s">
        <v>2588</v>
      </c>
      <c r="AC305" t="s">
        <v>55</v>
      </c>
      <c r="AD305" t="str">
        <f t="shared" si="154"/>
        <v>First Class</v>
      </c>
      <c r="AE305" t="str">
        <f t="shared" si="138"/>
        <v>OK</v>
      </c>
      <c r="AF305">
        <v>3</v>
      </c>
      <c r="AG305">
        <v>4000.98</v>
      </c>
      <c r="AH305">
        <v>0.2</v>
      </c>
      <c r="AI305">
        <f t="shared" si="139"/>
        <v>0.2</v>
      </c>
      <c r="AJ305" t="str">
        <f t="shared" si="140"/>
        <v>OK</v>
      </c>
      <c r="AK305">
        <v>9602.35</v>
      </c>
      <c r="AL305">
        <v>7387.57</v>
      </c>
      <c r="AM305">
        <v>2214.7800000000002</v>
      </c>
      <c r="AN305" t="s">
        <v>33</v>
      </c>
      <c r="AO305" t="str">
        <f t="shared" si="132"/>
        <v>PAID</v>
      </c>
      <c r="AP305" t="str">
        <f t="shared" si="141"/>
        <v>OK</v>
      </c>
      <c r="AQ305" t="s">
        <v>34</v>
      </c>
      <c r="AR305" t="str">
        <f t="shared" si="133"/>
        <v>COMPLETED</v>
      </c>
      <c r="AS305" t="str">
        <f t="shared" si="142"/>
        <v>OK</v>
      </c>
      <c r="AT305">
        <f t="shared" si="143"/>
        <v>9602.3520000000008</v>
      </c>
      <c r="AU305">
        <f t="shared" si="144"/>
        <v>2214.7820000000011</v>
      </c>
      <c r="AV305" s="6">
        <f t="shared" si="145"/>
        <v>7.9932916435473303E-2</v>
      </c>
      <c r="AW305" t="str">
        <f t="shared" si="146"/>
        <v>CLEAN</v>
      </c>
      <c r="AX305" s="10" t="str">
        <f t="shared" si="147"/>
        <v>MATCH</v>
      </c>
      <c r="AY305" t="str">
        <f t="shared" si="148"/>
        <v>MATCH</v>
      </c>
    </row>
    <row r="306" spans="1:51">
      <c r="A306" t="s">
        <v>2594</v>
      </c>
      <c r="B306">
        <f t="shared" si="124"/>
        <v>1</v>
      </c>
      <c r="C306" t="s">
        <v>2037</v>
      </c>
      <c r="D306" s="3">
        <v>45313</v>
      </c>
      <c r="E306" t="str">
        <f t="shared" si="125"/>
        <v>2024/01/22</v>
      </c>
      <c r="F306" t="str">
        <f t="shared" si="134"/>
        <v>January</v>
      </c>
      <c r="G306">
        <f t="shared" si="135"/>
        <v>2024</v>
      </c>
      <c r="H306" t="s">
        <v>2595</v>
      </c>
      <c r="I306" s="4">
        <v>45321</v>
      </c>
      <c r="J306" s="8">
        <f t="shared" si="126"/>
        <v>8</v>
      </c>
      <c r="K306" s="8" t="str">
        <f t="shared" si="136"/>
        <v>OK</v>
      </c>
      <c r="L306" t="s">
        <v>2596</v>
      </c>
      <c r="M306" t="s">
        <v>71</v>
      </c>
      <c r="N306" t="str">
        <f t="shared" si="127"/>
        <v>Ananya Rao</v>
      </c>
      <c r="O306" t="s">
        <v>40</v>
      </c>
      <c r="P306" t="str">
        <f t="shared" si="151"/>
        <v>Small Business</v>
      </c>
      <c r="Q306" t="s">
        <v>26</v>
      </c>
      <c r="R306" t="str">
        <f t="shared" si="152"/>
        <v>North</v>
      </c>
      <c r="S306" t="str">
        <f t="shared" si="137"/>
        <v>OK</v>
      </c>
      <c r="T306" t="s">
        <v>322</v>
      </c>
      <c r="U306" t="str">
        <f t="shared" si="128"/>
        <v>Haryana</v>
      </c>
      <c r="V306" t="s">
        <v>323</v>
      </c>
      <c r="W306" t="str">
        <f t="shared" si="129"/>
        <v>Gurugram</v>
      </c>
      <c r="X306" t="str">
        <f t="shared" si="130"/>
        <v>Office Supplies</v>
      </c>
      <c r="Y306" t="s">
        <v>29</v>
      </c>
      <c r="Z306" t="s">
        <v>53</v>
      </c>
      <c r="AA306" t="str">
        <f t="shared" si="131"/>
        <v>Art</v>
      </c>
      <c r="AB306" t="s">
        <v>2597</v>
      </c>
      <c r="AC306" t="s">
        <v>47</v>
      </c>
      <c r="AD306" t="str">
        <f t="shared" si="154"/>
        <v>Same Day</v>
      </c>
      <c r="AE306" t="str">
        <f t="shared" si="138"/>
        <v>OK</v>
      </c>
      <c r="AF306">
        <v>3</v>
      </c>
      <c r="AG306">
        <v>676.37</v>
      </c>
      <c r="AH306">
        <v>0.05</v>
      </c>
      <c r="AI306">
        <f t="shared" si="139"/>
        <v>0.05</v>
      </c>
      <c r="AJ306" t="str">
        <f t="shared" si="140"/>
        <v>OK</v>
      </c>
      <c r="AK306">
        <v>1927.65</v>
      </c>
      <c r="AL306">
        <v>1460.6</v>
      </c>
      <c r="AM306">
        <v>467.05</v>
      </c>
      <c r="AN306" t="s">
        <v>199</v>
      </c>
      <c r="AO306" t="str">
        <f t="shared" si="132"/>
        <v>FAILED</v>
      </c>
      <c r="AP306" t="str">
        <f t="shared" si="141"/>
        <v>EXCLUDE_FROM_SALES</v>
      </c>
      <c r="AQ306" t="s">
        <v>77</v>
      </c>
      <c r="AR306" t="str">
        <f t="shared" si="133"/>
        <v>CANCELLED</v>
      </c>
      <c r="AS306" t="str">
        <f t="shared" si="142"/>
        <v>EXCLUDE_FROM_SALES</v>
      </c>
      <c r="AT306">
        <f t="shared" si="143"/>
        <v>1927.6545000000001</v>
      </c>
      <c r="AU306">
        <f t="shared" si="144"/>
        <v>467.05450000000019</v>
      </c>
      <c r="AV306" s="6">
        <f t="shared" si="145"/>
        <v>0.70072723094309675</v>
      </c>
      <c r="AW306" t="str">
        <f t="shared" si="146"/>
        <v>CLEAN</v>
      </c>
      <c r="AX306" s="10" t="str">
        <f t="shared" si="147"/>
        <v>MATCH</v>
      </c>
      <c r="AY306" t="str">
        <f t="shared" si="148"/>
        <v>MATCH</v>
      </c>
    </row>
    <row r="307" spans="1:51">
      <c r="A307" t="s">
        <v>2598</v>
      </c>
      <c r="B307">
        <f t="shared" si="124"/>
        <v>1</v>
      </c>
      <c r="C307" t="s">
        <v>2265</v>
      </c>
      <c r="D307" s="3">
        <v>45560</v>
      </c>
      <c r="E307" t="str">
        <f t="shared" si="125"/>
        <v>2024/09/25</v>
      </c>
      <c r="F307" t="str">
        <f t="shared" si="134"/>
        <v>September</v>
      </c>
      <c r="G307">
        <f t="shared" si="135"/>
        <v>2024</v>
      </c>
      <c r="H307" t="s">
        <v>2599</v>
      </c>
      <c r="I307" s="4">
        <v>45301</v>
      </c>
      <c r="J307" s="8">
        <f t="shared" si="126"/>
        <v>-259</v>
      </c>
      <c r="K307" s="8" t="str">
        <f t="shared" si="136"/>
        <v>INVAILD_SHIPPING</v>
      </c>
      <c r="L307" t="s">
        <v>2600</v>
      </c>
      <c r="M307" t="s">
        <v>209</v>
      </c>
      <c r="N307" t="str">
        <f t="shared" si="127"/>
        <v>Diya Patel</v>
      </c>
      <c r="O307" t="s">
        <v>40</v>
      </c>
      <c r="P307" t="str">
        <f t="shared" si="151"/>
        <v>Small Business</v>
      </c>
      <c r="Q307" t="s">
        <v>41</v>
      </c>
      <c r="R307" t="str">
        <f t="shared" si="152"/>
        <v>East</v>
      </c>
      <c r="S307" t="str">
        <f t="shared" si="137"/>
        <v>OK</v>
      </c>
      <c r="T307" t="s">
        <v>310</v>
      </c>
      <c r="U307" t="str">
        <f t="shared" si="128"/>
        <v>Jharkhand</v>
      </c>
      <c r="V307" t="s">
        <v>311</v>
      </c>
      <c r="W307" t="str">
        <f t="shared" si="129"/>
        <v>Ranchi</v>
      </c>
      <c r="X307" t="str">
        <f t="shared" si="130"/>
        <v>Furniture</v>
      </c>
      <c r="Y307" t="s">
        <v>44</v>
      </c>
      <c r="Z307" t="s">
        <v>45</v>
      </c>
      <c r="AA307" t="str">
        <f t="shared" si="131"/>
        <v>Tables</v>
      </c>
      <c r="AB307" t="s">
        <v>2601</v>
      </c>
      <c r="AC307" t="s">
        <v>32</v>
      </c>
      <c r="AD307" t="str">
        <f t="shared" si="154"/>
        <v>Second Class</v>
      </c>
      <c r="AE307" t="str">
        <f t="shared" si="138"/>
        <v>OK</v>
      </c>
      <c r="AF307">
        <v>9</v>
      </c>
      <c r="AG307">
        <v>3908.6</v>
      </c>
      <c r="AH307">
        <v>0.15</v>
      </c>
      <c r="AI307">
        <f t="shared" si="139"/>
        <v>0.15</v>
      </c>
      <c r="AJ307" t="str">
        <f t="shared" si="140"/>
        <v>OK</v>
      </c>
      <c r="AK307">
        <v>29900.79</v>
      </c>
      <c r="AL307">
        <v>24650.67</v>
      </c>
      <c r="AM307">
        <v>5250.12</v>
      </c>
      <c r="AN307" t="s">
        <v>33</v>
      </c>
      <c r="AO307" t="str">
        <f t="shared" si="132"/>
        <v>PAID</v>
      </c>
      <c r="AP307" t="str">
        <f t="shared" si="141"/>
        <v>OK</v>
      </c>
      <c r="AQ307" t="s">
        <v>34</v>
      </c>
      <c r="AR307" t="str">
        <f t="shared" si="133"/>
        <v>COMPLETED</v>
      </c>
      <c r="AS307" t="str">
        <f t="shared" si="142"/>
        <v>OK</v>
      </c>
      <c r="AT307">
        <f t="shared" si="143"/>
        <v>29900.79</v>
      </c>
      <c r="AU307">
        <f t="shared" si="144"/>
        <v>5250.1200000000026</v>
      </c>
      <c r="AV307" s="6">
        <f t="shared" si="145"/>
        <v>0.13351988358835998</v>
      </c>
      <c r="AW307" t="str">
        <f t="shared" si="146"/>
        <v>CLEAN</v>
      </c>
      <c r="AX307" s="10" t="str">
        <f t="shared" si="147"/>
        <v>MATCH</v>
      </c>
      <c r="AY307" t="str">
        <f t="shared" si="148"/>
        <v>MATCH</v>
      </c>
    </row>
    <row r="308" spans="1:51">
      <c r="A308" t="s">
        <v>2606</v>
      </c>
      <c r="B308">
        <f t="shared" si="124"/>
        <v>1</v>
      </c>
      <c r="C308" t="s">
        <v>2607</v>
      </c>
      <c r="D308" s="3">
        <v>45348</v>
      </c>
      <c r="E308" t="str">
        <f t="shared" si="125"/>
        <v>2024/02/26</v>
      </c>
      <c r="F308" t="str">
        <f t="shared" si="134"/>
        <v>February</v>
      </c>
      <c r="G308">
        <f t="shared" si="135"/>
        <v>2024</v>
      </c>
      <c r="H308" t="s">
        <v>2342</v>
      </c>
      <c r="I308" s="4">
        <v>45345</v>
      </c>
      <c r="J308" s="8">
        <f t="shared" si="126"/>
        <v>-3</v>
      </c>
      <c r="K308" s="8" t="str">
        <f t="shared" si="136"/>
        <v>INVAILD_SHIPPING</v>
      </c>
      <c r="L308" t="s">
        <v>2608</v>
      </c>
      <c r="M308" t="s">
        <v>365</v>
      </c>
      <c r="N308" t="str">
        <f t="shared" si="127"/>
        <v>Kabir Singh</v>
      </c>
      <c r="O308" t="s">
        <v>25</v>
      </c>
      <c r="P308" t="str">
        <f t="shared" si="151"/>
        <v>Consumer</v>
      </c>
      <c r="Q308" t="s">
        <v>72</v>
      </c>
      <c r="R308" t="str">
        <f t="shared" si="152"/>
        <v>West</v>
      </c>
      <c r="S308" t="str">
        <f t="shared" si="137"/>
        <v>OK</v>
      </c>
      <c r="T308" t="s">
        <v>234</v>
      </c>
      <c r="U308" t="str">
        <f t="shared" si="128"/>
        <v>Gujarat</v>
      </c>
      <c r="V308" t="s">
        <v>235</v>
      </c>
      <c r="W308" t="str">
        <f t="shared" si="129"/>
        <v>Ahmedabad</v>
      </c>
      <c r="X308" t="str">
        <f t="shared" si="130"/>
        <v>Furniture</v>
      </c>
      <c r="Y308" t="s">
        <v>44</v>
      </c>
      <c r="Z308" t="s">
        <v>64</v>
      </c>
      <c r="AA308" t="str">
        <f t="shared" si="131"/>
        <v>Furnishings</v>
      </c>
      <c r="AB308" t="s">
        <v>2609</v>
      </c>
      <c r="AC308" t="s">
        <v>66</v>
      </c>
      <c r="AD308" t="str">
        <f t="shared" si="154"/>
        <v>Standard Class</v>
      </c>
      <c r="AE308" t="str">
        <f t="shared" si="138"/>
        <v>OK</v>
      </c>
      <c r="AF308">
        <v>7</v>
      </c>
      <c r="AG308">
        <v>3852.07</v>
      </c>
      <c r="AH308">
        <v>0.2</v>
      </c>
      <c r="AI308">
        <f t="shared" si="139"/>
        <v>0.2</v>
      </c>
      <c r="AJ308" t="str">
        <f t="shared" si="140"/>
        <v>OK</v>
      </c>
      <c r="AK308">
        <v>21571.59</v>
      </c>
      <c r="AL308">
        <v>17118.07</v>
      </c>
      <c r="AM308">
        <v>4453.5200000000004</v>
      </c>
      <c r="AN308" t="s">
        <v>33</v>
      </c>
      <c r="AO308" t="str">
        <f t="shared" si="132"/>
        <v>PAID</v>
      </c>
      <c r="AP308" t="str">
        <f t="shared" si="141"/>
        <v>OK</v>
      </c>
      <c r="AQ308" t="s">
        <v>34</v>
      </c>
      <c r="AR308" t="str">
        <f t="shared" si="133"/>
        <v>COMPLETED</v>
      </c>
      <c r="AS308" t="str">
        <f t="shared" si="142"/>
        <v>OK</v>
      </c>
      <c r="AT308">
        <f t="shared" si="143"/>
        <v>21571.592000000004</v>
      </c>
      <c r="AU308">
        <f t="shared" si="144"/>
        <v>4453.5220000000045</v>
      </c>
      <c r="AV308" s="6">
        <f t="shared" si="145"/>
        <v>0.24807835230705266</v>
      </c>
      <c r="AW308" t="str">
        <f t="shared" si="146"/>
        <v>CLEAN</v>
      </c>
      <c r="AX308" s="10" t="str">
        <f t="shared" si="147"/>
        <v>MATCH</v>
      </c>
      <c r="AY308" t="str">
        <f t="shared" si="148"/>
        <v>MATCH</v>
      </c>
    </row>
    <row r="309" spans="1:51">
      <c r="A309" t="s">
        <v>2615</v>
      </c>
      <c r="B309">
        <f t="shared" si="124"/>
        <v>1</v>
      </c>
      <c r="C309" t="s">
        <v>2616</v>
      </c>
      <c r="D309" s="3">
        <v>45552</v>
      </c>
      <c r="E309" t="str">
        <f t="shared" si="125"/>
        <v>2024/09/17</v>
      </c>
      <c r="F309" t="str">
        <f t="shared" si="134"/>
        <v>September</v>
      </c>
      <c r="G309">
        <f t="shared" si="135"/>
        <v>2024</v>
      </c>
      <c r="H309" t="s">
        <v>2617</v>
      </c>
      <c r="I309" s="4">
        <v>45558</v>
      </c>
      <c r="J309" s="8">
        <f t="shared" si="126"/>
        <v>6</v>
      </c>
      <c r="K309" s="8" t="str">
        <f t="shared" si="136"/>
        <v>OK</v>
      </c>
      <c r="L309" t="s">
        <v>2618</v>
      </c>
      <c r="M309" t="s">
        <v>147</v>
      </c>
      <c r="N309" t="str">
        <f t="shared" si="127"/>
        <v>Rahul Verma</v>
      </c>
      <c r="O309" t="s">
        <v>114</v>
      </c>
      <c r="P309" t="str">
        <f t="shared" si="151"/>
        <v>Home Office</v>
      </c>
      <c r="Q309" t="s">
        <v>61</v>
      </c>
      <c r="R309" t="str">
        <f t="shared" si="152"/>
        <v>South</v>
      </c>
      <c r="S309" t="str">
        <f t="shared" si="137"/>
        <v>OK</v>
      </c>
      <c r="T309" t="s">
        <v>241</v>
      </c>
      <c r="U309" t="str">
        <f t="shared" si="128"/>
        <v>Kerala</v>
      </c>
      <c r="V309" t="s">
        <v>242</v>
      </c>
      <c r="W309" t="str">
        <f t="shared" si="129"/>
        <v>Kochi</v>
      </c>
      <c r="X309" t="str">
        <f t="shared" si="130"/>
        <v>Furniture</v>
      </c>
      <c r="Y309" t="s">
        <v>44</v>
      </c>
      <c r="Z309" t="s">
        <v>203</v>
      </c>
      <c r="AA309" t="str">
        <f t="shared" si="131"/>
        <v>Bookcases</v>
      </c>
      <c r="AB309" t="s">
        <v>2619</v>
      </c>
      <c r="AC309" t="s">
        <v>32</v>
      </c>
      <c r="AD309" t="str">
        <f t="shared" si="154"/>
        <v>Second Class</v>
      </c>
      <c r="AE309" t="str">
        <f t="shared" si="138"/>
        <v>OK</v>
      </c>
      <c r="AF309">
        <v>3</v>
      </c>
      <c r="AG309">
        <v>4067.62</v>
      </c>
      <c r="AH309">
        <v>0.2</v>
      </c>
      <c r="AI309">
        <f t="shared" si="139"/>
        <v>0.2</v>
      </c>
      <c r="AJ309" t="str">
        <f t="shared" si="140"/>
        <v>OK</v>
      </c>
      <c r="AK309">
        <v>9988.5300000000007</v>
      </c>
      <c r="AL309">
        <v>8368.24</v>
      </c>
      <c r="AM309">
        <v>1394.05</v>
      </c>
      <c r="AN309" t="s">
        <v>33</v>
      </c>
      <c r="AO309" t="str">
        <f t="shared" si="132"/>
        <v>PAID</v>
      </c>
      <c r="AP309" t="str">
        <f t="shared" si="141"/>
        <v>OK</v>
      </c>
      <c r="AQ309" t="s">
        <v>2620</v>
      </c>
      <c r="AR309" t="str">
        <f t="shared" si="133"/>
        <v>CANCELLED</v>
      </c>
      <c r="AS309" t="str">
        <f t="shared" si="142"/>
        <v>EXCLUDE_FROM_SALES</v>
      </c>
      <c r="AT309">
        <f t="shared" si="143"/>
        <v>9762.2880000000005</v>
      </c>
      <c r="AU309">
        <f t="shared" si="144"/>
        <v>1394.0480000000007</v>
      </c>
      <c r="AV309" s="6">
        <f t="shared" si="145"/>
        <v>6.0843318697420087E-2</v>
      </c>
      <c r="AW309" t="str">
        <f t="shared" si="146"/>
        <v>CLEAN</v>
      </c>
      <c r="AX309" s="10" t="str">
        <f t="shared" si="147"/>
        <v>MISMATCH</v>
      </c>
      <c r="AY309" t="str">
        <f t="shared" si="148"/>
        <v>MATCH</v>
      </c>
    </row>
    <row r="310" spans="1:51">
      <c r="A310" t="s">
        <v>2621</v>
      </c>
      <c r="B310">
        <f t="shared" si="124"/>
        <v>1</v>
      </c>
      <c r="C310" t="s">
        <v>2622</v>
      </c>
      <c r="D310" s="3">
        <v>45487</v>
      </c>
      <c r="E310" t="str">
        <f t="shared" si="125"/>
        <v>2024/07/14</v>
      </c>
      <c r="F310" t="str">
        <f t="shared" si="134"/>
        <v>July</v>
      </c>
      <c r="G310">
        <f t="shared" si="135"/>
        <v>2024</v>
      </c>
      <c r="H310" t="s">
        <v>399</v>
      </c>
      <c r="I310" s="4">
        <v>45493</v>
      </c>
      <c r="J310" s="8">
        <f t="shared" si="126"/>
        <v>6</v>
      </c>
      <c r="K310" s="8" t="str">
        <f t="shared" si="136"/>
        <v>OK</v>
      </c>
      <c r="L310" t="s">
        <v>2623</v>
      </c>
      <c r="M310" t="s">
        <v>39</v>
      </c>
      <c r="N310" t="str">
        <f t="shared" si="127"/>
        <v>Mira Das</v>
      </c>
      <c r="O310" t="s">
        <v>25</v>
      </c>
      <c r="P310" t="str">
        <f t="shared" si="151"/>
        <v>Consumer</v>
      </c>
      <c r="Q310" t="s">
        <v>41</v>
      </c>
      <c r="R310" t="str">
        <f t="shared" si="152"/>
        <v>East</v>
      </c>
      <c r="S310" t="str">
        <f t="shared" si="137"/>
        <v>OK</v>
      </c>
      <c r="T310" t="s">
        <v>185</v>
      </c>
      <c r="U310" t="str">
        <f t="shared" si="128"/>
        <v>Bihar</v>
      </c>
      <c r="V310" t="s">
        <v>186</v>
      </c>
      <c r="W310" t="str">
        <f t="shared" si="129"/>
        <v>Patna</v>
      </c>
      <c r="X310" t="str">
        <f t="shared" si="130"/>
        <v>Technology</v>
      </c>
      <c r="Y310" t="s">
        <v>85</v>
      </c>
      <c r="Z310" t="s">
        <v>93</v>
      </c>
      <c r="AA310" t="str">
        <f t="shared" si="131"/>
        <v>Copiers</v>
      </c>
      <c r="AB310" t="s">
        <v>2624</v>
      </c>
      <c r="AC310" t="s">
        <v>47</v>
      </c>
      <c r="AD310" t="str">
        <f t="shared" si="154"/>
        <v>Same Day</v>
      </c>
      <c r="AE310" t="str">
        <f t="shared" si="138"/>
        <v>OK</v>
      </c>
      <c r="AF310">
        <v>1</v>
      </c>
      <c r="AG310">
        <v>492.67</v>
      </c>
      <c r="AH310">
        <v>0.15</v>
      </c>
      <c r="AI310">
        <f t="shared" si="139"/>
        <v>0.15</v>
      </c>
      <c r="AJ310" t="str">
        <f t="shared" si="140"/>
        <v>OK</v>
      </c>
      <c r="AK310">
        <v>418.77</v>
      </c>
      <c r="AL310">
        <v>313.72000000000003</v>
      </c>
      <c r="AM310">
        <v>105.05</v>
      </c>
      <c r="AN310" t="s">
        <v>33</v>
      </c>
      <c r="AO310" t="str">
        <f t="shared" si="132"/>
        <v>PAID</v>
      </c>
      <c r="AP310" t="str">
        <f t="shared" si="141"/>
        <v>OK</v>
      </c>
      <c r="AQ310" t="s">
        <v>34</v>
      </c>
      <c r="AR310" t="str">
        <f t="shared" si="133"/>
        <v>COMPLETED</v>
      </c>
      <c r="AS310" t="str">
        <f t="shared" si="142"/>
        <v>OK</v>
      </c>
      <c r="AT310">
        <f t="shared" si="143"/>
        <v>418.76949999999999</v>
      </c>
      <c r="AU310">
        <f t="shared" si="144"/>
        <v>105.04949999999997</v>
      </c>
      <c r="AV310" s="6">
        <f t="shared" si="145"/>
        <v>2.7472869920087306</v>
      </c>
      <c r="AW310" t="str">
        <f t="shared" si="146"/>
        <v>CLEAN</v>
      </c>
      <c r="AX310" s="10" t="str">
        <f t="shared" si="147"/>
        <v>MATCH</v>
      </c>
      <c r="AY310" t="str">
        <f t="shared" si="148"/>
        <v>MATCH</v>
      </c>
    </row>
    <row r="311" spans="1:51">
      <c r="A311" t="s">
        <v>2629</v>
      </c>
      <c r="B311">
        <f t="shared" si="124"/>
        <v>1</v>
      </c>
      <c r="C311" t="s">
        <v>2630</v>
      </c>
      <c r="D311" s="3">
        <v>45439</v>
      </c>
      <c r="E311" t="str">
        <f t="shared" si="125"/>
        <v>2024/05/27</v>
      </c>
      <c r="F311" t="str">
        <f t="shared" si="134"/>
        <v>May</v>
      </c>
      <c r="G311">
        <f t="shared" si="135"/>
        <v>2024</v>
      </c>
      <c r="H311" t="s">
        <v>2631</v>
      </c>
      <c r="I311" s="4">
        <v>45442</v>
      </c>
      <c r="J311" s="8">
        <f t="shared" si="126"/>
        <v>3</v>
      </c>
      <c r="K311" s="8" t="str">
        <f t="shared" si="136"/>
        <v>OK</v>
      </c>
      <c r="L311" t="s">
        <v>2632</v>
      </c>
      <c r="M311" t="s">
        <v>365</v>
      </c>
      <c r="N311" t="str">
        <f t="shared" si="127"/>
        <v>Kabir Singh</v>
      </c>
      <c r="O311" t="s">
        <v>40</v>
      </c>
      <c r="P311" t="str">
        <f t="shared" si="151"/>
        <v>Small Business</v>
      </c>
      <c r="Q311" t="s">
        <v>41</v>
      </c>
      <c r="R311" t="str">
        <f t="shared" si="152"/>
        <v>East</v>
      </c>
      <c r="S311" t="str">
        <f t="shared" si="137"/>
        <v>OK</v>
      </c>
      <c r="T311" t="s">
        <v>310</v>
      </c>
      <c r="U311" t="str">
        <f t="shared" si="128"/>
        <v>Jharkhand</v>
      </c>
      <c r="V311" t="s">
        <v>311</v>
      </c>
      <c r="W311" t="str">
        <f t="shared" si="129"/>
        <v>Ranchi</v>
      </c>
      <c r="X311" t="str">
        <f t="shared" si="130"/>
        <v>Office Supplies</v>
      </c>
      <c r="Y311" t="s">
        <v>29</v>
      </c>
      <c r="Z311" t="s">
        <v>155</v>
      </c>
      <c r="AA311" t="str">
        <f t="shared" si="131"/>
        <v>Storage</v>
      </c>
      <c r="AB311" t="s">
        <v>2633</v>
      </c>
      <c r="AC311" t="s">
        <v>47</v>
      </c>
      <c r="AD311" t="str">
        <f t="shared" si="154"/>
        <v>Same Day</v>
      </c>
      <c r="AE311" t="str">
        <f t="shared" si="138"/>
        <v>OK</v>
      </c>
      <c r="AF311">
        <v>7</v>
      </c>
      <c r="AG311">
        <v>2900.86</v>
      </c>
      <c r="AH311">
        <v>0.15</v>
      </c>
      <c r="AI311">
        <f t="shared" si="139"/>
        <v>0.15</v>
      </c>
      <c r="AJ311" t="str">
        <f t="shared" si="140"/>
        <v>OK</v>
      </c>
      <c r="AK311">
        <v>17260.12</v>
      </c>
      <c r="AL311">
        <v>13513.51</v>
      </c>
      <c r="AM311">
        <v>3746.61</v>
      </c>
      <c r="AN311" t="s">
        <v>33</v>
      </c>
      <c r="AO311" t="str">
        <f t="shared" si="132"/>
        <v>PAID</v>
      </c>
      <c r="AP311" t="str">
        <f t="shared" si="141"/>
        <v>OK</v>
      </c>
      <c r="AQ311" t="s">
        <v>34</v>
      </c>
      <c r="AR311" t="str">
        <f t="shared" si="133"/>
        <v>COMPLETED</v>
      </c>
      <c r="AS311" t="str">
        <f t="shared" si="142"/>
        <v>OK</v>
      </c>
      <c r="AT311">
        <f t="shared" si="143"/>
        <v>17260.116999999998</v>
      </c>
      <c r="AU311">
        <f t="shared" si="144"/>
        <v>3746.6069999999982</v>
      </c>
      <c r="AV311" s="6">
        <f t="shared" si="145"/>
        <v>5.1195597341547591E-2</v>
      </c>
      <c r="AW311" t="str">
        <f t="shared" si="146"/>
        <v>CLEAN</v>
      </c>
      <c r="AX311" s="10" t="str">
        <f t="shared" si="147"/>
        <v>MATCH</v>
      </c>
      <c r="AY311" t="str">
        <f t="shared" si="148"/>
        <v>MATCH</v>
      </c>
    </row>
    <row r="312" spans="1:51">
      <c r="A312" t="s">
        <v>2639</v>
      </c>
      <c r="B312">
        <f t="shared" si="124"/>
        <v>1</v>
      </c>
      <c r="C312" t="s">
        <v>2640</v>
      </c>
      <c r="D312" s="2">
        <v>45428</v>
      </c>
      <c r="E312" t="str">
        <f t="shared" si="125"/>
        <v>2024/05/16</v>
      </c>
      <c r="F312" t="str">
        <f t="shared" si="134"/>
        <v>May</v>
      </c>
      <c r="G312">
        <f t="shared" si="135"/>
        <v>2024</v>
      </c>
      <c r="H312" t="s">
        <v>2641</v>
      </c>
      <c r="I312" s="4">
        <v>45435</v>
      </c>
      <c r="J312" s="8">
        <f t="shared" si="126"/>
        <v>7</v>
      </c>
      <c r="K312" s="8" t="str">
        <f t="shared" si="136"/>
        <v>OK</v>
      </c>
      <c r="L312" t="s">
        <v>2642</v>
      </c>
      <c r="M312" t="s">
        <v>92</v>
      </c>
      <c r="N312" t="str">
        <f t="shared" si="127"/>
        <v>Neha Gupta</v>
      </c>
      <c r="O312" t="s">
        <v>40</v>
      </c>
      <c r="P312" t="str">
        <f t="shared" si="151"/>
        <v>Small Business</v>
      </c>
      <c r="Q312" t="s">
        <v>26</v>
      </c>
      <c r="R312" t="str">
        <f t="shared" si="152"/>
        <v>North</v>
      </c>
      <c r="S312" t="str">
        <f t="shared" si="137"/>
        <v>OK</v>
      </c>
      <c r="T312" t="s">
        <v>173</v>
      </c>
      <c r="U312" t="str">
        <f t="shared" si="128"/>
        <v>Uttar Pradesh</v>
      </c>
      <c r="V312" t="s">
        <v>174</v>
      </c>
      <c r="W312" t="str">
        <f t="shared" si="129"/>
        <v>Noida</v>
      </c>
      <c r="X312" t="str">
        <f t="shared" si="130"/>
        <v>Technology</v>
      </c>
      <c r="Y312" t="s">
        <v>85</v>
      </c>
      <c r="Z312" t="s">
        <v>93</v>
      </c>
      <c r="AA312" t="str">
        <f t="shared" si="131"/>
        <v>Copiers</v>
      </c>
      <c r="AB312" t="s">
        <v>2643</v>
      </c>
      <c r="AC312" t="s">
        <v>66</v>
      </c>
      <c r="AD312" t="str">
        <f t="shared" si="154"/>
        <v>Standard Class</v>
      </c>
      <c r="AE312" t="str">
        <f t="shared" si="138"/>
        <v>OK</v>
      </c>
      <c r="AF312">
        <v>9</v>
      </c>
      <c r="AG312">
        <v>3722.09</v>
      </c>
      <c r="AH312">
        <v>0.1</v>
      </c>
      <c r="AI312">
        <f t="shared" si="139"/>
        <v>0.1</v>
      </c>
      <c r="AJ312" t="str">
        <f t="shared" si="140"/>
        <v>OK</v>
      </c>
      <c r="AK312">
        <v>30148.93</v>
      </c>
      <c r="AL312">
        <v>25155.07</v>
      </c>
      <c r="AM312">
        <v>4993.8599999999997</v>
      </c>
      <c r="AN312" t="s">
        <v>33</v>
      </c>
      <c r="AO312" t="str">
        <f t="shared" si="132"/>
        <v>PAID</v>
      </c>
      <c r="AP312" t="str">
        <f t="shared" si="141"/>
        <v>OK</v>
      </c>
      <c r="AQ312" t="s">
        <v>34</v>
      </c>
      <c r="AR312" t="str">
        <f t="shared" si="133"/>
        <v>COMPLETED</v>
      </c>
      <c r="AS312" t="str">
        <f t="shared" si="142"/>
        <v>OK</v>
      </c>
      <c r="AT312">
        <f t="shared" si="143"/>
        <v>30148.929</v>
      </c>
      <c r="AU312">
        <f t="shared" si="144"/>
        <v>4993.8590000000004</v>
      </c>
      <c r="AV312" s="6">
        <f t="shared" si="145"/>
        <v>8.4049585973684157E-3</v>
      </c>
      <c r="AW312" t="str">
        <f t="shared" si="146"/>
        <v>CLEAN</v>
      </c>
      <c r="AX312" s="10" t="str">
        <f t="shared" si="147"/>
        <v>MATCH</v>
      </c>
      <c r="AY312" t="str">
        <f t="shared" si="148"/>
        <v>MATCH</v>
      </c>
    </row>
    <row r="313" spans="1:51">
      <c r="A313" t="s">
        <v>2644</v>
      </c>
      <c r="B313">
        <f t="shared" si="124"/>
        <v>1</v>
      </c>
      <c r="C313" t="s">
        <v>273</v>
      </c>
      <c r="D313" s="2">
        <v>45441</v>
      </c>
      <c r="E313" t="str">
        <f t="shared" si="125"/>
        <v>2024/05/29</v>
      </c>
      <c r="F313" t="str">
        <f t="shared" si="134"/>
        <v>May</v>
      </c>
      <c r="G313">
        <f t="shared" si="135"/>
        <v>2024</v>
      </c>
      <c r="H313" t="s">
        <v>272</v>
      </c>
      <c r="I313" s="4">
        <v>45441</v>
      </c>
      <c r="J313" s="8">
        <f t="shared" si="126"/>
        <v>0</v>
      </c>
      <c r="K313" s="8" t="str">
        <f t="shared" si="136"/>
        <v>OK</v>
      </c>
      <c r="L313" t="s">
        <v>2645</v>
      </c>
      <c r="M313" t="s">
        <v>179</v>
      </c>
      <c r="N313" t="str">
        <f t="shared" si="127"/>
        <v>Rohan Mehta</v>
      </c>
      <c r="O313" t="s">
        <v>107</v>
      </c>
      <c r="P313" t="str">
        <f t="shared" si="151"/>
        <v>Corporate</v>
      </c>
      <c r="Q313" t="s">
        <v>41</v>
      </c>
      <c r="R313" t="str">
        <f t="shared" si="152"/>
        <v>East</v>
      </c>
      <c r="S313" t="str">
        <f t="shared" si="137"/>
        <v>OK</v>
      </c>
      <c r="T313" t="s">
        <v>185</v>
      </c>
      <c r="U313" t="str">
        <f t="shared" si="128"/>
        <v>Bihar</v>
      </c>
      <c r="V313" t="s">
        <v>186</v>
      </c>
      <c r="W313" t="str">
        <f t="shared" si="129"/>
        <v>Patna</v>
      </c>
      <c r="X313" t="str">
        <f t="shared" si="130"/>
        <v>Furniture</v>
      </c>
      <c r="Y313" t="s">
        <v>44</v>
      </c>
      <c r="Z313" t="s">
        <v>203</v>
      </c>
      <c r="AA313" t="str">
        <f t="shared" si="131"/>
        <v>Bookcases</v>
      </c>
      <c r="AB313" t="s">
        <v>2646</v>
      </c>
      <c r="AC313" t="s">
        <v>47</v>
      </c>
      <c r="AD313" t="str">
        <f t="shared" si="154"/>
        <v>Same Day</v>
      </c>
      <c r="AE313" t="str">
        <f t="shared" si="138"/>
        <v>OK</v>
      </c>
      <c r="AF313">
        <v>1</v>
      </c>
      <c r="AG313">
        <v>1072.01</v>
      </c>
      <c r="AH313">
        <v>0</v>
      </c>
      <c r="AI313">
        <f t="shared" si="139"/>
        <v>0</v>
      </c>
      <c r="AJ313" t="str">
        <f t="shared" si="140"/>
        <v>OK</v>
      </c>
      <c r="AK313">
        <v>1072.01</v>
      </c>
      <c r="AL313">
        <v>852.62</v>
      </c>
      <c r="AM313">
        <v>219.39</v>
      </c>
      <c r="AN313" t="s">
        <v>136</v>
      </c>
      <c r="AO313" t="str">
        <f t="shared" si="132"/>
        <v>PENDING</v>
      </c>
      <c r="AP313" t="str">
        <f t="shared" si="141"/>
        <v>OK</v>
      </c>
      <c r="AQ313" t="s">
        <v>77</v>
      </c>
      <c r="AR313" t="str">
        <f t="shared" si="133"/>
        <v>CANCELLED</v>
      </c>
      <c r="AS313" t="str">
        <f t="shared" si="142"/>
        <v>EXCLUDE_FROM_SALES</v>
      </c>
      <c r="AT313">
        <f t="shared" si="143"/>
        <v>1072.01</v>
      </c>
      <c r="AU313">
        <f t="shared" si="144"/>
        <v>219.39</v>
      </c>
      <c r="AV313" s="6">
        <f t="shared" si="145"/>
        <v>0.23146239307469157</v>
      </c>
      <c r="AW313" t="str">
        <f t="shared" si="146"/>
        <v>CLEAN</v>
      </c>
      <c r="AX313" s="10" t="str">
        <f t="shared" si="147"/>
        <v>MATCH</v>
      </c>
      <c r="AY313" t="str">
        <f t="shared" si="148"/>
        <v>MATCH</v>
      </c>
    </row>
    <row r="314" spans="1:51">
      <c r="A314" t="s">
        <v>2652</v>
      </c>
      <c r="B314">
        <f t="shared" si="124"/>
        <v>1</v>
      </c>
      <c r="C314" t="s">
        <v>537</v>
      </c>
      <c r="D314" s="3">
        <v>45506</v>
      </c>
      <c r="E314" t="str">
        <f t="shared" si="125"/>
        <v>2024/08/02</v>
      </c>
      <c r="F314" t="str">
        <f t="shared" si="134"/>
        <v>August</v>
      </c>
      <c r="G314">
        <f t="shared" si="135"/>
        <v>2024</v>
      </c>
      <c r="H314" t="s">
        <v>2653</v>
      </c>
      <c r="I314" s="4">
        <v>45514</v>
      </c>
      <c r="J314" s="8">
        <f t="shared" si="126"/>
        <v>8</v>
      </c>
      <c r="K314" s="8" t="str">
        <f t="shared" si="136"/>
        <v>OK</v>
      </c>
      <c r="L314" t="s">
        <v>2654</v>
      </c>
      <c r="M314" t="s">
        <v>39</v>
      </c>
      <c r="N314" t="str">
        <f t="shared" si="127"/>
        <v>Mira Das</v>
      </c>
      <c r="O314" t="s">
        <v>114</v>
      </c>
      <c r="P314" t="str">
        <f t="shared" si="151"/>
        <v>Home Office</v>
      </c>
      <c r="Q314" t="s">
        <v>41</v>
      </c>
      <c r="R314" t="str">
        <f t="shared" si="152"/>
        <v>East</v>
      </c>
      <c r="S314" t="str">
        <f t="shared" si="137"/>
        <v>OK</v>
      </c>
      <c r="T314" t="s">
        <v>42</v>
      </c>
      <c r="U314" t="str">
        <f t="shared" si="128"/>
        <v>Odisha</v>
      </c>
      <c r="V314" t="s">
        <v>43</v>
      </c>
      <c r="W314" t="str">
        <f t="shared" si="129"/>
        <v>Bhubaneswar</v>
      </c>
      <c r="X314" t="str">
        <f t="shared" si="130"/>
        <v>Technology</v>
      </c>
      <c r="Y314" t="s">
        <v>85</v>
      </c>
      <c r="Z314" t="s">
        <v>86</v>
      </c>
      <c r="AA314" t="str">
        <f t="shared" si="131"/>
        <v>Accessories</v>
      </c>
      <c r="AB314" t="s">
        <v>2655</v>
      </c>
      <c r="AC314" t="s">
        <v>66</v>
      </c>
      <c r="AD314" t="str">
        <f t="shared" si="154"/>
        <v>Standard Class</v>
      </c>
      <c r="AE314" t="str">
        <f t="shared" si="138"/>
        <v>OK</v>
      </c>
      <c r="AF314">
        <v>6</v>
      </c>
      <c r="AG314">
        <v>2126.44</v>
      </c>
      <c r="AH314">
        <v>0.2</v>
      </c>
      <c r="AI314">
        <f t="shared" si="139"/>
        <v>0.2</v>
      </c>
      <c r="AJ314" t="str">
        <f t="shared" si="140"/>
        <v>OK</v>
      </c>
      <c r="AK314">
        <v>10206.91</v>
      </c>
      <c r="AL314">
        <v>6764.53</v>
      </c>
      <c r="AM314">
        <v>3442.38</v>
      </c>
      <c r="AN314" t="s">
        <v>33</v>
      </c>
      <c r="AO314" t="str">
        <f t="shared" si="132"/>
        <v>PAID</v>
      </c>
      <c r="AP314" t="str">
        <f t="shared" si="141"/>
        <v>OK</v>
      </c>
      <c r="AQ314" t="s">
        <v>34</v>
      </c>
      <c r="AR314" t="str">
        <f t="shared" si="133"/>
        <v>COMPLETED</v>
      </c>
      <c r="AS314" t="str">
        <f t="shared" si="142"/>
        <v>OK</v>
      </c>
      <c r="AT314">
        <f t="shared" si="143"/>
        <v>10206.912</v>
      </c>
      <c r="AU314">
        <f t="shared" si="144"/>
        <v>3442.3820000000005</v>
      </c>
      <c r="AV314" s="6">
        <f t="shared" si="145"/>
        <v>0.45894879861803439</v>
      </c>
      <c r="AW314" t="str">
        <f t="shared" si="146"/>
        <v>CLEAN</v>
      </c>
      <c r="AX314" s="10" t="str">
        <f t="shared" si="147"/>
        <v>MATCH</v>
      </c>
      <c r="AY314" t="str">
        <f t="shared" si="148"/>
        <v>MATCH</v>
      </c>
    </row>
    <row r="315" spans="1:51">
      <c r="A315" t="s">
        <v>2656</v>
      </c>
      <c r="B315">
        <f t="shared" si="124"/>
        <v>1</v>
      </c>
      <c r="C315" t="s">
        <v>2088</v>
      </c>
      <c r="D315" s="3">
        <v>45349</v>
      </c>
      <c r="E315" t="str">
        <f t="shared" si="125"/>
        <v>2024/02/27</v>
      </c>
      <c r="F315" t="str">
        <f t="shared" si="134"/>
        <v>February</v>
      </c>
      <c r="G315">
        <f t="shared" si="135"/>
        <v>2024</v>
      </c>
      <c r="H315" t="s">
        <v>2657</v>
      </c>
      <c r="I315" s="4">
        <v>45349</v>
      </c>
      <c r="J315" s="8">
        <f t="shared" si="126"/>
        <v>0</v>
      </c>
      <c r="K315" s="8" t="str">
        <f t="shared" si="136"/>
        <v>OK</v>
      </c>
      <c r="L315" t="s">
        <v>2658</v>
      </c>
      <c r="M315" t="s">
        <v>167</v>
      </c>
      <c r="N315" t="str">
        <f t="shared" si="127"/>
        <v>Sneha Kapoor</v>
      </c>
      <c r="O315" t="s">
        <v>25</v>
      </c>
      <c r="P315" t="str">
        <f t="shared" si="151"/>
        <v>Consumer</v>
      </c>
      <c r="Q315" t="s">
        <v>41</v>
      </c>
      <c r="R315" t="str">
        <f t="shared" si="152"/>
        <v>East</v>
      </c>
      <c r="S315" t="str">
        <f t="shared" si="137"/>
        <v>OK</v>
      </c>
      <c r="T315" t="s">
        <v>310</v>
      </c>
      <c r="U315" t="str">
        <f t="shared" si="128"/>
        <v>Jharkhand</v>
      </c>
      <c r="V315" t="s">
        <v>311</v>
      </c>
      <c r="W315" t="str">
        <f t="shared" si="129"/>
        <v>Ranchi</v>
      </c>
      <c r="X315" t="str">
        <f t="shared" si="130"/>
        <v>Furniture</v>
      </c>
      <c r="Y315" t="s">
        <v>44</v>
      </c>
      <c r="Z315" t="s">
        <v>75</v>
      </c>
      <c r="AA315" t="str">
        <f t="shared" si="131"/>
        <v>Chairs</v>
      </c>
      <c r="AB315" t="s">
        <v>2659</v>
      </c>
      <c r="AC315" t="s">
        <v>32</v>
      </c>
      <c r="AD315" t="str">
        <f t="shared" si="154"/>
        <v>Second Class</v>
      </c>
      <c r="AE315" t="str">
        <f t="shared" si="138"/>
        <v>OK</v>
      </c>
      <c r="AF315">
        <v>3</v>
      </c>
      <c r="AG315">
        <v>3148.09</v>
      </c>
      <c r="AH315">
        <v>0.15</v>
      </c>
      <c r="AI315">
        <f t="shared" si="139"/>
        <v>0.15</v>
      </c>
      <c r="AJ315" t="str">
        <f t="shared" si="140"/>
        <v>OK</v>
      </c>
      <c r="AK315">
        <v>8027.63</v>
      </c>
      <c r="AL315">
        <v>5496.09</v>
      </c>
      <c r="AM315">
        <v>2531.54</v>
      </c>
      <c r="AN315" t="s">
        <v>33</v>
      </c>
      <c r="AO315" t="str">
        <f t="shared" si="132"/>
        <v>PAID</v>
      </c>
      <c r="AP315" t="str">
        <f t="shared" si="141"/>
        <v>OK</v>
      </c>
      <c r="AQ315" t="s">
        <v>34</v>
      </c>
      <c r="AR315" t="str">
        <f t="shared" si="133"/>
        <v>COMPLETED</v>
      </c>
      <c r="AS315" t="str">
        <f t="shared" si="142"/>
        <v>OK</v>
      </c>
      <c r="AT315">
        <f t="shared" si="143"/>
        <v>8027.6295</v>
      </c>
      <c r="AU315">
        <f t="shared" si="144"/>
        <v>2531.5394999999999</v>
      </c>
      <c r="AV315" s="6">
        <f t="shared" si="145"/>
        <v>0.57343951910087521</v>
      </c>
      <c r="AW315" t="str">
        <f t="shared" si="146"/>
        <v>CLEAN</v>
      </c>
      <c r="AX315" s="10" t="str">
        <f t="shared" si="147"/>
        <v>MATCH</v>
      </c>
      <c r="AY315" t="str">
        <f t="shared" si="148"/>
        <v>MATCH</v>
      </c>
    </row>
    <row r="316" spans="1:51">
      <c r="A316" t="s">
        <v>2668</v>
      </c>
      <c r="B316">
        <f t="shared" si="124"/>
        <v>1</v>
      </c>
      <c r="C316" t="s">
        <v>2669</v>
      </c>
      <c r="D316" s="3">
        <v>45636</v>
      </c>
      <c r="E316" t="str">
        <f t="shared" si="125"/>
        <v>2024/12/10</v>
      </c>
      <c r="F316" t="str">
        <f t="shared" si="134"/>
        <v>December</v>
      </c>
      <c r="G316">
        <f t="shared" si="135"/>
        <v>2024</v>
      </c>
      <c r="H316" t="s">
        <v>2670</v>
      </c>
      <c r="I316" s="4">
        <v>45582</v>
      </c>
      <c r="J316" s="8">
        <f t="shared" si="126"/>
        <v>-54</v>
      </c>
      <c r="K316" s="8" t="str">
        <f t="shared" si="136"/>
        <v>INVAILD_SHIPPING</v>
      </c>
      <c r="L316" t="s">
        <v>2671</v>
      </c>
      <c r="M316" t="s">
        <v>60</v>
      </c>
      <c r="N316" t="str">
        <f t="shared" si="127"/>
        <v>Arjun Bose</v>
      </c>
      <c r="O316" t="s">
        <v>25</v>
      </c>
      <c r="P316" t="str">
        <f t="shared" si="151"/>
        <v>Consumer</v>
      </c>
      <c r="R316" t="s">
        <v>4109</v>
      </c>
      <c r="S316" t="str">
        <f t="shared" si="137"/>
        <v>MISSING_REGION</v>
      </c>
      <c r="T316" t="s">
        <v>310</v>
      </c>
      <c r="U316" t="str">
        <f t="shared" si="128"/>
        <v>Jharkhand</v>
      </c>
      <c r="V316" t="s">
        <v>311</v>
      </c>
      <c r="W316" t="str">
        <f t="shared" si="129"/>
        <v>Ranchi</v>
      </c>
      <c r="X316" t="str">
        <f t="shared" si="130"/>
        <v>Furniture</v>
      </c>
      <c r="Y316" t="s">
        <v>44</v>
      </c>
      <c r="Z316" t="s">
        <v>64</v>
      </c>
      <c r="AA316" t="str">
        <f t="shared" si="131"/>
        <v>Furnishings</v>
      </c>
      <c r="AB316" t="s">
        <v>2672</v>
      </c>
      <c r="AC316" t="s">
        <v>66</v>
      </c>
      <c r="AD316" t="str">
        <f t="shared" si="154"/>
        <v>Standard Class</v>
      </c>
      <c r="AE316" t="str">
        <f t="shared" si="138"/>
        <v>OK</v>
      </c>
      <c r="AF316">
        <v>4</v>
      </c>
      <c r="AG316">
        <v>1071.22</v>
      </c>
      <c r="AH316">
        <v>0.05</v>
      </c>
      <c r="AI316">
        <f t="shared" si="139"/>
        <v>0.05</v>
      </c>
      <c r="AJ316" t="str">
        <f t="shared" si="140"/>
        <v>OK</v>
      </c>
      <c r="AK316">
        <v>4070.64</v>
      </c>
      <c r="AL316">
        <v>2831.62</v>
      </c>
      <c r="AM316">
        <v>1239.02</v>
      </c>
      <c r="AN316" t="s">
        <v>33</v>
      </c>
      <c r="AO316" t="str">
        <f t="shared" si="132"/>
        <v>PAID</v>
      </c>
      <c r="AP316" t="str">
        <f t="shared" si="141"/>
        <v>OK</v>
      </c>
      <c r="AQ316" t="s">
        <v>34</v>
      </c>
      <c r="AR316" t="str">
        <f t="shared" si="133"/>
        <v>COMPLETED</v>
      </c>
      <c r="AS316" t="str">
        <f t="shared" si="142"/>
        <v>OK</v>
      </c>
      <c r="AT316">
        <f t="shared" si="143"/>
        <v>4070.636</v>
      </c>
      <c r="AU316">
        <f t="shared" si="144"/>
        <v>1239.0160000000001</v>
      </c>
      <c r="AV316" s="6">
        <f t="shared" si="145"/>
        <v>1.8408813757850127</v>
      </c>
      <c r="AW316" t="str">
        <f t="shared" si="146"/>
        <v>WARNING</v>
      </c>
      <c r="AX316" s="10" t="str">
        <f t="shared" si="147"/>
        <v>MATCH</v>
      </c>
      <c r="AY316" t="str">
        <f t="shared" si="148"/>
        <v>MATCH</v>
      </c>
    </row>
    <row r="317" spans="1:51">
      <c r="A317" t="s">
        <v>2677</v>
      </c>
      <c r="B317">
        <f t="shared" si="124"/>
        <v>1</v>
      </c>
      <c r="C317" t="s">
        <v>1552</v>
      </c>
      <c r="D317" s="2">
        <v>45466</v>
      </c>
      <c r="E317" t="str">
        <f t="shared" si="125"/>
        <v>2024/06/23</v>
      </c>
      <c r="F317" t="str">
        <f t="shared" si="134"/>
        <v>June</v>
      </c>
      <c r="G317">
        <f t="shared" si="135"/>
        <v>2024</v>
      </c>
      <c r="H317" t="s">
        <v>2094</v>
      </c>
      <c r="I317" s="4">
        <v>45472</v>
      </c>
      <c r="J317" s="8">
        <f t="shared" si="126"/>
        <v>6</v>
      </c>
      <c r="K317" s="8" t="str">
        <f t="shared" si="136"/>
        <v>OK</v>
      </c>
      <c r="L317" t="s">
        <v>2678</v>
      </c>
      <c r="M317" t="s">
        <v>92</v>
      </c>
      <c r="N317" t="str">
        <f t="shared" si="127"/>
        <v>Neha Gupta</v>
      </c>
      <c r="O317" t="s">
        <v>25</v>
      </c>
      <c r="P317" t="str">
        <f t="shared" si="151"/>
        <v>Consumer</v>
      </c>
      <c r="Q317" t="s">
        <v>26</v>
      </c>
      <c r="R317" t="str">
        <f t="shared" ref="R317:R327" si="155">PROPER(TRIM(SUBSTITUTE(Q317,CHAR(160)," ")))</f>
        <v>North</v>
      </c>
      <c r="S317" t="str">
        <f t="shared" si="137"/>
        <v>OK</v>
      </c>
      <c r="T317" t="s">
        <v>322</v>
      </c>
      <c r="U317" t="str">
        <f t="shared" si="128"/>
        <v>Haryana</v>
      </c>
      <c r="V317" t="s">
        <v>323</v>
      </c>
      <c r="W317" t="str">
        <f t="shared" si="129"/>
        <v>Gurugram</v>
      </c>
      <c r="X317" t="str">
        <f t="shared" si="130"/>
        <v>Furniture</v>
      </c>
      <c r="Y317" t="s">
        <v>44</v>
      </c>
      <c r="Z317" t="s">
        <v>45</v>
      </c>
      <c r="AA317" t="str">
        <f t="shared" si="131"/>
        <v>Tables</v>
      </c>
      <c r="AB317" t="s">
        <v>2679</v>
      </c>
      <c r="AC317" t="s">
        <v>55</v>
      </c>
      <c r="AD317" t="str">
        <f t="shared" si="154"/>
        <v>First Class</v>
      </c>
      <c r="AE317" t="str">
        <f t="shared" si="138"/>
        <v>OK</v>
      </c>
      <c r="AF317">
        <v>1</v>
      </c>
      <c r="AG317">
        <v>4426.66</v>
      </c>
      <c r="AH317">
        <v>0</v>
      </c>
      <c r="AI317">
        <f t="shared" si="139"/>
        <v>0</v>
      </c>
      <c r="AJ317" t="str">
        <f t="shared" si="140"/>
        <v>OK</v>
      </c>
      <c r="AK317">
        <v>4426.66</v>
      </c>
      <c r="AL317">
        <v>3035.2</v>
      </c>
      <c r="AM317">
        <v>1816.23</v>
      </c>
      <c r="AN317" t="s">
        <v>33</v>
      </c>
      <c r="AO317" t="str">
        <f t="shared" si="132"/>
        <v>PAID</v>
      </c>
      <c r="AP317" t="str">
        <f t="shared" si="141"/>
        <v>OK</v>
      </c>
      <c r="AQ317" t="s">
        <v>124</v>
      </c>
      <c r="AR317" t="str">
        <f t="shared" si="133"/>
        <v>RETURNED</v>
      </c>
      <c r="AS317" t="str">
        <f t="shared" si="142"/>
        <v>RETURNED_ORDER</v>
      </c>
      <c r="AT317">
        <f t="shared" si="143"/>
        <v>4426.66</v>
      </c>
      <c r="AU317">
        <f t="shared" si="144"/>
        <v>1391.46</v>
      </c>
      <c r="AV317" s="6">
        <f t="shared" si="145"/>
        <v>0.50714760112590562</v>
      </c>
      <c r="AW317" t="str">
        <f t="shared" si="146"/>
        <v>CLEAN</v>
      </c>
      <c r="AX317" s="10" t="str">
        <f t="shared" si="147"/>
        <v>MATCH</v>
      </c>
      <c r="AY317" t="str">
        <f t="shared" si="148"/>
        <v>MISMATCH</v>
      </c>
    </row>
    <row r="318" spans="1:51">
      <c r="A318" t="s">
        <v>2680</v>
      </c>
      <c r="B318">
        <f t="shared" si="124"/>
        <v>1</v>
      </c>
      <c r="C318" t="s">
        <v>2681</v>
      </c>
      <c r="D318" s="3">
        <v>45509</v>
      </c>
      <c r="E318" t="str">
        <f t="shared" si="125"/>
        <v>2024/08/05</v>
      </c>
      <c r="F318" t="str">
        <f t="shared" si="134"/>
        <v>August</v>
      </c>
      <c r="G318">
        <f t="shared" si="135"/>
        <v>2024</v>
      </c>
      <c r="H318" t="s">
        <v>2682</v>
      </c>
      <c r="I318" s="4">
        <v>45426</v>
      </c>
      <c r="J318" s="8">
        <f t="shared" si="126"/>
        <v>-83</v>
      </c>
      <c r="K318" s="8" t="str">
        <f t="shared" si="136"/>
        <v>INVAILD_SHIPPING</v>
      </c>
      <c r="L318" t="s">
        <v>2683</v>
      </c>
      <c r="M318" t="s">
        <v>82</v>
      </c>
      <c r="N318" t="str">
        <f t="shared" si="127"/>
        <v>Vikram Iyer</v>
      </c>
      <c r="O318" t="s">
        <v>114</v>
      </c>
      <c r="P318" t="str">
        <f t="shared" si="151"/>
        <v>Home Office</v>
      </c>
      <c r="Q318" t="s">
        <v>26</v>
      </c>
      <c r="R318" t="str">
        <f t="shared" si="155"/>
        <v>North</v>
      </c>
      <c r="S318" t="str">
        <f t="shared" si="137"/>
        <v>OK</v>
      </c>
      <c r="T318" t="s">
        <v>322</v>
      </c>
      <c r="U318" t="str">
        <f t="shared" si="128"/>
        <v>Haryana</v>
      </c>
      <c r="V318" t="s">
        <v>323</v>
      </c>
      <c r="W318" t="str">
        <f t="shared" si="129"/>
        <v>Gurugram</v>
      </c>
      <c r="X318" t="str">
        <f t="shared" si="130"/>
        <v>Technology</v>
      </c>
      <c r="Y318" t="s">
        <v>85</v>
      </c>
      <c r="Z318" t="s">
        <v>222</v>
      </c>
      <c r="AA318" t="str">
        <f t="shared" si="131"/>
        <v>Phones</v>
      </c>
      <c r="AB318" t="s">
        <v>2684</v>
      </c>
      <c r="AC318" t="s">
        <v>55</v>
      </c>
      <c r="AD318" t="str">
        <f t="shared" si="154"/>
        <v>First Class</v>
      </c>
      <c r="AE318" t="str">
        <f t="shared" si="138"/>
        <v>OK</v>
      </c>
      <c r="AF318">
        <v>9</v>
      </c>
      <c r="AG318">
        <v>3769.46</v>
      </c>
      <c r="AH318">
        <v>0.05</v>
      </c>
      <c r="AI318">
        <f t="shared" si="139"/>
        <v>0.05</v>
      </c>
      <c r="AJ318" t="str">
        <f t="shared" si="140"/>
        <v>OK</v>
      </c>
      <c r="AK318">
        <v>32228.880000000001</v>
      </c>
      <c r="AL318">
        <v>24971.360000000001</v>
      </c>
      <c r="AM318">
        <v>7257.52</v>
      </c>
      <c r="AN318" t="s">
        <v>33</v>
      </c>
      <c r="AO318" t="str">
        <f t="shared" si="132"/>
        <v>PAID</v>
      </c>
      <c r="AP318" t="str">
        <f t="shared" si="141"/>
        <v>OK</v>
      </c>
      <c r="AQ318" t="s">
        <v>77</v>
      </c>
      <c r="AR318" t="str">
        <f t="shared" si="133"/>
        <v>CANCELLED</v>
      </c>
      <c r="AS318" t="str">
        <f t="shared" si="142"/>
        <v>EXCLUDE_FROM_SALES</v>
      </c>
      <c r="AT318">
        <f t="shared" si="143"/>
        <v>32228.882999999998</v>
      </c>
      <c r="AU318">
        <f t="shared" si="144"/>
        <v>7257.5229999999974</v>
      </c>
      <c r="AV318" s="6">
        <f t="shared" si="145"/>
        <v>0.16363598452977735</v>
      </c>
      <c r="AW318" t="str">
        <f t="shared" si="146"/>
        <v>CLEAN</v>
      </c>
      <c r="AX318" s="10" t="str">
        <f t="shared" si="147"/>
        <v>MATCH</v>
      </c>
      <c r="AY318" t="str">
        <f t="shared" si="148"/>
        <v>MATCH</v>
      </c>
    </row>
    <row r="319" spans="1:51">
      <c r="A319" t="s">
        <v>2694</v>
      </c>
      <c r="B319">
        <f t="shared" si="124"/>
        <v>1</v>
      </c>
      <c r="C319" t="s">
        <v>2695</v>
      </c>
      <c r="D319" s="3">
        <v>45307</v>
      </c>
      <c r="E319" t="str">
        <f t="shared" si="125"/>
        <v>2024/01/16</v>
      </c>
      <c r="F319" t="str">
        <f t="shared" si="134"/>
        <v>January</v>
      </c>
      <c r="G319">
        <f t="shared" si="135"/>
        <v>2024</v>
      </c>
      <c r="H319" t="s">
        <v>1057</v>
      </c>
      <c r="I319" s="4">
        <v>45313</v>
      </c>
      <c r="J319" s="8">
        <f t="shared" si="126"/>
        <v>6</v>
      </c>
      <c r="K319" s="8" t="str">
        <f t="shared" si="136"/>
        <v>OK</v>
      </c>
      <c r="L319" t="s">
        <v>2696</v>
      </c>
      <c r="M319" t="s">
        <v>60</v>
      </c>
      <c r="N319" t="str">
        <f t="shared" si="127"/>
        <v>Arjun Bose</v>
      </c>
      <c r="O319" t="s">
        <v>25</v>
      </c>
      <c r="P319" t="str">
        <f t="shared" si="151"/>
        <v>Consumer</v>
      </c>
      <c r="Q319" t="s">
        <v>72</v>
      </c>
      <c r="R319" t="str">
        <f t="shared" si="155"/>
        <v>West</v>
      </c>
      <c r="S319" t="str">
        <f t="shared" si="137"/>
        <v>OK</v>
      </c>
      <c r="T319" t="s">
        <v>248</v>
      </c>
      <c r="U319" t="str">
        <f t="shared" si="128"/>
        <v>Goa</v>
      </c>
      <c r="V319" t="s">
        <v>249</v>
      </c>
      <c r="W319" t="str">
        <f t="shared" si="129"/>
        <v>Panaji</v>
      </c>
      <c r="X319" t="str">
        <f t="shared" si="130"/>
        <v>Office Supplies</v>
      </c>
      <c r="Y319" t="s">
        <v>29</v>
      </c>
      <c r="Z319" t="s">
        <v>155</v>
      </c>
      <c r="AA319" t="str">
        <f t="shared" si="131"/>
        <v>Storage</v>
      </c>
      <c r="AB319" t="s">
        <v>2697</v>
      </c>
      <c r="AC319" t="s">
        <v>66</v>
      </c>
      <c r="AD319" t="str">
        <f t="shared" si="154"/>
        <v>Standard Class</v>
      </c>
      <c r="AE319" t="str">
        <f t="shared" si="138"/>
        <v>OK</v>
      </c>
      <c r="AF319">
        <v>4</v>
      </c>
      <c r="AG319">
        <v>282.52999999999997</v>
      </c>
      <c r="AH319">
        <v>0</v>
      </c>
      <c r="AI319">
        <f t="shared" si="139"/>
        <v>0</v>
      </c>
      <c r="AJ319" t="str">
        <f t="shared" si="140"/>
        <v>OK</v>
      </c>
      <c r="AK319">
        <v>1130.1199999999999</v>
      </c>
      <c r="AL319">
        <v>848.62</v>
      </c>
      <c r="AM319">
        <v>281.5</v>
      </c>
      <c r="AN319" t="s">
        <v>33</v>
      </c>
      <c r="AO319" t="str">
        <f t="shared" si="132"/>
        <v>PAID</v>
      </c>
      <c r="AP319" t="str">
        <f t="shared" si="141"/>
        <v>OK</v>
      </c>
      <c r="AQ319" t="s">
        <v>77</v>
      </c>
      <c r="AR319" t="str">
        <f t="shared" si="133"/>
        <v>CANCELLED</v>
      </c>
      <c r="AS319" t="str">
        <f t="shared" si="142"/>
        <v>EXCLUDE_FROM_SALES</v>
      </c>
      <c r="AT319">
        <f t="shared" si="143"/>
        <v>1130.1199999999999</v>
      </c>
      <c r="AU319">
        <f t="shared" si="144"/>
        <v>281.49999999999989</v>
      </c>
      <c r="AV319" s="6">
        <f t="shared" si="145"/>
        <v>0.60292933493788248</v>
      </c>
      <c r="AW319" t="str">
        <f t="shared" si="146"/>
        <v>CLEAN</v>
      </c>
      <c r="AX319" s="10" t="str">
        <f t="shared" si="147"/>
        <v>MATCH</v>
      </c>
      <c r="AY319" t="str">
        <f t="shared" si="148"/>
        <v>MATCH</v>
      </c>
    </row>
    <row r="320" spans="1:51">
      <c r="A320" t="s">
        <v>2702</v>
      </c>
      <c r="B320">
        <f t="shared" si="124"/>
        <v>1</v>
      </c>
      <c r="C320" t="s">
        <v>2703</v>
      </c>
      <c r="D320" s="2">
        <v>45570</v>
      </c>
      <c r="E320" t="str">
        <f t="shared" si="125"/>
        <v>2024/10/05</v>
      </c>
      <c r="F320" t="str">
        <f t="shared" si="134"/>
        <v>October</v>
      </c>
      <c r="G320">
        <f t="shared" si="135"/>
        <v>2024</v>
      </c>
      <c r="H320" t="s">
        <v>2640</v>
      </c>
      <c r="I320" s="4">
        <v>45428</v>
      </c>
      <c r="J320" s="8">
        <f t="shared" si="126"/>
        <v>-142</v>
      </c>
      <c r="K320" s="8" t="str">
        <f t="shared" si="136"/>
        <v>INVAILD_SHIPPING</v>
      </c>
      <c r="L320" t="s">
        <v>2704</v>
      </c>
      <c r="M320" t="s">
        <v>24</v>
      </c>
      <c r="N320" t="str">
        <f t="shared" si="127"/>
        <v>Karan Malhotra</v>
      </c>
      <c r="O320" t="s">
        <v>25</v>
      </c>
      <c r="P320" t="str">
        <f t="shared" si="151"/>
        <v>Consumer</v>
      </c>
      <c r="Q320" t="s">
        <v>26</v>
      </c>
      <c r="R320" t="str">
        <f t="shared" si="155"/>
        <v>North</v>
      </c>
      <c r="S320" t="str">
        <f t="shared" si="137"/>
        <v>OK</v>
      </c>
      <c r="T320" t="s">
        <v>153</v>
      </c>
      <c r="U320" t="str">
        <f t="shared" si="128"/>
        <v>Punjab</v>
      </c>
      <c r="V320" t="s">
        <v>154</v>
      </c>
      <c r="W320" t="str">
        <f t="shared" si="129"/>
        <v>Ludhiana</v>
      </c>
      <c r="X320" t="str">
        <f t="shared" si="130"/>
        <v>Office Supplies</v>
      </c>
      <c r="Y320" t="s">
        <v>29</v>
      </c>
      <c r="Z320" t="s">
        <v>197</v>
      </c>
      <c r="AA320" t="str">
        <f t="shared" si="131"/>
        <v>Binders</v>
      </c>
      <c r="AB320" t="s">
        <v>2705</v>
      </c>
      <c r="AC320" t="s">
        <v>47</v>
      </c>
      <c r="AD320" t="str">
        <f t="shared" si="154"/>
        <v>Same Day</v>
      </c>
      <c r="AE320" t="str">
        <f t="shared" si="138"/>
        <v>OK</v>
      </c>
      <c r="AF320">
        <v>7</v>
      </c>
      <c r="AG320">
        <v>121.54</v>
      </c>
      <c r="AH320">
        <v>0.2</v>
      </c>
      <c r="AI320">
        <f t="shared" si="139"/>
        <v>0.2</v>
      </c>
      <c r="AJ320" t="str">
        <f t="shared" si="140"/>
        <v>OK</v>
      </c>
      <c r="AK320">
        <v>680.62</v>
      </c>
      <c r="AL320">
        <v>463.49</v>
      </c>
      <c r="AM320">
        <v>217.13</v>
      </c>
      <c r="AN320" t="s">
        <v>199</v>
      </c>
      <c r="AO320" t="str">
        <f t="shared" si="132"/>
        <v>FAILED</v>
      </c>
      <c r="AP320" t="str">
        <f t="shared" si="141"/>
        <v>EXCLUDE_FROM_SALES</v>
      </c>
      <c r="AQ320" t="s">
        <v>124</v>
      </c>
      <c r="AR320" t="str">
        <f t="shared" si="133"/>
        <v>RETURNED</v>
      </c>
      <c r="AS320" t="str">
        <f t="shared" si="142"/>
        <v>RETURNED_ORDER</v>
      </c>
      <c r="AT320">
        <f t="shared" si="143"/>
        <v>680.62400000000014</v>
      </c>
      <c r="AU320">
        <f t="shared" si="144"/>
        <v>217.13400000000013</v>
      </c>
      <c r="AV320" s="6">
        <f t="shared" si="145"/>
        <v>1.0011144185335803</v>
      </c>
      <c r="AW320" t="str">
        <f t="shared" si="146"/>
        <v>CLEAN</v>
      </c>
      <c r="AX320" s="10" t="str">
        <f t="shared" si="147"/>
        <v>MATCH</v>
      </c>
      <c r="AY320" t="str">
        <f t="shared" si="148"/>
        <v>MATCH</v>
      </c>
    </row>
    <row r="321" spans="1:51">
      <c r="A321" t="s">
        <v>2706</v>
      </c>
      <c r="B321">
        <f t="shared" si="124"/>
        <v>1</v>
      </c>
      <c r="C321" t="s">
        <v>2707</v>
      </c>
      <c r="D321" s="3">
        <v>45448</v>
      </c>
      <c r="E321" t="str">
        <f t="shared" si="125"/>
        <v>2024/06/05</v>
      </c>
      <c r="F321" t="str">
        <f t="shared" si="134"/>
        <v>June</v>
      </c>
      <c r="G321">
        <f t="shared" si="135"/>
        <v>2024</v>
      </c>
      <c r="H321" t="s">
        <v>1783</v>
      </c>
      <c r="I321" s="4">
        <v>45631</v>
      </c>
      <c r="J321" s="8">
        <f t="shared" si="126"/>
        <v>183</v>
      </c>
      <c r="K321" s="8" t="str">
        <f t="shared" si="136"/>
        <v>OK</v>
      </c>
      <c r="L321" t="s">
        <v>2708</v>
      </c>
      <c r="M321" t="s">
        <v>60</v>
      </c>
      <c r="N321" t="str">
        <f t="shared" si="127"/>
        <v>Arjun Bose</v>
      </c>
      <c r="O321" t="s">
        <v>107</v>
      </c>
      <c r="P321" t="str">
        <f t="shared" si="151"/>
        <v>Corporate</v>
      </c>
      <c r="Q321" t="s">
        <v>72</v>
      </c>
      <c r="R321" t="str">
        <f t="shared" si="155"/>
        <v>West</v>
      </c>
      <c r="S321" t="str">
        <f t="shared" si="137"/>
        <v>OK</v>
      </c>
      <c r="T321" t="s">
        <v>248</v>
      </c>
      <c r="U321" t="str">
        <f t="shared" si="128"/>
        <v>Goa</v>
      </c>
      <c r="V321" t="s">
        <v>249</v>
      </c>
      <c r="W321" t="str">
        <f t="shared" si="129"/>
        <v>Panaji</v>
      </c>
      <c r="X321" t="str">
        <f t="shared" si="130"/>
        <v>Furniture</v>
      </c>
      <c r="Y321" t="s">
        <v>44</v>
      </c>
      <c r="Z321" t="s">
        <v>45</v>
      </c>
      <c r="AA321" t="str">
        <f t="shared" si="131"/>
        <v>Tables</v>
      </c>
      <c r="AB321" t="s">
        <v>2709</v>
      </c>
      <c r="AC321" t="s">
        <v>66</v>
      </c>
      <c r="AD321" t="str">
        <f t="shared" si="154"/>
        <v>Standard Class</v>
      </c>
      <c r="AE321" t="str">
        <f t="shared" si="138"/>
        <v>OK</v>
      </c>
      <c r="AF321">
        <v>9</v>
      </c>
      <c r="AG321">
        <v>790.97</v>
      </c>
      <c r="AH321">
        <v>0.2</v>
      </c>
      <c r="AI321">
        <f t="shared" si="139"/>
        <v>0.2</v>
      </c>
      <c r="AJ321" t="str">
        <f t="shared" si="140"/>
        <v>OK</v>
      </c>
      <c r="AK321">
        <v>5694.98</v>
      </c>
      <c r="AL321">
        <v>4618.33</v>
      </c>
      <c r="AM321">
        <v>1076.6500000000001</v>
      </c>
      <c r="AN321" t="s">
        <v>136</v>
      </c>
      <c r="AO321" t="str">
        <f t="shared" si="132"/>
        <v>PENDING</v>
      </c>
      <c r="AP321" t="str">
        <f t="shared" si="141"/>
        <v>OK</v>
      </c>
      <c r="AQ321" t="s">
        <v>77</v>
      </c>
      <c r="AR321" t="str">
        <f t="shared" si="133"/>
        <v>CANCELLED</v>
      </c>
      <c r="AS321" t="str">
        <f t="shared" si="142"/>
        <v>EXCLUDE_FROM_SALES</v>
      </c>
      <c r="AT321">
        <f t="shared" si="143"/>
        <v>5694.9840000000004</v>
      </c>
      <c r="AU321">
        <f t="shared" si="144"/>
        <v>1076.6540000000005</v>
      </c>
      <c r="AV321" s="6">
        <f t="shared" si="145"/>
        <v>0.15122869528694025</v>
      </c>
      <c r="AW321" t="str">
        <f t="shared" si="146"/>
        <v>CLEAN</v>
      </c>
      <c r="AX321" s="10" t="str">
        <f t="shared" si="147"/>
        <v>MATCH</v>
      </c>
      <c r="AY321" t="str">
        <f t="shared" si="148"/>
        <v>MATCH</v>
      </c>
    </row>
    <row r="322" spans="1:51">
      <c r="A322" t="s">
        <v>2710</v>
      </c>
      <c r="B322">
        <f t="shared" ref="B322:B385" si="156">COUNTIF($A:$A,A322)</f>
        <v>1</v>
      </c>
      <c r="C322" t="s">
        <v>104</v>
      </c>
      <c r="D322" s="3">
        <v>45576</v>
      </c>
      <c r="E322" t="str">
        <f t="shared" ref="E322:E385" si="157">IFERROR(
TEXT(
  IF(ISNUMBER(SEARCH("/",D322)),
     DATE(RIGHT(D322,4),LEFT(D322,FIND("/",D322)-1),
          MID(D322,FIND("/",D322)+1,FIND("/",D322,FIND("/",D322)+1)-FIND("/",D322)-1)),
     IF(ISNUMBER(SEARCH("-",D322)),
        DATEVALUE(SUBSTITUTE(D322,"-","/")),
        DATEVALUE(TEXT(D322,"dd mmm yyyy"))
     )
  ),
"yyyy/mm/dd"
),
"")</f>
        <v>2024/10/11</v>
      </c>
      <c r="F322" t="str">
        <f t="shared" si="134"/>
        <v>October</v>
      </c>
      <c r="G322">
        <f t="shared" si="135"/>
        <v>2024</v>
      </c>
      <c r="H322" t="s">
        <v>2711</v>
      </c>
      <c r="I322" s="4">
        <v>45610</v>
      </c>
      <c r="J322" s="8">
        <f t="shared" ref="J322:J385" si="158">I322-E322</f>
        <v>34</v>
      </c>
      <c r="K322" s="8" t="str">
        <f t="shared" si="136"/>
        <v>OK</v>
      </c>
      <c r="L322" t="s">
        <v>2712</v>
      </c>
      <c r="M322" t="s">
        <v>167</v>
      </c>
      <c r="N322" t="str">
        <f t="shared" ref="N322:N385" si="159">PROPER(TRIM(SUBSTITUTE(M322,CHAR(160)," ")))</f>
        <v>Sneha Kapoor</v>
      </c>
      <c r="O322" t="s">
        <v>107</v>
      </c>
      <c r="P322" t="str">
        <f t="shared" si="151"/>
        <v>Corporate</v>
      </c>
      <c r="Q322" t="s">
        <v>61</v>
      </c>
      <c r="R322" t="str">
        <f t="shared" si="155"/>
        <v>South</v>
      </c>
      <c r="S322" t="str">
        <f t="shared" si="137"/>
        <v>OK</v>
      </c>
      <c r="T322" t="s">
        <v>99</v>
      </c>
      <c r="U322" t="str">
        <f t="shared" ref="U322:U385" si="160">PROPER(TRIM(SUBSTITUTE(T322,CHAR(160)," ")))</f>
        <v>Andhra Pradesh</v>
      </c>
      <c r="V322" t="s">
        <v>100</v>
      </c>
      <c r="W322" t="str">
        <f t="shared" ref="W322:W385" si="161">PROPER(TRIM(SUBSTITUTE(V322,CHAR(160)," ")))</f>
        <v>Vijayawada</v>
      </c>
      <c r="X322" t="str">
        <f t="shared" ref="X322:X385" si="162">PROPER(TRIM(SUBSTITUTE(Y322,CHAR(160)," ")))</f>
        <v>Furniture</v>
      </c>
      <c r="Y322" t="s">
        <v>44</v>
      </c>
      <c r="Z322" t="s">
        <v>45</v>
      </c>
      <c r="AA322" t="str">
        <f t="shared" ref="AA322:AA385" si="163">PROPER(TRIM(SUBSTITUTE(Z322,CHAR(160)," ")))</f>
        <v>Tables</v>
      </c>
      <c r="AB322" t="s">
        <v>2713</v>
      </c>
      <c r="AC322" t="s">
        <v>55</v>
      </c>
      <c r="AD322" t="str">
        <f t="shared" si="154"/>
        <v>First Class</v>
      </c>
      <c r="AE322" t="str">
        <f t="shared" si="138"/>
        <v>OK</v>
      </c>
      <c r="AF322">
        <v>2</v>
      </c>
      <c r="AG322">
        <v>921.34</v>
      </c>
      <c r="AH322">
        <v>0.2</v>
      </c>
      <c r="AI322">
        <f t="shared" si="139"/>
        <v>0.2</v>
      </c>
      <c r="AJ322" t="str">
        <f t="shared" si="140"/>
        <v>OK</v>
      </c>
      <c r="AK322">
        <v>1474.14</v>
      </c>
      <c r="AL322">
        <v>968.46</v>
      </c>
      <c r="AM322">
        <v>505.68</v>
      </c>
      <c r="AN322" t="s">
        <v>33</v>
      </c>
      <c r="AO322" t="str">
        <f t="shared" ref="AO322:AO385" si="164">UPPER(TRIM(SUBSTITUTE(AN322,CHAR(160)," ")))</f>
        <v>PAID</v>
      </c>
      <c r="AP322" t="str">
        <f t="shared" si="141"/>
        <v>OK</v>
      </c>
      <c r="AQ322" t="s">
        <v>34</v>
      </c>
      <c r="AR322" t="str">
        <f t="shared" ref="AR322:AR385" si="165">UPPER(TRIM(SUBSTITUTE(AQ322,CHAR(160)," ")))</f>
        <v>COMPLETED</v>
      </c>
      <c r="AS322" t="str">
        <f t="shared" si="142"/>
        <v>OK</v>
      </c>
      <c r="AT322">
        <f t="shared" si="143"/>
        <v>1474.1440000000002</v>
      </c>
      <c r="AU322">
        <f t="shared" si="144"/>
        <v>505.6840000000002</v>
      </c>
      <c r="AV322" s="6">
        <f t="shared" si="145"/>
        <v>1.937456584974059</v>
      </c>
      <c r="AW322" t="str">
        <f t="shared" si="146"/>
        <v>CLEAN</v>
      </c>
      <c r="AX322" s="10" t="str">
        <f t="shared" si="147"/>
        <v>MATCH</v>
      </c>
      <c r="AY322" t="str">
        <f t="shared" si="148"/>
        <v>MATCH</v>
      </c>
    </row>
    <row r="323" spans="1:51">
      <c r="A323" t="s">
        <v>2718</v>
      </c>
      <c r="B323">
        <f t="shared" si="156"/>
        <v>1</v>
      </c>
      <c r="C323" t="s">
        <v>2437</v>
      </c>
      <c r="D323" s="2">
        <v>45604</v>
      </c>
      <c r="E323" t="str">
        <f t="shared" si="157"/>
        <v>2024/11/08</v>
      </c>
      <c r="F323" t="str">
        <f t="shared" ref="F323:F386" si="166">TEXT(E323,"MMMM")</f>
        <v>November</v>
      </c>
      <c r="G323">
        <f t="shared" ref="G323:G386" si="167">YEAR(E323)</f>
        <v>2024</v>
      </c>
      <c r="H323" t="s">
        <v>2719</v>
      </c>
      <c r="I323" s="4">
        <v>45523</v>
      </c>
      <c r="J323" s="8">
        <f t="shared" si="158"/>
        <v>-81</v>
      </c>
      <c r="K323" s="8" t="str">
        <f t="shared" ref="K323:K386" si="168">IF(J323&lt;0,"INVAILD_SHIPPING","OK")</f>
        <v>INVAILD_SHIPPING</v>
      </c>
      <c r="L323" t="s">
        <v>2720</v>
      </c>
      <c r="M323" t="s">
        <v>167</v>
      </c>
      <c r="N323" t="str">
        <f t="shared" si="159"/>
        <v>Sneha Kapoor</v>
      </c>
      <c r="O323" t="s">
        <v>40</v>
      </c>
      <c r="P323" t="str">
        <f t="shared" si="151"/>
        <v>Small Business</v>
      </c>
      <c r="Q323" t="s">
        <v>72</v>
      </c>
      <c r="R323" t="str">
        <f t="shared" si="155"/>
        <v>West</v>
      </c>
      <c r="S323" t="str">
        <f t="shared" ref="S323:S386" si="169">IF(R323="Unknown","MISSING_REGION","OK")</f>
        <v>OK</v>
      </c>
      <c r="T323" t="s">
        <v>73</v>
      </c>
      <c r="U323" t="str">
        <f t="shared" si="160"/>
        <v>Maharashtra</v>
      </c>
      <c r="V323" t="s">
        <v>74</v>
      </c>
      <c r="W323" t="str">
        <f t="shared" si="161"/>
        <v>Mumbai</v>
      </c>
      <c r="X323" t="str">
        <f t="shared" si="162"/>
        <v>Office Supplies</v>
      </c>
      <c r="Y323" t="s">
        <v>29</v>
      </c>
      <c r="Z323" t="s">
        <v>30</v>
      </c>
      <c r="AA323" t="str">
        <f t="shared" si="163"/>
        <v>Paper</v>
      </c>
      <c r="AB323" t="s">
        <v>2721</v>
      </c>
      <c r="AC323" t="s">
        <v>47</v>
      </c>
      <c r="AD323" t="str">
        <f t="shared" si="154"/>
        <v>Same Day</v>
      </c>
      <c r="AE323" t="str">
        <f t="shared" ref="AE323:AE386" si="170">IF(AD323="Unknown","MISSING_SHIP_MODE","OK")</f>
        <v>OK</v>
      </c>
      <c r="AF323">
        <v>2</v>
      </c>
      <c r="AG323">
        <v>2617.89</v>
      </c>
      <c r="AH323">
        <v>0.1</v>
      </c>
      <c r="AI323">
        <f t="shared" ref="AI323:AI386" si="171">IF(RIGHT(AH323,1)="%",VALUE(SUBSTITUTE(AH323,"%",""))/100,AH323)</f>
        <v>0.1</v>
      </c>
      <c r="AJ323" t="str">
        <f t="shared" ref="AJ323:AJ386" si="172">IF(AH323="","Missing Discount",
IF(AH323&lt;0,"Invalid Negative Discount",
"OK"))</f>
        <v>OK</v>
      </c>
      <c r="AK323">
        <v>4712.2</v>
      </c>
      <c r="AL323">
        <v>3851.91</v>
      </c>
      <c r="AM323">
        <v>860.29</v>
      </c>
      <c r="AN323" t="s">
        <v>199</v>
      </c>
      <c r="AO323" t="str">
        <f t="shared" si="164"/>
        <v>FAILED</v>
      </c>
      <c r="AP323" t="str">
        <f t="shared" ref="AP323:AP386" si="173">IF(AO323="Failed","EXCLUDE_FROM_SALES",
IF(AO323="Refunded","REFUNDED_PAYMENT",
"OK"))</f>
        <v>EXCLUDE_FROM_SALES</v>
      </c>
      <c r="AQ323" t="s">
        <v>124</v>
      </c>
      <c r="AR323" t="str">
        <f t="shared" si="165"/>
        <v>RETURNED</v>
      </c>
      <c r="AS323" t="str">
        <f t="shared" ref="AS323:AS386" si="174">IF(AR323="Cancelled","EXCLUDE_FROM_SALES",
IF(AR323="Returned","RETURNED_ORDER",
"OK"))</f>
        <v>RETURNED_ORDER</v>
      </c>
      <c r="AT323">
        <f t="shared" ref="AT323:AT386" si="175">IF(AI323&lt;0,"INVAILD",AF323*AG323*(1-AI323))</f>
        <v>4712.2020000000002</v>
      </c>
      <c r="AU323">
        <f t="shared" ref="AU323:AU386" si="176">IF(AT323="INVAILD","INVAILD",AT323-AL323)</f>
        <v>860.29200000000037</v>
      </c>
      <c r="AV323" s="6">
        <f t="shared" ref="AV323:AV386" si="177">IF(OR(AT323="INVALID",AU323="INVALID"),"",AU344/AT323)</f>
        <v>1.145255020901057</v>
      </c>
      <c r="AW323" t="str">
        <f t="shared" ref="AW323:AW386" si="178">IF(OR(AJ323&lt;&gt;"OK",K323="INVALID_SHIPPING"),
"INVALID",
IF(OR(S323&lt;&gt;"OK",AE323&lt;&gt;"OK"),
"WARNING",
"CLEAN"))</f>
        <v>CLEAN</v>
      </c>
      <c r="AX323" s="10" t="str">
        <f t="shared" ref="AX323:AX386" si="179">IF(AT323="INVALID","INVALID",
IF(ROUND(AK323,2)=ROUND(AT323,2),"MATCH","MISMATCH"))</f>
        <v>MATCH</v>
      </c>
      <c r="AY323" t="str">
        <f t="shared" ref="AY323:AY386" si="180">IF(AU323="INVALID","INVALID",IF(ROUND(AM323,2)=ROUND(AU323,2),"MATCH","MISMATCH"))</f>
        <v>MATCH</v>
      </c>
    </row>
    <row r="324" spans="1:51">
      <c r="A324" t="s">
        <v>2722</v>
      </c>
      <c r="B324">
        <f t="shared" si="156"/>
        <v>1</v>
      </c>
      <c r="C324" t="s">
        <v>2723</v>
      </c>
      <c r="D324" s="2">
        <v>45445</v>
      </c>
      <c r="E324" t="str">
        <f t="shared" si="157"/>
        <v>2024/06/02</v>
      </c>
      <c r="F324" t="str">
        <f t="shared" si="166"/>
        <v>June</v>
      </c>
      <c r="G324">
        <f t="shared" si="167"/>
        <v>2024</v>
      </c>
      <c r="H324" t="s">
        <v>2724</v>
      </c>
      <c r="I324" s="4">
        <v>45567</v>
      </c>
      <c r="J324" s="8">
        <f t="shared" si="158"/>
        <v>122</v>
      </c>
      <c r="K324" s="8" t="str">
        <f t="shared" si="168"/>
        <v>OK</v>
      </c>
      <c r="L324" t="s">
        <v>2725</v>
      </c>
      <c r="M324" t="s">
        <v>60</v>
      </c>
      <c r="N324" t="str">
        <f t="shared" si="159"/>
        <v>Arjun Bose</v>
      </c>
      <c r="O324" t="s">
        <v>114</v>
      </c>
      <c r="P324" t="str">
        <f t="shared" si="151"/>
        <v>Home Office</v>
      </c>
      <c r="Q324" t="s">
        <v>26</v>
      </c>
      <c r="R324" t="str">
        <f t="shared" si="155"/>
        <v>North</v>
      </c>
      <c r="S324" t="str">
        <f t="shared" si="169"/>
        <v>OK</v>
      </c>
      <c r="T324" t="s">
        <v>173</v>
      </c>
      <c r="U324" t="str">
        <f t="shared" si="160"/>
        <v>Uttar Pradesh</v>
      </c>
      <c r="V324" t="s">
        <v>174</v>
      </c>
      <c r="W324" t="str">
        <f t="shared" si="161"/>
        <v>Noida</v>
      </c>
      <c r="X324" t="str">
        <f t="shared" si="162"/>
        <v>Furniture</v>
      </c>
      <c r="Y324" t="s">
        <v>44</v>
      </c>
      <c r="Z324" t="s">
        <v>64</v>
      </c>
      <c r="AA324" t="str">
        <f t="shared" si="163"/>
        <v>Furnishings</v>
      </c>
      <c r="AB324" t="s">
        <v>899</v>
      </c>
      <c r="AC324" t="s">
        <v>47</v>
      </c>
      <c r="AD324" t="str">
        <f t="shared" si="154"/>
        <v>Same Day</v>
      </c>
      <c r="AE324" t="str">
        <f t="shared" si="170"/>
        <v>OK</v>
      </c>
      <c r="AF324">
        <v>1</v>
      </c>
      <c r="AG324">
        <v>1374.06</v>
      </c>
      <c r="AH324">
        <v>0.05</v>
      </c>
      <c r="AI324">
        <f t="shared" si="171"/>
        <v>0.05</v>
      </c>
      <c r="AJ324" t="str">
        <f t="shared" si="172"/>
        <v>OK</v>
      </c>
      <c r="AK324">
        <v>1305.3599999999999</v>
      </c>
      <c r="AL324">
        <v>731.89</v>
      </c>
      <c r="AM324">
        <v>573.47</v>
      </c>
      <c r="AN324" t="s">
        <v>33</v>
      </c>
      <c r="AO324" t="str">
        <f t="shared" si="164"/>
        <v>PAID</v>
      </c>
      <c r="AP324" t="str">
        <f t="shared" si="173"/>
        <v>OK</v>
      </c>
      <c r="AQ324" t="s">
        <v>34</v>
      </c>
      <c r="AR324" t="str">
        <f t="shared" si="165"/>
        <v>COMPLETED</v>
      </c>
      <c r="AS324" t="str">
        <f t="shared" si="174"/>
        <v>OK</v>
      </c>
      <c r="AT324">
        <f t="shared" si="175"/>
        <v>1305.357</v>
      </c>
      <c r="AU324">
        <f t="shared" si="176"/>
        <v>573.46699999999998</v>
      </c>
      <c r="AV324" s="6">
        <f t="shared" si="177"/>
        <v>5.9112717823553247</v>
      </c>
      <c r="AW324" t="str">
        <f t="shared" si="178"/>
        <v>CLEAN</v>
      </c>
      <c r="AX324" s="10" t="str">
        <f t="shared" si="179"/>
        <v>MATCH</v>
      </c>
      <c r="AY324" t="str">
        <f t="shared" si="180"/>
        <v>MATCH</v>
      </c>
    </row>
    <row r="325" spans="1:51">
      <c r="A325" t="s">
        <v>2726</v>
      </c>
      <c r="B325">
        <f t="shared" si="156"/>
        <v>1</v>
      </c>
      <c r="C325" t="s">
        <v>1718</v>
      </c>
      <c r="D325" s="2">
        <v>45312</v>
      </c>
      <c r="E325" t="str">
        <f t="shared" si="157"/>
        <v>2024/01/21</v>
      </c>
      <c r="F325" t="str">
        <f t="shared" si="166"/>
        <v>January</v>
      </c>
      <c r="G325">
        <f t="shared" si="167"/>
        <v>2024</v>
      </c>
      <c r="H325" t="s">
        <v>2727</v>
      </c>
      <c r="I325" s="4">
        <v>45315</v>
      </c>
      <c r="J325" s="8">
        <f t="shared" si="158"/>
        <v>3</v>
      </c>
      <c r="K325" s="8" t="str">
        <f t="shared" si="168"/>
        <v>OK</v>
      </c>
      <c r="L325" t="s">
        <v>2728</v>
      </c>
      <c r="M325" t="s">
        <v>365</v>
      </c>
      <c r="N325" t="str">
        <f t="shared" si="159"/>
        <v>Kabir Singh</v>
      </c>
      <c r="O325" t="s">
        <v>107</v>
      </c>
      <c r="P325" t="str">
        <f t="shared" si="151"/>
        <v>Corporate</v>
      </c>
      <c r="Q325" t="s">
        <v>26</v>
      </c>
      <c r="R325" t="str">
        <f t="shared" si="155"/>
        <v>North</v>
      </c>
      <c r="S325" t="str">
        <f t="shared" si="169"/>
        <v>OK</v>
      </c>
      <c r="T325" t="s">
        <v>153</v>
      </c>
      <c r="U325" t="str">
        <f t="shared" si="160"/>
        <v>Punjab</v>
      </c>
      <c r="V325" t="s">
        <v>154</v>
      </c>
      <c r="W325" t="str">
        <f t="shared" si="161"/>
        <v>Ludhiana</v>
      </c>
      <c r="X325" t="str">
        <f t="shared" si="162"/>
        <v>Technology</v>
      </c>
      <c r="Y325" t="s">
        <v>85</v>
      </c>
      <c r="Z325" t="s">
        <v>381</v>
      </c>
      <c r="AA325" t="str">
        <f t="shared" si="163"/>
        <v>Machines</v>
      </c>
      <c r="AB325" t="s">
        <v>2729</v>
      </c>
      <c r="AC325" t="s">
        <v>47</v>
      </c>
      <c r="AD325" t="str">
        <f t="shared" si="154"/>
        <v>Same Day</v>
      </c>
      <c r="AE325" t="str">
        <f t="shared" si="170"/>
        <v>OK</v>
      </c>
      <c r="AF325">
        <v>1</v>
      </c>
      <c r="AG325">
        <v>3806.3</v>
      </c>
      <c r="AH325">
        <v>0.25</v>
      </c>
      <c r="AI325">
        <f t="shared" si="171"/>
        <v>0.25</v>
      </c>
      <c r="AJ325" t="str">
        <f t="shared" si="172"/>
        <v>OK</v>
      </c>
      <c r="AK325">
        <v>2854.73</v>
      </c>
      <c r="AL325">
        <v>1968.12</v>
      </c>
      <c r="AM325">
        <v>886.61</v>
      </c>
      <c r="AN325" t="s">
        <v>33</v>
      </c>
      <c r="AO325" t="str">
        <f t="shared" si="164"/>
        <v>PAID</v>
      </c>
      <c r="AP325" t="str">
        <f t="shared" si="173"/>
        <v>OK</v>
      </c>
      <c r="AQ325" t="s">
        <v>34</v>
      </c>
      <c r="AR325" t="str">
        <f t="shared" si="165"/>
        <v>COMPLETED</v>
      </c>
      <c r="AS325" t="str">
        <f t="shared" si="174"/>
        <v>OK</v>
      </c>
      <c r="AT325">
        <f t="shared" si="175"/>
        <v>2854.7250000000004</v>
      </c>
      <c r="AU325">
        <f t="shared" si="176"/>
        <v>886.60500000000047</v>
      </c>
      <c r="AV325" s="6">
        <f t="shared" si="177"/>
        <v>0.35530392594733284</v>
      </c>
      <c r="AW325" t="str">
        <f t="shared" si="178"/>
        <v>CLEAN</v>
      </c>
      <c r="AX325" s="10" t="str">
        <f t="shared" si="179"/>
        <v>MATCH</v>
      </c>
      <c r="AY325" t="str">
        <f t="shared" si="180"/>
        <v>MATCH</v>
      </c>
    </row>
    <row r="326" spans="1:51">
      <c r="A326" t="s">
        <v>2742</v>
      </c>
      <c r="B326">
        <f t="shared" si="156"/>
        <v>1</v>
      </c>
      <c r="C326" t="s">
        <v>2743</v>
      </c>
      <c r="D326" s="3">
        <v>45323</v>
      </c>
      <c r="E326" t="str">
        <f t="shared" si="157"/>
        <v>2024/02/01</v>
      </c>
      <c r="F326" t="str">
        <f t="shared" si="166"/>
        <v>February</v>
      </c>
      <c r="G326">
        <f t="shared" si="167"/>
        <v>2024</v>
      </c>
      <c r="H326" t="s">
        <v>2744</v>
      </c>
      <c r="I326" s="4">
        <v>45536</v>
      </c>
      <c r="J326" s="8">
        <f t="shared" si="158"/>
        <v>213</v>
      </c>
      <c r="K326" s="8" t="str">
        <f t="shared" si="168"/>
        <v>OK</v>
      </c>
      <c r="L326" t="s">
        <v>2745</v>
      </c>
      <c r="M326" t="s">
        <v>209</v>
      </c>
      <c r="N326" t="str">
        <f t="shared" si="159"/>
        <v>Diya Patel</v>
      </c>
      <c r="O326" t="s">
        <v>107</v>
      </c>
      <c r="P326" t="str">
        <f t="shared" si="151"/>
        <v>Corporate</v>
      </c>
      <c r="Q326" t="s">
        <v>26</v>
      </c>
      <c r="R326" t="str">
        <f t="shared" si="155"/>
        <v>North</v>
      </c>
      <c r="S326" t="str">
        <f t="shared" si="169"/>
        <v>OK</v>
      </c>
      <c r="T326" t="s">
        <v>505</v>
      </c>
      <c r="U326" t="str">
        <f t="shared" si="160"/>
        <v>Delhi</v>
      </c>
      <c r="V326" t="s">
        <v>506</v>
      </c>
      <c r="W326" t="str">
        <f t="shared" si="161"/>
        <v>New Delhi</v>
      </c>
      <c r="X326" t="str">
        <f t="shared" si="162"/>
        <v>Technology</v>
      </c>
      <c r="Y326" t="s">
        <v>85</v>
      </c>
      <c r="Z326" t="s">
        <v>222</v>
      </c>
      <c r="AA326" t="str">
        <f t="shared" si="163"/>
        <v>Phones</v>
      </c>
      <c r="AB326" t="s">
        <v>2746</v>
      </c>
      <c r="AC326" t="s">
        <v>66</v>
      </c>
      <c r="AD326" t="str">
        <f t="shared" si="154"/>
        <v>Standard Class</v>
      </c>
      <c r="AE326" t="str">
        <f t="shared" si="170"/>
        <v>OK</v>
      </c>
      <c r="AF326">
        <v>3</v>
      </c>
      <c r="AG326">
        <v>739.56</v>
      </c>
      <c r="AH326">
        <v>0.2</v>
      </c>
      <c r="AI326">
        <f t="shared" si="171"/>
        <v>0.2</v>
      </c>
      <c r="AJ326" t="str">
        <f t="shared" si="172"/>
        <v>OK</v>
      </c>
      <c r="AK326">
        <v>1774.94</v>
      </c>
      <c r="AL326">
        <v>1007.4</v>
      </c>
      <c r="AM326">
        <v>767.54</v>
      </c>
      <c r="AN326" t="s">
        <v>33</v>
      </c>
      <c r="AO326" t="str">
        <f t="shared" si="164"/>
        <v>PAID</v>
      </c>
      <c r="AP326" t="str">
        <f t="shared" si="173"/>
        <v>OK</v>
      </c>
      <c r="AQ326" t="s">
        <v>34</v>
      </c>
      <c r="AR326" t="str">
        <f t="shared" si="165"/>
        <v>COMPLETED</v>
      </c>
      <c r="AS326" t="str">
        <f t="shared" si="174"/>
        <v>OK</v>
      </c>
      <c r="AT326">
        <f t="shared" si="175"/>
        <v>1774.944</v>
      </c>
      <c r="AU326">
        <f t="shared" si="176"/>
        <v>767.54399999999998</v>
      </c>
      <c r="AV326" s="6">
        <f t="shared" si="177"/>
        <v>4.516404461211172</v>
      </c>
      <c r="AW326" t="str">
        <f t="shared" si="178"/>
        <v>CLEAN</v>
      </c>
      <c r="AX326" s="10" t="str">
        <f t="shared" si="179"/>
        <v>MATCH</v>
      </c>
      <c r="AY326" t="str">
        <f t="shared" si="180"/>
        <v>MATCH</v>
      </c>
    </row>
    <row r="327" spans="1:51">
      <c r="A327" t="s">
        <v>2752</v>
      </c>
      <c r="B327">
        <f t="shared" si="156"/>
        <v>1</v>
      </c>
      <c r="C327" t="s">
        <v>2753</v>
      </c>
      <c r="D327" s="2">
        <v>45342</v>
      </c>
      <c r="E327" t="str">
        <f t="shared" si="157"/>
        <v>2024/02/20</v>
      </c>
      <c r="F327" t="str">
        <f t="shared" si="166"/>
        <v>February</v>
      </c>
      <c r="G327">
        <f t="shared" si="167"/>
        <v>2024</v>
      </c>
      <c r="H327" t="s">
        <v>1644</v>
      </c>
      <c r="I327" s="4">
        <v>45347</v>
      </c>
      <c r="J327" s="8">
        <f t="shared" si="158"/>
        <v>5</v>
      </c>
      <c r="K327" s="8" t="str">
        <f t="shared" si="168"/>
        <v>OK</v>
      </c>
      <c r="L327" t="s">
        <v>1225</v>
      </c>
      <c r="M327" t="s">
        <v>209</v>
      </c>
      <c r="N327" t="str">
        <f t="shared" si="159"/>
        <v>Diya Patel</v>
      </c>
      <c r="O327" t="s">
        <v>114</v>
      </c>
      <c r="P327" t="str">
        <f t="shared" si="151"/>
        <v>Home Office</v>
      </c>
      <c r="Q327" t="s">
        <v>26</v>
      </c>
      <c r="R327" t="str">
        <f t="shared" si="155"/>
        <v>North</v>
      </c>
      <c r="S327" t="str">
        <f t="shared" si="169"/>
        <v>OK</v>
      </c>
      <c r="T327" t="s">
        <v>153</v>
      </c>
      <c r="U327" t="str">
        <f t="shared" si="160"/>
        <v>Punjab</v>
      </c>
      <c r="V327" t="s">
        <v>154</v>
      </c>
      <c r="W327" t="str">
        <f t="shared" si="161"/>
        <v>Ludhiana</v>
      </c>
      <c r="X327" t="str">
        <f t="shared" si="162"/>
        <v>Technology</v>
      </c>
      <c r="Y327" t="s">
        <v>85</v>
      </c>
      <c r="Z327" t="s">
        <v>381</v>
      </c>
      <c r="AA327" t="str">
        <f t="shared" si="163"/>
        <v>Machines</v>
      </c>
      <c r="AB327" t="s">
        <v>2754</v>
      </c>
      <c r="AC327" t="s">
        <v>66</v>
      </c>
      <c r="AD327" t="str">
        <f t="shared" si="154"/>
        <v>Standard Class</v>
      </c>
      <c r="AE327" t="str">
        <f t="shared" si="170"/>
        <v>OK</v>
      </c>
      <c r="AF327">
        <v>4</v>
      </c>
      <c r="AG327">
        <v>1355.8</v>
      </c>
      <c r="AH327">
        <v>0</v>
      </c>
      <c r="AI327">
        <f t="shared" si="171"/>
        <v>0</v>
      </c>
      <c r="AJ327" t="str">
        <f t="shared" si="172"/>
        <v>OK</v>
      </c>
      <c r="AK327">
        <v>5423.2</v>
      </c>
      <c r="AL327">
        <v>4072.44</v>
      </c>
      <c r="AM327">
        <v>1350.76</v>
      </c>
      <c r="AN327" t="s">
        <v>33</v>
      </c>
      <c r="AO327" t="str">
        <f t="shared" si="164"/>
        <v>PAID</v>
      </c>
      <c r="AP327" t="str">
        <f t="shared" si="173"/>
        <v>OK</v>
      </c>
      <c r="AQ327" t="s">
        <v>34</v>
      </c>
      <c r="AR327" t="str">
        <f t="shared" si="165"/>
        <v>COMPLETED</v>
      </c>
      <c r="AS327" t="str">
        <f t="shared" si="174"/>
        <v>OK</v>
      </c>
      <c r="AT327">
        <f t="shared" si="175"/>
        <v>5423.2</v>
      </c>
      <c r="AU327">
        <f t="shared" si="176"/>
        <v>1350.7599999999998</v>
      </c>
      <c r="AV327" s="6">
        <f t="shared" si="177"/>
        <v>0.6875719132615431</v>
      </c>
      <c r="AW327" t="str">
        <f t="shared" si="178"/>
        <v>CLEAN</v>
      </c>
      <c r="AX327" s="10" t="str">
        <f t="shared" si="179"/>
        <v>MATCH</v>
      </c>
      <c r="AY327" t="str">
        <f t="shared" si="180"/>
        <v>MATCH</v>
      </c>
    </row>
    <row r="328" spans="1:51">
      <c r="A328" t="s">
        <v>2760</v>
      </c>
      <c r="B328">
        <f t="shared" si="156"/>
        <v>1</v>
      </c>
      <c r="C328" t="s">
        <v>2761</v>
      </c>
      <c r="D328" s="3">
        <v>45339</v>
      </c>
      <c r="E328" t="str">
        <f t="shared" si="157"/>
        <v>2024/02/17</v>
      </c>
      <c r="F328" t="str">
        <f t="shared" si="166"/>
        <v>February</v>
      </c>
      <c r="G328">
        <f t="shared" si="167"/>
        <v>2024</v>
      </c>
      <c r="H328" t="s">
        <v>2762</v>
      </c>
      <c r="I328" s="4">
        <v>45345</v>
      </c>
      <c r="J328" s="8">
        <f t="shared" si="158"/>
        <v>6</v>
      </c>
      <c r="K328" s="8" t="str">
        <f t="shared" si="168"/>
        <v>OK</v>
      </c>
      <c r="L328" t="s">
        <v>2763</v>
      </c>
      <c r="M328" t="s">
        <v>179</v>
      </c>
      <c r="N328" t="str">
        <f t="shared" si="159"/>
        <v>Rohan Mehta</v>
      </c>
      <c r="O328" t="s">
        <v>114</v>
      </c>
      <c r="P328" t="str">
        <f t="shared" si="151"/>
        <v>Home Office</v>
      </c>
      <c r="R328" t="s">
        <v>4109</v>
      </c>
      <c r="S328" t="str">
        <f t="shared" si="169"/>
        <v>MISSING_REGION</v>
      </c>
      <c r="T328" t="s">
        <v>185</v>
      </c>
      <c r="U328" t="str">
        <f t="shared" si="160"/>
        <v>Bihar</v>
      </c>
      <c r="V328" t="s">
        <v>186</v>
      </c>
      <c r="W328" t="str">
        <f t="shared" si="161"/>
        <v>Patna</v>
      </c>
      <c r="X328" t="str">
        <f t="shared" si="162"/>
        <v>Office Supplies</v>
      </c>
      <c r="Y328" t="s">
        <v>29</v>
      </c>
      <c r="Z328" t="s">
        <v>197</v>
      </c>
      <c r="AA328" t="str">
        <f t="shared" si="163"/>
        <v>Binders</v>
      </c>
      <c r="AB328" t="s">
        <v>2764</v>
      </c>
      <c r="AC328" t="s">
        <v>66</v>
      </c>
      <c r="AD328" t="str">
        <f t="shared" si="154"/>
        <v>Standard Class</v>
      </c>
      <c r="AE328" t="str">
        <f t="shared" si="170"/>
        <v>OK</v>
      </c>
      <c r="AF328">
        <v>9</v>
      </c>
      <c r="AG328">
        <v>2614.46</v>
      </c>
      <c r="AH328">
        <v>0</v>
      </c>
      <c r="AI328">
        <f t="shared" si="171"/>
        <v>0</v>
      </c>
      <c r="AJ328" t="str">
        <f t="shared" si="172"/>
        <v>OK</v>
      </c>
      <c r="AK328">
        <v>23530.14</v>
      </c>
      <c r="AL328">
        <v>19537.79</v>
      </c>
      <c r="AM328">
        <v>3992.35</v>
      </c>
      <c r="AN328" t="s">
        <v>123</v>
      </c>
      <c r="AO328" t="str">
        <f t="shared" si="164"/>
        <v>REFUNDED</v>
      </c>
      <c r="AP328" t="str">
        <f t="shared" si="173"/>
        <v>REFUNDED_PAYMENT</v>
      </c>
      <c r="AQ328" t="s">
        <v>124</v>
      </c>
      <c r="AR328" t="str">
        <f t="shared" si="165"/>
        <v>RETURNED</v>
      </c>
      <c r="AS328" t="str">
        <f t="shared" si="174"/>
        <v>RETURNED_ORDER</v>
      </c>
      <c r="AT328">
        <f t="shared" si="175"/>
        <v>23530.14</v>
      </c>
      <c r="AU328">
        <f t="shared" si="176"/>
        <v>3992.3499999999985</v>
      </c>
      <c r="AV328" s="6">
        <f t="shared" si="177"/>
        <v>5.6187256004426665E-2</v>
      </c>
      <c r="AW328" t="str">
        <f t="shared" si="178"/>
        <v>WARNING</v>
      </c>
      <c r="AX328" s="10" t="str">
        <f t="shared" si="179"/>
        <v>MATCH</v>
      </c>
      <c r="AY328" t="str">
        <f t="shared" si="180"/>
        <v>MATCH</v>
      </c>
    </row>
    <row r="329" spans="1:51">
      <c r="A329" t="s">
        <v>2769</v>
      </c>
      <c r="B329">
        <f t="shared" si="156"/>
        <v>1</v>
      </c>
      <c r="C329" t="s">
        <v>2770</v>
      </c>
      <c r="D329" s="3">
        <v>45343</v>
      </c>
      <c r="E329" t="str">
        <f t="shared" si="157"/>
        <v>2024/02/21</v>
      </c>
      <c r="F329" t="str">
        <f t="shared" si="166"/>
        <v>February</v>
      </c>
      <c r="G329">
        <f t="shared" si="167"/>
        <v>2024</v>
      </c>
      <c r="H329" t="s">
        <v>2771</v>
      </c>
      <c r="I329" s="4">
        <v>45345</v>
      </c>
      <c r="J329" s="8">
        <f t="shared" si="158"/>
        <v>2</v>
      </c>
      <c r="K329" s="8" t="str">
        <f t="shared" si="168"/>
        <v>OK</v>
      </c>
      <c r="L329" t="s">
        <v>416</v>
      </c>
      <c r="M329" t="s">
        <v>92</v>
      </c>
      <c r="N329" t="str">
        <f t="shared" si="159"/>
        <v>Neha Gupta</v>
      </c>
      <c r="O329" t="s">
        <v>40</v>
      </c>
      <c r="P329" t="str">
        <f t="shared" ref="P329:P392" si="181">PROPER(TRIM(SUBSTITUTE(O329,CHAR(160)," ")))</f>
        <v>Small Business</v>
      </c>
      <c r="Q329" t="s">
        <v>72</v>
      </c>
      <c r="R329" t="str">
        <f t="shared" ref="R329:R360" si="182">PROPER(TRIM(SUBSTITUTE(Q329,CHAR(160)," ")))</f>
        <v>West</v>
      </c>
      <c r="S329" t="str">
        <f t="shared" si="169"/>
        <v>OK</v>
      </c>
      <c r="T329" t="s">
        <v>234</v>
      </c>
      <c r="U329" t="str">
        <f t="shared" si="160"/>
        <v>Gujarat</v>
      </c>
      <c r="V329" t="s">
        <v>235</v>
      </c>
      <c r="W329" t="str">
        <f t="shared" si="161"/>
        <v>Ahmedabad</v>
      </c>
      <c r="X329" t="str">
        <f t="shared" si="162"/>
        <v>Technology</v>
      </c>
      <c r="Y329" t="s">
        <v>85</v>
      </c>
      <c r="Z329" t="s">
        <v>93</v>
      </c>
      <c r="AA329" t="str">
        <f t="shared" si="163"/>
        <v>Copiers</v>
      </c>
      <c r="AB329" t="s">
        <v>2772</v>
      </c>
      <c r="AC329" t="s">
        <v>55</v>
      </c>
      <c r="AD329" t="str">
        <f t="shared" si="154"/>
        <v>First Class</v>
      </c>
      <c r="AE329" t="str">
        <f t="shared" si="170"/>
        <v>OK</v>
      </c>
      <c r="AF329">
        <v>6</v>
      </c>
      <c r="AG329">
        <v>2633.65</v>
      </c>
      <c r="AH329">
        <v>0.05</v>
      </c>
      <c r="AI329">
        <f t="shared" si="171"/>
        <v>0.05</v>
      </c>
      <c r="AJ329" t="str">
        <f t="shared" si="172"/>
        <v>OK</v>
      </c>
      <c r="AK329">
        <v>15011.81</v>
      </c>
      <c r="AL329">
        <v>9660.36</v>
      </c>
      <c r="AM329">
        <v>5351.45</v>
      </c>
      <c r="AN329" t="s">
        <v>33</v>
      </c>
      <c r="AO329" t="str">
        <f t="shared" si="164"/>
        <v>PAID</v>
      </c>
      <c r="AP329" t="str">
        <f t="shared" si="173"/>
        <v>OK</v>
      </c>
      <c r="AQ329" t="s">
        <v>34</v>
      </c>
      <c r="AR329" t="str">
        <f t="shared" si="165"/>
        <v>COMPLETED</v>
      </c>
      <c r="AS329" t="str">
        <f t="shared" si="174"/>
        <v>OK</v>
      </c>
      <c r="AT329">
        <f t="shared" si="175"/>
        <v>15011.805</v>
      </c>
      <c r="AU329">
        <f t="shared" si="176"/>
        <v>5351.4449999999997</v>
      </c>
      <c r="AV329" s="6">
        <f t="shared" si="177"/>
        <v>0.46643691414856525</v>
      </c>
      <c r="AW329" t="str">
        <f t="shared" si="178"/>
        <v>CLEAN</v>
      </c>
      <c r="AX329" s="10" t="str">
        <f t="shared" si="179"/>
        <v>MATCH</v>
      </c>
      <c r="AY329" t="str">
        <f t="shared" si="180"/>
        <v>MATCH</v>
      </c>
    </row>
    <row r="330" spans="1:51">
      <c r="A330" t="s">
        <v>2773</v>
      </c>
      <c r="B330">
        <f t="shared" si="156"/>
        <v>1</v>
      </c>
      <c r="C330" t="s">
        <v>2774</v>
      </c>
      <c r="D330" s="3">
        <v>45462</v>
      </c>
      <c r="E330" t="str">
        <f t="shared" si="157"/>
        <v>2024/06/19</v>
      </c>
      <c r="F330" t="str">
        <f t="shared" si="166"/>
        <v>June</v>
      </c>
      <c r="G330">
        <f t="shared" si="167"/>
        <v>2024</v>
      </c>
      <c r="H330" t="s">
        <v>2775</v>
      </c>
      <c r="I330" s="4">
        <v>45467</v>
      </c>
      <c r="J330" s="8">
        <f t="shared" si="158"/>
        <v>5</v>
      </c>
      <c r="K330" s="8" t="str">
        <f t="shared" si="168"/>
        <v>OK</v>
      </c>
      <c r="L330" t="s">
        <v>2776</v>
      </c>
      <c r="M330" t="s">
        <v>161</v>
      </c>
      <c r="N330" t="str">
        <f t="shared" si="159"/>
        <v>Aarav Sharma</v>
      </c>
      <c r="O330" t="s">
        <v>40</v>
      </c>
      <c r="P330" t="str">
        <f t="shared" si="181"/>
        <v>Small Business</v>
      </c>
      <c r="Q330" t="s">
        <v>61</v>
      </c>
      <c r="R330" t="str">
        <f t="shared" si="182"/>
        <v>South</v>
      </c>
      <c r="S330" t="str">
        <f t="shared" si="169"/>
        <v>OK</v>
      </c>
      <c r="T330" t="s">
        <v>338</v>
      </c>
      <c r="U330" t="str">
        <f t="shared" si="160"/>
        <v>Tamil Nadu</v>
      </c>
      <c r="V330" t="s">
        <v>339</v>
      </c>
      <c r="W330" t="str">
        <f t="shared" si="161"/>
        <v>Chennai</v>
      </c>
      <c r="X330" t="str">
        <f t="shared" si="162"/>
        <v>Office Supplies</v>
      </c>
      <c r="Y330" t="s">
        <v>29</v>
      </c>
      <c r="Z330" t="s">
        <v>155</v>
      </c>
      <c r="AA330" t="str">
        <f t="shared" si="163"/>
        <v>Storage</v>
      </c>
      <c r="AB330" t="s">
        <v>2777</v>
      </c>
      <c r="AC330" t="s">
        <v>47</v>
      </c>
      <c r="AD330" t="str">
        <f t="shared" si="154"/>
        <v>Same Day</v>
      </c>
      <c r="AE330" t="str">
        <f t="shared" si="170"/>
        <v>OK</v>
      </c>
      <c r="AF330">
        <v>1</v>
      </c>
      <c r="AG330">
        <v>3202.41</v>
      </c>
      <c r="AH330">
        <v>0</v>
      </c>
      <c r="AI330">
        <f t="shared" si="171"/>
        <v>0</v>
      </c>
      <c r="AJ330" t="str">
        <f t="shared" si="172"/>
        <v>OK</v>
      </c>
      <c r="AK330">
        <v>3202.41</v>
      </c>
      <c r="AL330">
        <v>2608.44</v>
      </c>
      <c r="AM330">
        <v>593.97</v>
      </c>
      <c r="AN330" t="s">
        <v>33</v>
      </c>
      <c r="AO330" t="str">
        <f t="shared" si="164"/>
        <v>PAID</v>
      </c>
      <c r="AP330" t="str">
        <f t="shared" si="173"/>
        <v>OK</v>
      </c>
      <c r="AQ330" t="s">
        <v>34</v>
      </c>
      <c r="AR330" t="str">
        <f t="shared" si="165"/>
        <v>COMPLETED</v>
      </c>
      <c r="AS330" t="str">
        <f t="shared" si="174"/>
        <v>OK</v>
      </c>
      <c r="AT330">
        <f t="shared" si="175"/>
        <v>3202.41</v>
      </c>
      <c r="AU330">
        <f t="shared" si="176"/>
        <v>593.9699999999998</v>
      </c>
      <c r="AV330" s="6">
        <f t="shared" si="177"/>
        <v>1.3509638053840702</v>
      </c>
      <c r="AW330" t="str">
        <f t="shared" si="178"/>
        <v>CLEAN</v>
      </c>
      <c r="AX330" s="10" t="str">
        <f t="shared" si="179"/>
        <v>MATCH</v>
      </c>
      <c r="AY330" t="str">
        <f t="shared" si="180"/>
        <v>MATCH</v>
      </c>
    </row>
    <row r="331" spans="1:51">
      <c r="A331" t="s">
        <v>2786</v>
      </c>
      <c r="B331">
        <f t="shared" si="156"/>
        <v>1</v>
      </c>
      <c r="C331" t="s">
        <v>2787</v>
      </c>
      <c r="D331" s="3">
        <v>45580</v>
      </c>
      <c r="E331" t="str">
        <f t="shared" si="157"/>
        <v>2024/10/15</v>
      </c>
      <c r="F331" t="str">
        <f t="shared" si="166"/>
        <v>October</v>
      </c>
      <c r="G331">
        <f t="shared" si="167"/>
        <v>2024</v>
      </c>
      <c r="H331" t="s">
        <v>2788</v>
      </c>
      <c r="I331" s="4">
        <v>45585</v>
      </c>
      <c r="J331" s="8">
        <f t="shared" si="158"/>
        <v>5</v>
      </c>
      <c r="K331" s="8" t="str">
        <f t="shared" si="168"/>
        <v>OK</v>
      </c>
      <c r="L331" t="s">
        <v>2789</v>
      </c>
      <c r="M331" t="s">
        <v>71</v>
      </c>
      <c r="N331" t="str">
        <f t="shared" si="159"/>
        <v>Ananya Rao</v>
      </c>
      <c r="O331" t="s">
        <v>25</v>
      </c>
      <c r="P331" t="str">
        <f t="shared" si="181"/>
        <v>Consumer</v>
      </c>
      <c r="Q331" t="s">
        <v>41</v>
      </c>
      <c r="R331" t="str">
        <f t="shared" si="182"/>
        <v>East</v>
      </c>
      <c r="S331" t="str">
        <f t="shared" si="169"/>
        <v>OK</v>
      </c>
      <c r="T331" t="s">
        <v>42</v>
      </c>
      <c r="U331" t="str">
        <f t="shared" si="160"/>
        <v>Odisha</v>
      </c>
      <c r="V331" t="s">
        <v>43</v>
      </c>
      <c r="W331" t="str">
        <f t="shared" si="161"/>
        <v>Bhubaneswar</v>
      </c>
      <c r="X331" t="str">
        <f t="shared" si="162"/>
        <v>Office Supplies</v>
      </c>
      <c r="Y331" t="s">
        <v>29</v>
      </c>
      <c r="Z331" t="s">
        <v>53</v>
      </c>
      <c r="AA331" t="str">
        <f t="shared" si="163"/>
        <v>Art</v>
      </c>
      <c r="AB331" t="s">
        <v>2790</v>
      </c>
      <c r="AC331" t="s">
        <v>55</v>
      </c>
      <c r="AD331" t="str">
        <f t="shared" si="154"/>
        <v>First Class</v>
      </c>
      <c r="AE331" t="str">
        <f t="shared" si="170"/>
        <v>OK</v>
      </c>
      <c r="AF331">
        <v>5</v>
      </c>
      <c r="AG331">
        <v>671.24</v>
      </c>
      <c r="AH331">
        <v>0</v>
      </c>
      <c r="AI331">
        <f t="shared" si="171"/>
        <v>0</v>
      </c>
      <c r="AJ331" t="str">
        <f t="shared" si="172"/>
        <v>OK</v>
      </c>
      <c r="AK331">
        <v>3356.2</v>
      </c>
      <c r="AL331">
        <v>2205.7199999999998</v>
      </c>
      <c r="AM331">
        <v>1150.48</v>
      </c>
      <c r="AN331" t="s">
        <v>136</v>
      </c>
      <c r="AO331" t="str">
        <f t="shared" si="164"/>
        <v>PENDING</v>
      </c>
      <c r="AP331" t="str">
        <f t="shared" si="173"/>
        <v>OK</v>
      </c>
      <c r="AQ331" t="s">
        <v>124</v>
      </c>
      <c r="AR331" t="str">
        <f t="shared" si="165"/>
        <v>RETURNED</v>
      </c>
      <c r="AS331" t="str">
        <f t="shared" si="174"/>
        <v>RETURNED_ORDER</v>
      </c>
      <c r="AT331">
        <f t="shared" si="175"/>
        <v>3356.2</v>
      </c>
      <c r="AU331">
        <f t="shared" si="176"/>
        <v>1150.48</v>
      </c>
      <c r="AV331" s="6">
        <f t="shared" si="177"/>
        <v>0.62047628270067312</v>
      </c>
      <c r="AW331" t="str">
        <f t="shared" si="178"/>
        <v>CLEAN</v>
      </c>
      <c r="AX331" s="10" t="str">
        <f t="shared" si="179"/>
        <v>MATCH</v>
      </c>
      <c r="AY331" t="str">
        <f t="shared" si="180"/>
        <v>MATCH</v>
      </c>
    </row>
    <row r="332" spans="1:51">
      <c r="A332" t="s">
        <v>2791</v>
      </c>
      <c r="B332">
        <f t="shared" si="156"/>
        <v>1</v>
      </c>
      <c r="C332" t="s">
        <v>625</v>
      </c>
      <c r="D332" s="2">
        <v>45350</v>
      </c>
      <c r="E332" t="str">
        <f t="shared" si="157"/>
        <v>2024/02/28</v>
      </c>
      <c r="F332" t="str">
        <f t="shared" si="166"/>
        <v>February</v>
      </c>
      <c r="G332">
        <f t="shared" si="167"/>
        <v>2024</v>
      </c>
      <c r="H332" t="s">
        <v>2792</v>
      </c>
      <c r="I332" s="4">
        <v>45350</v>
      </c>
      <c r="J332" s="8">
        <f t="shared" si="158"/>
        <v>0</v>
      </c>
      <c r="K332" s="8" t="str">
        <f t="shared" si="168"/>
        <v>OK</v>
      </c>
      <c r="L332" t="s">
        <v>2793</v>
      </c>
      <c r="M332" t="s">
        <v>179</v>
      </c>
      <c r="N332" t="str">
        <f t="shared" si="159"/>
        <v>Rohan Mehta</v>
      </c>
      <c r="O332" t="s">
        <v>40</v>
      </c>
      <c r="P332" t="str">
        <f t="shared" si="181"/>
        <v>Small Business</v>
      </c>
      <c r="Q332" t="s">
        <v>41</v>
      </c>
      <c r="R332" t="str">
        <f t="shared" si="182"/>
        <v>East</v>
      </c>
      <c r="S332" t="str">
        <f t="shared" si="169"/>
        <v>OK</v>
      </c>
      <c r="T332" t="s">
        <v>120</v>
      </c>
      <c r="U332" t="str">
        <f t="shared" si="160"/>
        <v>West Bengal</v>
      </c>
      <c r="V332" t="s">
        <v>121</v>
      </c>
      <c r="W332" t="str">
        <f t="shared" si="161"/>
        <v>Kolkata</v>
      </c>
      <c r="X332" t="str">
        <f t="shared" si="162"/>
        <v>Office Supplies</v>
      </c>
      <c r="Y332" t="s">
        <v>29</v>
      </c>
      <c r="Z332" t="s">
        <v>155</v>
      </c>
      <c r="AA332" t="str">
        <f t="shared" si="163"/>
        <v>Storage</v>
      </c>
      <c r="AB332" t="s">
        <v>2794</v>
      </c>
      <c r="AC332" t="s">
        <v>55</v>
      </c>
      <c r="AD332" t="str">
        <f t="shared" si="154"/>
        <v>First Class</v>
      </c>
      <c r="AE332" t="str">
        <f t="shared" si="170"/>
        <v>OK</v>
      </c>
      <c r="AF332">
        <v>1</v>
      </c>
      <c r="AG332">
        <v>2626.84</v>
      </c>
      <c r="AH332">
        <v>0.2</v>
      </c>
      <c r="AI332">
        <f t="shared" si="171"/>
        <v>0.2</v>
      </c>
      <c r="AJ332" t="str">
        <f t="shared" si="172"/>
        <v>OK</v>
      </c>
      <c r="AK332">
        <v>2101.4699999999998</v>
      </c>
      <c r="AL332">
        <v>1217.83</v>
      </c>
      <c r="AM332">
        <v>883.64</v>
      </c>
      <c r="AN332" t="s">
        <v>199</v>
      </c>
      <c r="AO332" t="str">
        <f t="shared" si="164"/>
        <v>FAILED</v>
      </c>
      <c r="AP332" t="str">
        <f t="shared" si="173"/>
        <v>EXCLUDE_FROM_SALES</v>
      </c>
      <c r="AQ332" t="s">
        <v>124</v>
      </c>
      <c r="AR332" t="str">
        <f t="shared" si="165"/>
        <v>RETURNED</v>
      </c>
      <c r="AS332" t="str">
        <f t="shared" si="174"/>
        <v>RETURNED_ORDER</v>
      </c>
      <c r="AT332">
        <f t="shared" si="175"/>
        <v>2101.4720000000002</v>
      </c>
      <c r="AU332">
        <f t="shared" si="176"/>
        <v>883.64200000000028</v>
      </c>
      <c r="AV332" s="6">
        <f t="shared" si="177"/>
        <v>0.23006159492013228</v>
      </c>
      <c r="AW332" t="str">
        <f t="shared" si="178"/>
        <v>CLEAN</v>
      </c>
      <c r="AX332" s="10" t="str">
        <f t="shared" si="179"/>
        <v>MATCH</v>
      </c>
      <c r="AY332" t="str">
        <f t="shared" si="180"/>
        <v>MATCH</v>
      </c>
    </row>
    <row r="333" spans="1:51">
      <c r="A333" t="s">
        <v>2795</v>
      </c>
      <c r="B333">
        <f t="shared" si="156"/>
        <v>1</v>
      </c>
      <c r="C333" t="s">
        <v>2796</v>
      </c>
      <c r="D333" s="3">
        <v>45390</v>
      </c>
      <c r="E333" t="str">
        <f t="shared" si="157"/>
        <v>2024/04/08</v>
      </c>
      <c r="F333" t="str">
        <f t="shared" si="166"/>
        <v>April</v>
      </c>
      <c r="G333">
        <f t="shared" si="167"/>
        <v>2024</v>
      </c>
      <c r="H333" t="s">
        <v>2797</v>
      </c>
      <c r="I333" s="4">
        <v>45573</v>
      </c>
      <c r="J333" s="8">
        <f t="shared" si="158"/>
        <v>183</v>
      </c>
      <c r="K333" s="8" t="str">
        <f t="shared" si="168"/>
        <v>OK</v>
      </c>
      <c r="L333" t="s">
        <v>2798</v>
      </c>
      <c r="M333" t="s">
        <v>82</v>
      </c>
      <c r="N333" t="str">
        <f t="shared" si="159"/>
        <v>Vikram Iyer</v>
      </c>
      <c r="O333" t="s">
        <v>25</v>
      </c>
      <c r="P333" t="str">
        <f t="shared" si="181"/>
        <v>Consumer</v>
      </c>
      <c r="Q333" t="s">
        <v>41</v>
      </c>
      <c r="R333" t="str">
        <f t="shared" si="182"/>
        <v>East</v>
      </c>
      <c r="S333" t="str">
        <f t="shared" si="169"/>
        <v>OK</v>
      </c>
      <c r="T333" t="s">
        <v>185</v>
      </c>
      <c r="U333" t="str">
        <f t="shared" si="160"/>
        <v>Bihar</v>
      </c>
      <c r="V333" t="s">
        <v>186</v>
      </c>
      <c r="W333" t="str">
        <f t="shared" si="161"/>
        <v>Patna</v>
      </c>
      <c r="X333" t="str">
        <f t="shared" si="162"/>
        <v>Office Supplies</v>
      </c>
      <c r="Y333" t="s">
        <v>29</v>
      </c>
      <c r="Z333" t="s">
        <v>53</v>
      </c>
      <c r="AA333" t="str">
        <f t="shared" si="163"/>
        <v>Art</v>
      </c>
      <c r="AB333" t="s">
        <v>2799</v>
      </c>
      <c r="AC333" t="s">
        <v>47</v>
      </c>
      <c r="AD333" t="str">
        <f t="shared" si="154"/>
        <v>Same Day</v>
      </c>
      <c r="AE333" t="str">
        <f t="shared" si="170"/>
        <v>OK</v>
      </c>
      <c r="AF333">
        <v>1</v>
      </c>
      <c r="AG333">
        <v>984.93</v>
      </c>
      <c r="AH333">
        <v>0.15</v>
      </c>
      <c r="AI333">
        <f t="shared" si="171"/>
        <v>0.15</v>
      </c>
      <c r="AJ333" t="str">
        <f t="shared" si="172"/>
        <v>OK</v>
      </c>
      <c r="AK333">
        <v>837.19</v>
      </c>
      <c r="AL333">
        <v>583.79</v>
      </c>
      <c r="AM333">
        <v>253.4</v>
      </c>
      <c r="AN333" t="s">
        <v>136</v>
      </c>
      <c r="AO333" t="str">
        <f t="shared" si="164"/>
        <v>PENDING</v>
      </c>
      <c r="AP333" t="str">
        <f t="shared" si="173"/>
        <v>OK</v>
      </c>
      <c r="AQ333" t="s">
        <v>124</v>
      </c>
      <c r="AR333" t="str">
        <f t="shared" si="165"/>
        <v>RETURNED</v>
      </c>
      <c r="AS333" t="str">
        <f t="shared" si="174"/>
        <v>RETURNED_ORDER</v>
      </c>
      <c r="AT333">
        <f t="shared" si="175"/>
        <v>837.19049999999993</v>
      </c>
      <c r="AU333">
        <f t="shared" si="176"/>
        <v>253.40049999999997</v>
      </c>
      <c r="AV333" s="6">
        <f t="shared" si="177"/>
        <v>1.9855457031583621</v>
      </c>
      <c r="AW333" t="str">
        <f t="shared" si="178"/>
        <v>CLEAN</v>
      </c>
      <c r="AX333" s="10" t="str">
        <f t="shared" si="179"/>
        <v>MATCH</v>
      </c>
      <c r="AY333" t="str">
        <f t="shared" si="180"/>
        <v>MATCH</v>
      </c>
    </row>
    <row r="334" spans="1:51">
      <c r="A334" t="s">
        <v>2819</v>
      </c>
      <c r="B334">
        <f t="shared" si="156"/>
        <v>1</v>
      </c>
      <c r="C334" t="s">
        <v>2820</v>
      </c>
      <c r="D334" s="2">
        <v>45455</v>
      </c>
      <c r="E334" t="str">
        <f t="shared" si="157"/>
        <v>2024/06/12</v>
      </c>
      <c r="F334" t="str">
        <f t="shared" si="166"/>
        <v>June</v>
      </c>
      <c r="G334">
        <f t="shared" si="167"/>
        <v>2024</v>
      </c>
      <c r="H334" t="s">
        <v>2821</v>
      </c>
      <c r="I334" s="4">
        <v>45638</v>
      </c>
      <c r="J334" s="8">
        <f t="shared" si="158"/>
        <v>183</v>
      </c>
      <c r="K334" s="8" t="str">
        <f t="shared" si="168"/>
        <v>OK</v>
      </c>
      <c r="L334" t="s">
        <v>2822</v>
      </c>
      <c r="M334" t="s">
        <v>179</v>
      </c>
      <c r="N334" t="str">
        <f t="shared" si="159"/>
        <v>Rohan Mehta</v>
      </c>
      <c r="O334" t="s">
        <v>107</v>
      </c>
      <c r="P334" t="str">
        <f t="shared" si="181"/>
        <v>Corporate</v>
      </c>
      <c r="Q334" t="s">
        <v>26</v>
      </c>
      <c r="R334" t="str">
        <f t="shared" si="182"/>
        <v>North</v>
      </c>
      <c r="S334" t="str">
        <f t="shared" si="169"/>
        <v>OK</v>
      </c>
      <c r="T334" t="s">
        <v>173</v>
      </c>
      <c r="U334" t="str">
        <f t="shared" si="160"/>
        <v>Uttar Pradesh</v>
      </c>
      <c r="V334" t="s">
        <v>174</v>
      </c>
      <c r="W334" t="str">
        <f t="shared" si="161"/>
        <v>Noida</v>
      </c>
      <c r="X334" t="str">
        <f t="shared" si="162"/>
        <v>Technology</v>
      </c>
      <c r="Y334" t="s">
        <v>85</v>
      </c>
      <c r="Z334" t="s">
        <v>222</v>
      </c>
      <c r="AA334" t="str">
        <f t="shared" si="163"/>
        <v>Phones</v>
      </c>
      <c r="AB334" t="s">
        <v>2823</v>
      </c>
      <c r="AC334" t="s">
        <v>55</v>
      </c>
      <c r="AD334" t="str">
        <f t="shared" si="154"/>
        <v>First Class</v>
      </c>
      <c r="AE334" t="str">
        <f t="shared" si="170"/>
        <v>OK</v>
      </c>
      <c r="AF334">
        <v>3</v>
      </c>
      <c r="AG334">
        <v>524.75</v>
      </c>
      <c r="AH334">
        <v>0</v>
      </c>
      <c r="AI334">
        <f t="shared" si="171"/>
        <v>0</v>
      </c>
      <c r="AJ334" t="str">
        <f t="shared" si="172"/>
        <v>OK</v>
      </c>
      <c r="AK334">
        <v>1574.25</v>
      </c>
      <c r="AL334">
        <v>1326.12</v>
      </c>
      <c r="AM334">
        <v>248.13</v>
      </c>
      <c r="AN334" t="s">
        <v>33</v>
      </c>
      <c r="AO334" t="str">
        <f t="shared" si="164"/>
        <v>PAID</v>
      </c>
      <c r="AP334" t="str">
        <f t="shared" si="173"/>
        <v>OK</v>
      </c>
      <c r="AQ334" t="s">
        <v>34</v>
      </c>
      <c r="AR334" t="str">
        <f t="shared" si="165"/>
        <v>COMPLETED</v>
      </c>
      <c r="AS334" t="str">
        <f t="shared" si="174"/>
        <v>OK</v>
      </c>
      <c r="AT334">
        <f t="shared" si="175"/>
        <v>1574.25</v>
      </c>
      <c r="AU334">
        <f t="shared" si="176"/>
        <v>248.13000000000011</v>
      </c>
      <c r="AV334" s="6">
        <f t="shared" si="177"/>
        <v>1.3632586946164837</v>
      </c>
      <c r="AW334" t="str">
        <f t="shared" si="178"/>
        <v>CLEAN</v>
      </c>
      <c r="AX334" s="10" t="str">
        <f t="shared" si="179"/>
        <v>MATCH</v>
      </c>
      <c r="AY334" t="str">
        <f t="shared" si="180"/>
        <v>MATCH</v>
      </c>
    </row>
    <row r="335" spans="1:51">
      <c r="A335" t="s">
        <v>2824</v>
      </c>
      <c r="B335">
        <f t="shared" si="156"/>
        <v>1</v>
      </c>
      <c r="C335" t="s">
        <v>272</v>
      </c>
      <c r="D335" s="3">
        <v>45441</v>
      </c>
      <c r="E335" t="str">
        <f t="shared" si="157"/>
        <v>2024/05/29</v>
      </c>
      <c r="F335" t="str">
        <f t="shared" si="166"/>
        <v>May</v>
      </c>
      <c r="G335">
        <f t="shared" si="167"/>
        <v>2024</v>
      </c>
      <c r="H335" t="s">
        <v>2825</v>
      </c>
      <c r="I335" s="4">
        <v>45441</v>
      </c>
      <c r="J335" s="8">
        <f t="shared" si="158"/>
        <v>0</v>
      </c>
      <c r="K335" s="8" t="str">
        <f t="shared" si="168"/>
        <v>OK</v>
      </c>
      <c r="L335" t="s">
        <v>2826</v>
      </c>
      <c r="M335" t="s">
        <v>161</v>
      </c>
      <c r="N335" t="str">
        <f t="shared" si="159"/>
        <v>Aarav Sharma</v>
      </c>
      <c r="O335" t="s">
        <v>114</v>
      </c>
      <c r="P335" t="str">
        <f t="shared" si="181"/>
        <v>Home Office</v>
      </c>
      <c r="Q335" t="s">
        <v>26</v>
      </c>
      <c r="R335" t="str">
        <f t="shared" si="182"/>
        <v>North</v>
      </c>
      <c r="S335" t="str">
        <f t="shared" si="169"/>
        <v>OK</v>
      </c>
      <c r="T335" t="s">
        <v>505</v>
      </c>
      <c r="U335" t="str">
        <f t="shared" si="160"/>
        <v>Delhi</v>
      </c>
      <c r="V335" t="s">
        <v>506</v>
      </c>
      <c r="W335" t="str">
        <f t="shared" si="161"/>
        <v>New Delhi</v>
      </c>
      <c r="X335" t="str">
        <f t="shared" si="162"/>
        <v>Furniture</v>
      </c>
      <c r="Y335" t="s">
        <v>44</v>
      </c>
      <c r="Z335" t="s">
        <v>75</v>
      </c>
      <c r="AA335" t="str">
        <f t="shared" si="163"/>
        <v>Chairs</v>
      </c>
      <c r="AB335" t="s">
        <v>2827</v>
      </c>
      <c r="AC335" t="s">
        <v>47</v>
      </c>
      <c r="AD335" t="str">
        <f t="shared" si="154"/>
        <v>Same Day</v>
      </c>
      <c r="AE335" t="str">
        <f t="shared" si="170"/>
        <v>OK</v>
      </c>
      <c r="AF335">
        <v>6</v>
      </c>
      <c r="AG335">
        <v>3430.35</v>
      </c>
      <c r="AH335">
        <v>0</v>
      </c>
      <c r="AI335">
        <f t="shared" si="171"/>
        <v>0</v>
      </c>
      <c r="AJ335" t="str">
        <f t="shared" si="172"/>
        <v>OK</v>
      </c>
      <c r="AK335">
        <v>20582.099999999999</v>
      </c>
      <c r="AL335">
        <v>15897.65</v>
      </c>
      <c r="AM335">
        <v>4684.45</v>
      </c>
      <c r="AN335" t="s">
        <v>136</v>
      </c>
      <c r="AO335" t="str">
        <f t="shared" si="164"/>
        <v>PENDING</v>
      </c>
      <c r="AP335" t="str">
        <f t="shared" si="173"/>
        <v>OK</v>
      </c>
      <c r="AQ335" t="s">
        <v>77</v>
      </c>
      <c r="AR335" t="str">
        <f t="shared" si="165"/>
        <v>CANCELLED</v>
      </c>
      <c r="AS335" t="str">
        <f t="shared" si="174"/>
        <v>EXCLUDE_FROM_SALES</v>
      </c>
      <c r="AT335">
        <f t="shared" si="175"/>
        <v>20582.099999999999</v>
      </c>
      <c r="AU335">
        <f t="shared" si="176"/>
        <v>4684.4499999999989</v>
      </c>
      <c r="AV335" s="6">
        <f t="shared" si="177"/>
        <v>0.13689681810893928</v>
      </c>
      <c r="AW335" t="str">
        <f t="shared" si="178"/>
        <v>CLEAN</v>
      </c>
      <c r="AX335" s="10" t="str">
        <f t="shared" si="179"/>
        <v>MATCH</v>
      </c>
      <c r="AY335" t="str">
        <f t="shared" si="180"/>
        <v>MATCH</v>
      </c>
    </row>
    <row r="336" spans="1:51">
      <c r="A336" t="s">
        <v>2828</v>
      </c>
      <c r="B336">
        <f t="shared" si="156"/>
        <v>1</v>
      </c>
      <c r="C336" t="s">
        <v>2829</v>
      </c>
      <c r="D336" s="3">
        <v>45344</v>
      </c>
      <c r="E336" t="str">
        <f t="shared" si="157"/>
        <v>2024/02/22</v>
      </c>
      <c r="F336" t="str">
        <f t="shared" si="166"/>
        <v>February</v>
      </c>
      <c r="G336">
        <f t="shared" si="167"/>
        <v>2024</v>
      </c>
      <c r="H336" t="s">
        <v>2830</v>
      </c>
      <c r="I336" s="4">
        <v>45346</v>
      </c>
      <c r="J336" s="8">
        <f t="shared" si="158"/>
        <v>2</v>
      </c>
      <c r="K336" s="8" t="str">
        <f t="shared" si="168"/>
        <v>OK</v>
      </c>
      <c r="L336" t="s">
        <v>2831</v>
      </c>
      <c r="M336" t="s">
        <v>167</v>
      </c>
      <c r="N336" t="str">
        <f t="shared" si="159"/>
        <v>Sneha Kapoor</v>
      </c>
      <c r="O336" t="s">
        <v>25</v>
      </c>
      <c r="P336" t="str">
        <f t="shared" si="181"/>
        <v>Consumer</v>
      </c>
      <c r="Q336" t="s">
        <v>61</v>
      </c>
      <c r="R336" t="str">
        <f t="shared" si="182"/>
        <v>South</v>
      </c>
      <c r="S336" t="str">
        <f t="shared" si="169"/>
        <v>OK</v>
      </c>
      <c r="T336" t="s">
        <v>228</v>
      </c>
      <c r="U336" t="str">
        <f t="shared" si="160"/>
        <v>Karnataka</v>
      </c>
      <c r="V336" t="s">
        <v>229</v>
      </c>
      <c r="W336" t="str">
        <f t="shared" si="161"/>
        <v>Bengaluru</v>
      </c>
      <c r="X336" t="str">
        <f t="shared" si="162"/>
        <v>Technology</v>
      </c>
      <c r="Y336" t="s">
        <v>85</v>
      </c>
      <c r="Z336" t="s">
        <v>93</v>
      </c>
      <c r="AA336" t="str">
        <f t="shared" si="163"/>
        <v>Copiers</v>
      </c>
      <c r="AB336" t="s">
        <v>2832</v>
      </c>
      <c r="AC336" t="s">
        <v>55</v>
      </c>
      <c r="AD336" t="str">
        <f t="shared" ref="AD336:AD367" si="183">PROPER(TRIM(SUBSTITUTE(AC336,CHAR(160)," ")))</f>
        <v>First Class</v>
      </c>
      <c r="AE336" t="str">
        <f t="shared" si="170"/>
        <v>OK</v>
      </c>
      <c r="AF336">
        <v>3</v>
      </c>
      <c r="AG336">
        <v>3545.08</v>
      </c>
      <c r="AH336">
        <v>0</v>
      </c>
      <c r="AI336">
        <f t="shared" si="171"/>
        <v>0</v>
      </c>
      <c r="AJ336" t="str">
        <f t="shared" si="172"/>
        <v>OK</v>
      </c>
      <c r="AK336">
        <v>10635.24</v>
      </c>
      <c r="AL336">
        <v>6031.88</v>
      </c>
      <c r="AM336">
        <v>4603.3599999999997</v>
      </c>
      <c r="AN336" t="s">
        <v>199</v>
      </c>
      <c r="AO336" t="str">
        <f t="shared" si="164"/>
        <v>FAILED</v>
      </c>
      <c r="AP336" t="str">
        <f t="shared" si="173"/>
        <v>EXCLUDE_FROM_SALES</v>
      </c>
      <c r="AQ336" t="s">
        <v>124</v>
      </c>
      <c r="AR336" t="str">
        <f t="shared" si="165"/>
        <v>RETURNED</v>
      </c>
      <c r="AS336" t="str">
        <f t="shared" si="174"/>
        <v>RETURNED_ORDER</v>
      </c>
      <c r="AT336">
        <f t="shared" si="175"/>
        <v>10635.24</v>
      </c>
      <c r="AU336">
        <f t="shared" si="176"/>
        <v>4603.3599999999997</v>
      </c>
      <c r="AV336" s="6">
        <f t="shared" si="177"/>
        <v>0.28152698011516414</v>
      </c>
      <c r="AW336" t="str">
        <f t="shared" si="178"/>
        <v>CLEAN</v>
      </c>
      <c r="AX336" s="10" t="str">
        <f t="shared" si="179"/>
        <v>MATCH</v>
      </c>
      <c r="AY336" t="str">
        <f t="shared" si="180"/>
        <v>MATCH</v>
      </c>
    </row>
    <row r="337" spans="1:51">
      <c r="A337" t="s">
        <v>2833</v>
      </c>
      <c r="B337">
        <f t="shared" si="156"/>
        <v>1</v>
      </c>
      <c r="C337" t="s">
        <v>838</v>
      </c>
      <c r="D337" s="3">
        <v>45355</v>
      </c>
      <c r="E337" t="str">
        <f t="shared" si="157"/>
        <v>2024/03/04</v>
      </c>
      <c r="F337" t="str">
        <f t="shared" si="166"/>
        <v>March</v>
      </c>
      <c r="G337">
        <f t="shared" si="167"/>
        <v>2024</v>
      </c>
      <c r="H337" t="s">
        <v>896</v>
      </c>
      <c r="I337" s="4">
        <v>45360</v>
      </c>
      <c r="J337" s="8">
        <f t="shared" si="158"/>
        <v>5</v>
      </c>
      <c r="K337" s="8" t="str">
        <f t="shared" si="168"/>
        <v>OK</v>
      </c>
      <c r="L337" t="s">
        <v>2834</v>
      </c>
      <c r="M337" t="s">
        <v>39</v>
      </c>
      <c r="N337" t="str">
        <f t="shared" si="159"/>
        <v>Mira Das</v>
      </c>
      <c r="O337" t="s">
        <v>25</v>
      </c>
      <c r="P337" t="str">
        <f t="shared" si="181"/>
        <v>Consumer</v>
      </c>
      <c r="Q337" t="s">
        <v>41</v>
      </c>
      <c r="R337" t="str">
        <f t="shared" si="182"/>
        <v>East</v>
      </c>
      <c r="S337" t="str">
        <f t="shared" si="169"/>
        <v>OK</v>
      </c>
      <c r="T337" t="s">
        <v>120</v>
      </c>
      <c r="U337" t="str">
        <f t="shared" si="160"/>
        <v>West Bengal</v>
      </c>
      <c r="V337" t="s">
        <v>121</v>
      </c>
      <c r="W337" t="str">
        <f t="shared" si="161"/>
        <v>Kolkata</v>
      </c>
      <c r="X337" t="str">
        <f t="shared" si="162"/>
        <v>Technology</v>
      </c>
      <c r="Y337" t="s">
        <v>85</v>
      </c>
      <c r="Z337" t="s">
        <v>86</v>
      </c>
      <c r="AA337" t="str">
        <f t="shared" si="163"/>
        <v>Accessories</v>
      </c>
      <c r="AB337" t="s">
        <v>2835</v>
      </c>
      <c r="AC337" t="s">
        <v>47</v>
      </c>
      <c r="AD337" t="str">
        <f t="shared" si="183"/>
        <v>Same Day</v>
      </c>
      <c r="AE337" t="str">
        <f t="shared" si="170"/>
        <v>OK</v>
      </c>
      <c r="AF337">
        <v>8</v>
      </c>
      <c r="AG337">
        <v>4401.41</v>
      </c>
      <c r="AH337">
        <v>0.15</v>
      </c>
      <c r="AI337">
        <f t="shared" si="171"/>
        <v>0.15</v>
      </c>
      <c r="AJ337" t="str">
        <f t="shared" si="172"/>
        <v>OK</v>
      </c>
      <c r="AK337">
        <v>29929.59</v>
      </c>
      <c r="AL337">
        <v>22436.03</v>
      </c>
      <c r="AM337">
        <v>7493.56</v>
      </c>
      <c r="AN337" t="s">
        <v>33</v>
      </c>
      <c r="AO337" t="str">
        <f t="shared" si="164"/>
        <v>PAID</v>
      </c>
      <c r="AP337" t="str">
        <f t="shared" si="173"/>
        <v>OK</v>
      </c>
      <c r="AQ337" t="s">
        <v>34</v>
      </c>
      <c r="AR337" t="str">
        <f t="shared" si="165"/>
        <v>COMPLETED</v>
      </c>
      <c r="AS337" t="str">
        <f t="shared" si="174"/>
        <v>OK</v>
      </c>
      <c r="AT337">
        <f t="shared" si="175"/>
        <v>29929.588</v>
      </c>
      <c r="AU337">
        <f t="shared" si="176"/>
        <v>7493.5580000000009</v>
      </c>
      <c r="AV337" s="6">
        <f t="shared" si="177"/>
        <v>9.438419265911711E-3</v>
      </c>
      <c r="AW337" t="str">
        <f t="shared" si="178"/>
        <v>CLEAN</v>
      </c>
      <c r="AX337" s="10" t="str">
        <f t="shared" si="179"/>
        <v>MATCH</v>
      </c>
      <c r="AY337" t="str">
        <f t="shared" si="180"/>
        <v>MATCH</v>
      </c>
    </row>
    <row r="338" spans="1:51">
      <c r="A338" t="s">
        <v>2839</v>
      </c>
      <c r="B338">
        <f t="shared" si="156"/>
        <v>1</v>
      </c>
      <c r="C338" t="s">
        <v>2840</v>
      </c>
      <c r="D338" s="3">
        <v>45554</v>
      </c>
      <c r="E338" t="str">
        <f t="shared" si="157"/>
        <v>2024/09/19</v>
      </c>
      <c r="F338" t="str">
        <f t="shared" si="166"/>
        <v>September</v>
      </c>
      <c r="G338">
        <f t="shared" si="167"/>
        <v>2024</v>
      </c>
      <c r="H338" t="s">
        <v>1134</v>
      </c>
      <c r="I338" s="4">
        <v>45556</v>
      </c>
      <c r="J338" s="8">
        <f t="shared" si="158"/>
        <v>2</v>
      </c>
      <c r="K338" s="8" t="str">
        <f t="shared" si="168"/>
        <v>OK</v>
      </c>
      <c r="L338" t="s">
        <v>2841</v>
      </c>
      <c r="M338" t="s">
        <v>24</v>
      </c>
      <c r="N338" t="str">
        <f t="shared" si="159"/>
        <v>Karan Malhotra</v>
      </c>
      <c r="O338" t="s">
        <v>40</v>
      </c>
      <c r="P338" t="str">
        <f t="shared" si="181"/>
        <v>Small Business</v>
      </c>
      <c r="Q338" t="s">
        <v>41</v>
      </c>
      <c r="R338" t="str">
        <f t="shared" si="182"/>
        <v>East</v>
      </c>
      <c r="S338" t="str">
        <f t="shared" si="169"/>
        <v>OK</v>
      </c>
      <c r="T338" t="s">
        <v>120</v>
      </c>
      <c r="U338" t="str">
        <f t="shared" si="160"/>
        <v>West Bengal</v>
      </c>
      <c r="V338" t="s">
        <v>121</v>
      </c>
      <c r="W338" t="str">
        <f t="shared" si="161"/>
        <v>Kolkata</v>
      </c>
      <c r="X338" t="str">
        <f t="shared" si="162"/>
        <v>Furniture</v>
      </c>
      <c r="Y338" t="s">
        <v>44</v>
      </c>
      <c r="Z338" t="s">
        <v>75</v>
      </c>
      <c r="AA338" t="str">
        <f t="shared" si="163"/>
        <v>Chairs</v>
      </c>
      <c r="AB338" t="s">
        <v>2842</v>
      </c>
      <c r="AC338" t="s">
        <v>55</v>
      </c>
      <c r="AD338" t="str">
        <f t="shared" si="183"/>
        <v>First Class</v>
      </c>
      <c r="AE338" t="str">
        <f t="shared" si="170"/>
        <v>OK</v>
      </c>
      <c r="AF338">
        <v>3</v>
      </c>
      <c r="AG338">
        <v>3981.76</v>
      </c>
      <c r="AH338">
        <v>0</v>
      </c>
      <c r="AI338">
        <f t="shared" si="171"/>
        <v>0</v>
      </c>
      <c r="AJ338" t="str">
        <f t="shared" si="172"/>
        <v>OK</v>
      </c>
      <c r="AK338">
        <v>11945.28</v>
      </c>
      <c r="AL338">
        <v>9700.31</v>
      </c>
      <c r="AM338">
        <v>2244.9699999999998</v>
      </c>
      <c r="AN338" t="s">
        <v>33</v>
      </c>
      <c r="AO338" t="str">
        <f t="shared" si="164"/>
        <v>PAID</v>
      </c>
      <c r="AP338" t="str">
        <f t="shared" si="173"/>
        <v>OK</v>
      </c>
      <c r="AQ338" t="s">
        <v>34</v>
      </c>
      <c r="AR338" t="str">
        <f t="shared" si="165"/>
        <v>COMPLETED</v>
      </c>
      <c r="AS338" t="str">
        <f t="shared" si="174"/>
        <v>OK</v>
      </c>
      <c r="AT338">
        <f t="shared" si="175"/>
        <v>11945.28</v>
      </c>
      <c r="AU338">
        <f t="shared" si="176"/>
        <v>2244.9700000000012</v>
      </c>
      <c r="AV338" s="6">
        <f t="shared" si="177"/>
        <v>0.14356465482600675</v>
      </c>
      <c r="AW338" t="str">
        <f t="shared" si="178"/>
        <v>CLEAN</v>
      </c>
      <c r="AX338" s="10" t="str">
        <f t="shared" si="179"/>
        <v>MATCH</v>
      </c>
      <c r="AY338" t="str">
        <f t="shared" si="180"/>
        <v>MATCH</v>
      </c>
    </row>
    <row r="339" spans="1:51">
      <c r="A339" t="s">
        <v>2848</v>
      </c>
      <c r="B339">
        <f t="shared" si="156"/>
        <v>1</v>
      </c>
      <c r="C339" t="s">
        <v>1439</v>
      </c>
      <c r="D339" s="2">
        <v>45569</v>
      </c>
      <c r="E339" t="str">
        <f t="shared" si="157"/>
        <v>2024/10/04</v>
      </c>
      <c r="F339" t="str">
        <f t="shared" si="166"/>
        <v>October</v>
      </c>
      <c r="G339">
        <f t="shared" si="167"/>
        <v>2024</v>
      </c>
      <c r="H339" t="s">
        <v>410</v>
      </c>
      <c r="I339" s="4">
        <v>45398</v>
      </c>
      <c r="J339" s="8">
        <f t="shared" si="158"/>
        <v>-171</v>
      </c>
      <c r="K339" s="8" t="str">
        <f t="shared" si="168"/>
        <v>INVAILD_SHIPPING</v>
      </c>
      <c r="L339" t="s">
        <v>2849</v>
      </c>
      <c r="M339" t="s">
        <v>106</v>
      </c>
      <c r="N339" t="str">
        <f t="shared" si="159"/>
        <v>Aditi Sen</v>
      </c>
      <c r="O339" t="s">
        <v>25</v>
      </c>
      <c r="P339" t="str">
        <f t="shared" si="181"/>
        <v>Consumer</v>
      </c>
      <c r="Q339" t="s">
        <v>61</v>
      </c>
      <c r="R339" t="str">
        <f t="shared" si="182"/>
        <v>South</v>
      </c>
      <c r="S339" t="str">
        <f t="shared" si="169"/>
        <v>OK</v>
      </c>
      <c r="T339" t="s">
        <v>241</v>
      </c>
      <c r="U339" t="str">
        <f t="shared" si="160"/>
        <v>Kerala</v>
      </c>
      <c r="V339" t="s">
        <v>242</v>
      </c>
      <c r="W339" t="str">
        <f t="shared" si="161"/>
        <v>Kochi</v>
      </c>
      <c r="X339" t="str">
        <f t="shared" si="162"/>
        <v>Furniture</v>
      </c>
      <c r="Y339" t="s">
        <v>44</v>
      </c>
      <c r="Z339" t="s">
        <v>75</v>
      </c>
      <c r="AA339" t="str">
        <f t="shared" si="163"/>
        <v>Chairs</v>
      </c>
      <c r="AB339" t="s">
        <v>2850</v>
      </c>
      <c r="AC339" t="s">
        <v>32</v>
      </c>
      <c r="AD339" t="str">
        <f t="shared" si="183"/>
        <v>Second Class</v>
      </c>
      <c r="AE339" t="str">
        <f t="shared" si="170"/>
        <v>OK</v>
      </c>
      <c r="AF339">
        <v>9</v>
      </c>
      <c r="AG339">
        <v>2723.26</v>
      </c>
      <c r="AH339">
        <v>0.25</v>
      </c>
      <c r="AI339">
        <f t="shared" si="171"/>
        <v>0.25</v>
      </c>
      <c r="AJ339" t="str">
        <f t="shared" si="172"/>
        <v>OK</v>
      </c>
      <c r="AK339">
        <v>18382.009999999998</v>
      </c>
      <c r="AL339">
        <v>13108.2</v>
      </c>
      <c r="AM339">
        <v>5273.81</v>
      </c>
      <c r="AN339" t="s">
        <v>33</v>
      </c>
      <c r="AO339" t="str">
        <f t="shared" si="164"/>
        <v>PAID</v>
      </c>
      <c r="AP339" t="str">
        <f t="shared" si="173"/>
        <v>OK</v>
      </c>
      <c r="AQ339" t="s">
        <v>34</v>
      </c>
      <c r="AR339" t="str">
        <f t="shared" si="165"/>
        <v>COMPLETED</v>
      </c>
      <c r="AS339" t="str">
        <f t="shared" si="174"/>
        <v>OK</v>
      </c>
      <c r="AT339">
        <f t="shared" si="175"/>
        <v>18382.005000000005</v>
      </c>
      <c r="AU339">
        <f t="shared" si="176"/>
        <v>5273.8050000000039</v>
      </c>
      <c r="AV339" s="6">
        <f t="shared" si="177"/>
        <v>0.48342474066349089</v>
      </c>
      <c r="AW339" t="str">
        <f t="shared" si="178"/>
        <v>CLEAN</v>
      </c>
      <c r="AX339" s="10" t="str">
        <f t="shared" si="179"/>
        <v>MATCH</v>
      </c>
      <c r="AY339" t="str">
        <f t="shared" si="180"/>
        <v>MATCH</v>
      </c>
    </row>
    <row r="340" spans="1:51">
      <c r="A340" t="s">
        <v>2855</v>
      </c>
      <c r="B340">
        <f t="shared" si="156"/>
        <v>2</v>
      </c>
      <c r="C340" t="s">
        <v>2438</v>
      </c>
      <c r="D340" s="3">
        <v>45521</v>
      </c>
      <c r="E340" t="str">
        <f t="shared" si="157"/>
        <v>2024/08/17</v>
      </c>
      <c r="F340" t="str">
        <f t="shared" si="166"/>
        <v>August</v>
      </c>
      <c r="G340">
        <f t="shared" si="167"/>
        <v>2024</v>
      </c>
      <c r="H340" t="s">
        <v>2856</v>
      </c>
      <c r="I340" s="4">
        <v>45528</v>
      </c>
      <c r="J340" s="8">
        <f t="shared" si="158"/>
        <v>7</v>
      </c>
      <c r="K340" s="8" t="str">
        <f t="shared" si="168"/>
        <v>OK</v>
      </c>
      <c r="L340" t="s">
        <v>2857</v>
      </c>
      <c r="M340" t="s">
        <v>71</v>
      </c>
      <c r="N340" t="str">
        <f t="shared" si="159"/>
        <v>Ananya Rao</v>
      </c>
      <c r="O340" t="s">
        <v>107</v>
      </c>
      <c r="P340" t="str">
        <f t="shared" si="181"/>
        <v>Corporate</v>
      </c>
      <c r="Q340" t="s">
        <v>41</v>
      </c>
      <c r="R340" t="str">
        <f t="shared" si="182"/>
        <v>East</v>
      </c>
      <c r="S340" t="str">
        <f t="shared" si="169"/>
        <v>OK</v>
      </c>
      <c r="T340" t="s">
        <v>120</v>
      </c>
      <c r="U340" t="str">
        <f t="shared" si="160"/>
        <v>West Bengal</v>
      </c>
      <c r="V340" t="s">
        <v>121</v>
      </c>
      <c r="W340" t="str">
        <f t="shared" si="161"/>
        <v>Kolkata</v>
      </c>
      <c r="X340" t="str">
        <f t="shared" si="162"/>
        <v>Technology</v>
      </c>
      <c r="Y340" t="s">
        <v>85</v>
      </c>
      <c r="Z340" t="s">
        <v>93</v>
      </c>
      <c r="AA340" t="str">
        <f t="shared" si="163"/>
        <v>Copiers</v>
      </c>
      <c r="AB340" t="s">
        <v>2858</v>
      </c>
      <c r="AC340" t="s">
        <v>47</v>
      </c>
      <c r="AD340" t="str">
        <f t="shared" si="183"/>
        <v>Same Day</v>
      </c>
      <c r="AE340" t="str">
        <f t="shared" si="170"/>
        <v>OK</v>
      </c>
      <c r="AF340">
        <v>3</v>
      </c>
      <c r="AG340">
        <v>1490.69</v>
      </c>
      <c r="AH340">
        <v>0.25</v>
      </c>
      <c r="AI340">
        <f t="shared" si="171"/>
        <v>0.25</v>
      </c>
      <c r="AJ340" t="str">
        <f t="shared" si="172"/>
        <v>OK</v>
      </c>
      <c r="AK340">
        <v>3354.05</v>
      </c>
      <c r="AL340">
        <v>2672.67</v>
      </c>
      <c r="AM340">
        <v>681.38</v>
      </c>
      <c r="AN340" t="s">
        <v>33</v>
      </c>
      <c r="AO340" t="str">
        <f t="shared" si="164"/>
        <v>PAID</v>
      </c>
      <c r="AP340" t="str">
        <f t="shared" si="173"/>
        <v>OK</v>
      </c>
      <c r="AQ340" t="s">
        <v>34</v>
      </c>
      <c r="AR340" t="str">
        <f t="shared" si="165"/>
        <v>COMPLETED</v>
      </c>
      <c r="AS340" t="str">
        <f t="shared" si="174"/>
        <v>OK</v>
      </c>
      <c r="AT340">
        <f t="shared" si="175"/>
        <v>3354.0524999999998</v>
      </c>
      <c r="AU340">
        <f t="shared" si="176"/>
        <v>681.38249999999971</v>
      </c>
      <c r="AV340" s="6">
        <f t="shared" si="177"/>
        <v>1.7861355777823995</v>
      </c>
      <c r="AW340" t="str">
        <f t="shared" si="178"/>
        <v>CLEAN</v>
      </c>
      <c r="AX340" s="10" t="str">
        <f t="shared" si="179"/>
        <v>MATCH</v>
      </c>
      <c r="AY340" t="str">
        <f t="shared" si="180"/>
        <v>MATCH</v>
      </c>
    </row>
    <row r="341" spans="1:51">
      <c r="A341" t="s">
        <v>2855</v>
      </c>
      <c r="B341">
        <f t="shared" si="156"/>
        <v>2</v>
      </c>
      <c r="C341" t="s">
        <v>2438</v>
      </c>
      <c r="D341" s="3">
        <v>45521</v>
      </c>
      <c r="E341" t="str">
        <f t="shared" si="157"/>
        <v>2024/08/17</v>
      </c>
      <c r="F341" t="str">
        <f t="shared" si="166"/>
        <v>August</v>
      </c>
      <c r="G341">
        <f t="shared" si="167"/>
        <v>2024</v>
      </c>
      <c r="H341" t="s">
        <v>2856</v>
      </c>
      <c r="I341" s="4">
        <v>45528</v>
      </c>
      <c r="J341" s="8">
        <f t="shared" si="158"/>
        <v>7</v>
      </c>
      <c r="K341" s="8" t="str">
        <f t="shared" si="168"/>
        <v>OK</v>
      </c>
      <c r="L341" t="s">
        <v>2857</v>
      </c>
      <c r="M341" t="s">
        <v>71</v>
      </c>
      <c r="N341" t="str">
        <f t="shared" si="159"/>
        <v>Ananya Rao</v>
      </c>
      <c r="O341" t="s">
        <v>107</v>
      </c>
      <c r="P341" t="str">
        <f t="shared" si="181"/>
        <v>Corporate</v>
      </c>
      <c r="Q341" t="s">
        <v>41</v>
      </c>
      <c r="R341" t="str">
        <f t="shared" si="182"/>
        <v>East</v>
      </c>
      <c r="S341" t="str">
        <f t="shared" si="169"/>
        <v>OK</v>
      </c>
      <c r="T341" t="s">
        <v>120</v>
      </c>
      <c r="U341" t="str">
        <f t="shared" si="160"/>
        <v>West Bengal</v>
      </c>
      <c r="V341" t="s">
        <v>121</v>
      </c>
      <c r="W341" t="str">
        <f t="shared" si="161"/>
        <v>Kolkata</v>
      </c>
      <c r="X341" t="str">
        <f t="shared" si="162"/>
        <v>Technology</v>
      </c>
      <c r="Y341" t="s">
        <v>85</v>
      </c>
      <c r="Z341" t="s">
        <v>93</v>
      </c>
      <c r="AA341" t="str">
        <f t="shared" si="163"/>
        <v>Copiers</v>
      </c>
      <c r="AB341" t="s">
        <v>2858</v>
      </c>
      <c r="AC341" t="s">
        <v>47</v>
      </c>
      <c r="AD341" t="str">
        <f t="shared" si="183"/>
        <v>Same Day</v>
      </c>
      <c r="AE341" t="str">
        <f t="shared" si="170"/>
        <v>OK</v>
      </c>
      <c r="AF341">
        <v>3</v>
      </c>
      <c r="AG341">
        <v>1490.69</v>
      </c>
      <c r="AH341">
        <v>0.25</v>
      </c>
      <c r="AI341">
        <f t="shared" si="171"/>
        <v>0.25</v>
      </c>
      <c r="AJ341" t="str">
        <f t="shared" si="172"/>
        <v>OK</v>
      </c>
      <c r="AK341">
        <v>3354.05</v>
      </c>
      <c r="AL341">
        <v>2672.67</v>
      </c>
      <c r="AM341">
        <v>681.38</v>
      </c>
      <c r="AN341" t="s">
        <v>33</v>
      </c>
      <c r="AO341" t="str">
        <f t="shared" si="164"/>
        <v>PAID</v>
      </c>
      <c r="AP341" t="str">
        <f t="shared" si="173"/>
        <v>OK</v>
      </c>
      <c r="AQ341" t="s">
        <v>34</v>
      </c>
      <c r="AR341" t="str">
        <f t="shared" si="165"/>
        <v>COMPLETED</v>
      </c>
      <c r="AS341" t="str">
        <f t="shared" si="174"/>
        <v>OK</v>
      </c>
      <c r="AT341">
        <f t="shared" si="175"/>
        <v>3354.0524999999998</v>
      </c>
      <c r="AU341">
        <f t="shared" si="176"/>
        <v>681.38249999999971</v>
      </c>
      <c r="AV341" s="6">
        <f t="shared" si="177"/>
        <v>0.8316232378592765</v>
      </c>
      <c r="AW341" t="str">
        <f t="shared" si="178"/>
        <v>CLEAN</v>
      </c>
      <c r="AX341" s="10" t="str">
        <f t="shared" si="179"/>
        <v>MATCH</v>
      </c>
      <c r="AY341" t="str">
        <f t="shared" si="180"/>
        <v>MATCH</v>
      </c>
    </row>
    <row r="342" spans="1:51">
      <c r="A342" t="s">
        <v>2859</v>
      </c>
      <c r="B342">
        <f t="shared" si="156"/>
        <v>1</v>
      </c>
      <c r="C342" t="s">
        <v>2860</v>
      </c>
      <c r="D342" s="3">
        <v>45523</v>
      </c>
      <c r="E342" t="str">
        <f t="shared" si="157"/>
        <v>2024/08/19</v>
      </c>
      <c r="F342" t="str">
        <f t="shared" si="166"/>
        <v>August</v>
      </c>
      <c r="G342">
        <f t="shared" si="167"/>
        <v>2024</v>
      </c>
      <c r="H342" t="s">
        <v>1625</v>
      </c>
      <c r="I342" s="4">
        <v>45525</v>
      </c>
      <c r="J342" s="8">
        <f t="shared" si="158"/>
        <v>2</v>
      </c>
      <c r="K342" s="8" t="str">
        <f t="shared" si="168"/>
        <v>OK</v>
      </c>
      <c r="L342" t="s">
        <v>2861</v>
      </c>
      <c r="M342" t="s">
        <v>60</v>
      </c>
      <c r="N342" t="str">
        <f t="shared" si="159"/>
        <v>Arjun Bose</v>
      </c>
      <c r="O342" t="s">
        <v>25</v>
      </c>
      <c r="P342" t="str">
        <f t="shared" si="181"/>
        <v>Consumer</v>
      </c>
      <c r="Q342" t="s">
        <v>26</v>
      </c>
      <c r="R342" t="str">
        <f t="shared" si="182"/>
        <v>North</v>
      </c>
      <c r="S342" t="str">
        <f t="shared" si="169"/>
        <v>OK</v>
      </c>
      <c r="T342" t="s">
        <v>153</v>
      </c>
      <c r="U342" t="str">
        <f t="shared" si="160"/>
        <v>Punjab</v>
      </c>
      <c r="V342" t="s">
        <v>154</v>
      </c>
      <c r="W342" t="str">
        <f t="shared" si="161"/>
        <v>Ludhiana</v>
      </c>
      <c r="X342" t="str">
        <f t="shared" si="162"/>
        <v>Technology</v>
      </c>
      <c r="Y342" t="s">
        <v>85</v>
      </c>
      <c r="Z342" t="s">
        <v>222</v>
      </c>
      <c r="AA342" t="str">
        <f t="shared" si="163"/>
        <v>Phones</v>
      </c>
      <c r="AB342" t="s">
        <v>2862</v>
      </c>
      <c r="AC342" t="s">
        <v>55</v>
      </c>
      <c r="AD342" t="str">
        <f t="shared" si="183"/>
        <v>First Class</v>
      </c>
      <c r="AE342" t="str">
        <f t="shared" si="170"/>
        <v>OK</v>
      </c>
      <c r="AF342">
        <v>3</v>
      </c>
      <c r="AG342">
        <v>1103.54</v>
      </c>
      <c r="AH342">
        <v>0.25</v>
      </c>
      <c r="AI342">
        <f t="shared" si="171"/>
        <v>0.25</v>
      </c>
      <c r="AJ342" t="str">
        <f t="shared" si="172"/>
        <v>OK</v>
      </c>
      <c r="AK342">
        <v>2482.9699999999998</v>
      </c>
      <c r="AL342">
        <v>1621.72</v>
      </c>
      <c r="AM342">
        <v>861.25</v>
      </c>
      <c r="AN342" t="s">
        <v>33</v>
      </c>
      <c r="AO342" t="str">
        <f t="shared" si="164"/>
        <v>PAID</v>
      </c>
      <c r="AP342" t="str">
        <f t="shared" si="173"/>
        <v>OK</v>
      </c>
      <c r="AQ342" t="s">
        <v>34</v>
      </c>
      <c r="AR342" t="str">
        <f t="shared" si="165"/>
        <v>COMPLETED</v>
      </c>
      <c r="AS342" t="str">
        <f t="shared" si="174"/>
        <v>OK</v>
      </c>
      <c r="AT342">
        <f t="shared" si="175"/>
        <v>2482.9650000000001</v>
      </c>
      <c r="AU342">
        <f t="shared" si="176"/>
        <v>861.24500000000012</v>
      </c>
      <c r="AV342" s="6">
        <f t="shared" si="177"/>
        <v>0.79536844055393463</v>
      </c>
      <c r="AW342" t="str">
        <f t="shared" si="178"/>
        <v>CLEAN</v>
      </c>
      <c r="AX342" s="10" t="str">
        <f t="shared" si="179"/>
        <v>MATCH</v>
      </c>
      <c r="AY342" t="str">
        <f t="shared" si="180"/>
        <v>MATCH</v>
      </c>
    </row>
    <row r="343" spans="1:51">
      <c r="A343" t="s">
        <v>2868</v>
      </c>
      <c r="B343">
        <f t="shared" si="156"/>
        <v>1</v>
      </c>
      <c r="C343" t="s">
        <v>2869</v>
      </c>
      <c r="D343" s="2">
        <v>45317</v>
      </c>
      <c r="E343" t="str">
        <f t="shared" si="157"/>
        <v>2024/01/26</v>
      </c>
      <c r="F343" t="str">
        <f t="shared" si="166"/>
        <v>January</v>
      </c>
      <c r="G343">
        <f t="shared" si="167"/>
        <v>2024</v>
      </c>
      <c r="H343" t="s">
        <v>2870</v>
      </c>
      <c r="I343" s="4">
        <v>45322</v>
      </c>
      <c r="J343" s="8">
        <f t="shared" si="158"/>
        <v>5</v>
      </c>
      <c r="K343" s="8" t="str">
        <f t="shared" si="168"/>
        <v>OK</v>
      </c>
      <c r="L343" t="s">
        <v>2871</v>
      </c>
      <c r="M343" t="s">
        <v>71</v>
      </c>
      <c r="N343" t="str">
        <f t="shared" si="159"/>
        <v>Ananya Rao</v>
      </c>
      <c r="O343" t="s">
        <v>114</v>
      </c>
      <c r="P343" t="str">
        <f t="shared" si="181"/>
        <v>Home Office</v>
      </c>
      <c r="Q343" t="s">
        <v>41</v>
      </c>
      <c r="R343" t="str">
        <f t="shared" si="182"/>
        <v>East</v>
      </c>
      <c r="S343" t="str">
        <f t="shared" si="169"/>
        <v>OK</v>
      </c>
      <c r="T343" t="s">
        <v>120</v>
      </c>
      <c r="U343" t="str">
        <f t="shared" si="160"/>
        <v>West Bengal</v>
      </c>
      <c r="V343" t="s">
        <v>121</v>
      </c>
      <c r="W343" t="str">
        <f t="shared" si="161"/>
        <v>Kolkata</v>
      </c>
      <c r="X343" t="str">
        <f t="shared" si="162"/>
        <v>Office Supplies</v>
      </c>
      <c r="Y343" t="s">
        <v>29</v>
      </c>
      <c r="Z343" t="s">
        <v>30</v>
      </c>
      <c r="AA343" t="str">
        <f t="shared" si="163"/>
        <v>Paper</v>
      </c>
      <c r="AB343" t="s">
        <v>2872</v>
      </c>
      <c r="AC343" t="s">
        <v>32</v>
      </c>
      <c r="AD343" t="str">
        <f t="shared" si="183"/>
        <v>Second Class</v>
      </c>
      <c r="AE343" t="str">
        <f t="shared" si="170"/>
        <v>OK</v>
      </c>
      <c r="AF343">
        <v>5</v>
      </c>
      <c r="AG343">
        <v>1615.03</v>
      </c>
      <c r="AH343">
        <v>0.2</v>
      </c>
      <c r="AI343">
        <f t="shared" si="171"/>
        <v>0.2</v>
      </c>
      <c r="AJ343" t="str">
        <f t="shared" si="172"/>
        <v>OK</v>
      </c>
      <c r="AK343">
        <v>6460.12</v>
      </c>
      <c r="AL343">
        <v>3604.03</v>
      </c>
      <c r="AM343">
        <v>2856.09</v>
      </c>
      <c r="AN343" t="s">
        <v>33</v>
      </c>
      <c r="AO343" t="str">
        <f t="shared" si="164"/>
        <v>PAID</v>
      </c>
      <c r="AP343" t="str">
        <f t="shared" si="173"/>
        <v>OK</v>
      </c>
      <c r="AQ343" t="s">
        <v>34</v>
      </c>
      <c r="AR343" t="str">
        <f t="shared" si="165"/>
        <v>COMPLETED</v>
      </c>
      <c r="AS343" t="str">
        <f t="shared" si="174"/>
        <v>OK</v>
      </c>
      <c r="AT343">
        <f t="shared" si="175"/>
        <v>6460.12</v>
      </c>
      <c r="AU343">
        <f t="shared" si="176"/>
        <v>2856.0899999999997</v>
      </c>
      <c r="AV343" s="6">
        <f t="shared" si="177"/>
        <v>0.48165018606465532</v>
      </c>
      <c r="AW343" t="str">
        <f t="shared" si="178"/>
        <v>CLEAN</v>
      </c>
      <c r="AX343" s="10" t="str">
        <f t="shared" si="179"/>
        <v>MATCH</v>
      </c>
      <c r="AY343" t="str">
        <f t="shared" si="180"/>
        <v>MATCH</v>
      </c>
    </row>
    <row r="344" spans="1:51">
      <c r="A344" t="s">
        <v>2873</v>
      </c>
      <c r="B344">
        <f t="shared" si="156"/>
        <v>1</v>
      </c>
      <c r="C344" t="s">
        <v>2874</v>
      </c>
      <c r="D344" s="3">
        <v>45588</v>
      </c>
      <c r="E344" t="str">
        <f t="shared" si="157"/>
        <v>2024/10/23</v>
      </c>
      <c r="F344" t="str">
        <f t="shared" si="166"/>
        <v>October</v>
      </c>
      <c r="G344">
        <f t="shared" si="167"/>
        <v>2024</v>
      </c>
      <c r="H344" t="s">
        <v>2875</v>
      </c>
      <c r="I344" s="4">
        <v>45595</v>
      </c>
      <c r="J344" s="8">
        <f t="shared" si="158"/>
        <v>7</v>
      </c>
      <c r="K344" s="8" t="str">
        <f t="shared" si="168"/>
        <v>OK</v>
      </c>
      <c r="L344" t="s">
        <v>2876</v>
      </c>
      <c r="M344" t="s">
        <v>161</v>
      </c>
      <c r="N344" t="str">
        <f t="shared" si="159"/>
        <v>Aarav Sharma</v>
      </c>
      <c r="O344" t="s">
        <v>25</v>
      </c>
      <c r="P344" t="str">
        <f t="shared" si="181"/>
        <v>Consumer</v>
      </c>
      <c r="Q344" t="s">
        <v>41</v>
      </c>
      <c r="R344" t="str">
        <f t="shared" si="182"/>
        <v>East</v>
      </c>
      <c r="S344" t="str">
        <f t="shared" si="169"/>
        <v>OK</v>
      </c>
      <c r="T344" t="s">
        <v>310</v>
      </c>
      <c r="U344" t="str">
        <f t="shared" si="160"/>
        <v>Jharkhand</v>
      </c>
      <c r="V344" t="s">
        <v>311</v>
      </c>
      <c r="W344" t="str">
        <f t="shared" si="161"/>
        <v>Ranchi</v>
      </c>
      <c r="X344" t="str">
        <f t="shared" si="162"/>
        <v>Technology</v>
      </c>
      <c r="Y344" t="s">
        <v>85</v>
      </c>
      <c r="Z344" t="s">
        <v>93</v>
      </c>
      <c r="AA344" t="str">
        <f t="shared" si="163"/>
        <v>Copiers</v>
      </c>
      <c r="AB344" t="s">
        <v>2877</v>
      </c>
      <c r="AC344" t="s">
        <v>32</v>
      </c>
      <c r="AD344" t="str">
        <f t="shared" si="183"/>
        <v>Second Class</v>
      </c>
      <c r="AE344" t="str">
        <f t="shared" si="170"/>
        <v>OK</v>
      </c>
      <c r="AF344">
        <v>9</v>
      </c>
      <c r="AG344">
        <v>3423.82</v>
      </c>
      <c r="AH344">
        <v>0.15</v>
      </c>
      <c r="AI344">
        <f t="shared" si="171"/>
        <v>0.15</v>
      </c>
      <c r="AJ344" t="str">
        <f t="shared" si="172"/>
        <v>OK</v>
      </c>
      <c r="AK344">
        <v>26192.22</v>
      </c>
      <c r="AL344">
        <v>20795.55</v>
      </c>
      <c r="AM344">
        <v>5396.67</v>
      </c>
      <c r="AN344" t="s">
        <v>33</v>
      </c>
      <c r="AO344" t="str">
        <f t="shared" si="164"/>
        <v>PAID</v>
      </c>
      <c r="AP344" t="str">
        <f t="shared" si="173"/>
        <v>OK</v>
      </c>
      <c r="AQ344" t="s">
        <v>34</v>
      </c>
      <c r="AR344" t="str">
        <f t="shared" si="165"/>
        <v>COMPLETED</v>
      </c>
      <c r="AS344" t="str">
        <f t="shared" si="174"/>
        <v>OK</v>
      </c>
      <c r="AT344">
        <f t="shared" si="175"/>
        <v>26192.223000000002</v>
      </c>
      <c r="AU344">
        <f t="shared" si="176"/>
        <v>5396.6730000000025</v>
      </c>
      <c r="AV344" s="6">
        <f t="shared" si="177"/>
        <v>1.7898251706241194E-2</v>
      </c>
      <c r="AW344" t="str">
        <f t="shared" si="178"/>
        <v>CLEAN</v>
      </c>
      <c r="AX344" s="10" t="str">
        <f t="shared" si="179"/>
        <v>MATCH</v>
      </c>
      <c r="AY344" t="str">
        <f t="shared" si="180"/>
        <v>MATCH</v>
      </c>
    </row>
    <row r="345" spans="1:51">
      <c r="A345" t="s">
        <v>2897</v>
      </c>
      <c r="B345">
        <f t="shared" si="156"/>
        <v>1</v>
      </c>
      <c r="C345" t="s">
        <v>2151</v>
      </c>
      <c r="D345" s="2">
        <v>45464</v>
      </c>
      <c r="E345" t="str">
        <f t="shared" si="157"/>
        <v>2024/06/21</v>
      </c>
      <c r="F345" t="str">
        <f t="shared" si="166"/>
        <v>June</v>
      </c>
      <c r="G345">
        <f t="shared" si="167"/>
        <v>2024</v>
      </c>
      <c r="H345" t="s">
        <v>1552</v>
      </c>
      <c r="I345" s="4">
        <v>45466</v>
      </c>
      <c r="J345" s="8">
        <f t="shared" si="158"/>
        <v>2</v>
      </c>
      <c r="K345" s="8" t="str">
        <f t="shared" si="168"/>
        <v>OK</v>
      </c>
      <c r="L345" t="s">
        <v>2573</v>
      </c>
      <c r="M345" t="s">
        <v>24</v>
      </c>
      <c r="N345" t="str">
        <f t="shared" si="159"/>
        <v>Karan Malhotra</v>
      </c>
      <c r="O345" t="s">
        <v>114</v>
      </c>
      <c r="P345" t="str">
        <f t="shared" si="181"/>
        <v>Home Office</v>
      </c>
      <c r="Q345" t="s">
        <v>72</v>
      </c>
      <c r="R345" t="str">
        <f t="shared" si="182"/>
        <v>West</v>
      </c>
      <c r="S345" t="str">
        <f t="shared" si="169"/>
        <v>OK</v>
      </c>
      <c r="T345" t="s">
        <v>248</v>
      </c>
      <c r="U345" t="str">
        <f t="shared" si="160"/>
        <v>Goa</v>
      </c>
      <c r="V345" t="s">
        <v>249</v>
      </c>
      <c r="W345" t="str">
        <f t="shared" si="161"/>
        <v>Panaji</v>
      </c>
      <c r="X345" t="str">
        <f t="shared" si="162"/>
        <v>Furniture</v>
      </c>
      <c r="Y345" t="s">
        <v>44</v>
      </c>
      <c r="Z345" t="s">
        <v>64</v>
      </c>
      <c r="AA345" t="str">
        <f t="shared" si="163"/>
        <v>Furnishings</v>
      </c>
      <c r="AB345" t="s">
        <v>2898</v>
      </c>
      <c r="AC345" t="s">
        <v>32</v>
      </c>
      <c r="AD345" t="str">
        <f t="shared" si="183"/>
        <v>Second Class</v>
      </c>
      <c r="AE345" t="str">
        <f t="shared" si="170"/>
        <v>OK</v>
      </c>
      <c r="AF345">
        <v>9</v>
      </c>
      <c r="AG345">
        <v>2153.75</v>
      </c>
      <c r="AH345">
        <v>0</v>
      </c>
      <c r="AI345">
        <f t="shared" si="171"/>
        <v>0</v>
      </c>
      <c r="AJ345" t="str">
        <f t="shared" si="172"/>
        <v>OK</v>
      </c>
      <c r="AK345">
        <v>19383.75</v>
      </c>
      <c r="AL345">
        <v>11667.43</v>
      </c>
      <c r="AM345">
        <v>7716.32</v>
      </c>
      <c r="AN345" t="s">
        <v>33</v>
      </c>
      <c r="AO345" t="str">
        <f t="shared" si="164"/>
        <v>PAID</v>
      </c>
      <c r="AP345" t="str">
        <f t="shared" si="173"/>
        <v>OK</v>
      </c>
      <c r="AQ345" t="s">
        <v>34</v>
      </c>
      <c r="AR345" t="str">
        <f t="shared" si="165"/>
        <v>COMPLETED</v>
      </c>
      <c r="AS345" t="str">
        <f t="shared" si="174"/>
        <v>OK</v>
      </c>
      <c r="AT345">
        <f t="shared" si="175"/>
        <v>19383.75</v>
      </c>
      <c r="AU345">
        <f t="shared" si="176"/>
        <v>7716.32</v>
      </c>
      <c r="AV345" s="6">
        <f t="shared" si="177"/>
        <v>0.16869942606564772</v>
      </c>
      <c r="AW345" t="str">
        <f t="shared" si="178"/>
        <v>CLEAN</v>
      </c>
      <c r="AX345" s="10" t="str">
        <f t="shared" si="179"/>
        <v>MATCH</v>
      </c>
      <c r="AY345" t="str">
        <f t="shared" si="180"/>
        <v>MATCH</v>
      </c>
    </row>
    <row r="346" spans="1:51">
      <c r="A346" t="s">
        <v>2902</v>
      </c>
      <c r="B346">
        <f t="shared" si="156"/>
        <v>1</v>
      </c>
      <c r="C346" t="s">
        <v>2903</v>
      </c>
      <c r="D346" s="2">
        <v>45432</v>
      </c>
      <c r="E346" t="str">
        <f t="shared" si="157"/>
        <v>2024/05/20</v>
      </c>
      <c r="F346" t="str">
        <f t="shared" si="166"/>
        <v>May</v>
      </c>
      <c r="G346">
        <f t="shared" si="167"/>
        <v>2024</v>
      </c>
      <c r="H346" t="s">
        <v>2904</v>
      </c>
      <c r="I346" s="4">
        <v>45432</v>
      </c>
      <c r="J346" s="8">
        <f t="shared" si="158"/>
        <v>0</v>
      </c>
      <c r="K346" s="8" t="str">
        <f t="shared" si="168"/>
        <v>OK</v>
      </c>
      <c r="L346" t="s">
        <v>2079</v>
      </c>
      <c r="M346" t="s">
        <v>24</v>
      </c>
      <c r="N346" t="str">
        <f t="shared" si="159"/>
        <v>Karan Malhotra</v>
      </c>
      <c r="O346" t="s">
        <v>114</v>
      </c>
      <c r="P346" t="str">
        <f t="shared" si="181"/>
        <v>Home Office</v>
      </c>
      <c r="Q346" t="s">
        <v>72</v>
      </c>
      <c r="R346" t="str">
        <f t="shared" si="182"/>
        <v>West</v>
      </c>
      <c r="S346" t="str">
        <f t="shared" si="169"/>
        <v>OK</v>
      </c>
      <c r="T346" t="s">
        <v>83</v>
      </c>
      <c r="U346" t="str">
        <f t="shared" si="160"/>
        <v>Madhya Pradesh</v>
      </c>
      <c r="V346" t="s">
        <v>84</v>
      </c>
      <c r="W346" t="str">
        <f t="shared" si="161"/>
        <v>Indore</v>
      </c>
      <c r="X346" t="str">
        <f t="shared" si="162"/>
        <v>Furniture</v>
      </c>
      <c r="Y346" t="s">
        <v>44</v>
      </c>
      <c r="Z346" t="s">
        <v>75</v>
      </c>
      <c r="AA346" t="str">
        <f t="shared" si="163"/>
        <v>Chairs</v>
      </c>
      <c r="AB346" t="s">
        <v>2905</v>
      </c>
      <c r="AC346" t="s">
        <v>66</v>
      </c>
      <c r="AD346" t="str">
        <f t="shared" si="183"/>
        <v>Standard Class</v>
      </c>
      <c r="AE346" t="str">
        <f t="shared" si="170"/>
        <v>OK</v>
      </c>
      <c r="AF346">
        <v>1</v>
      </c>
      <c r="AG346">
        <v>3032.95</v>
      </c>
      <c r="AH346">
        <v>0.1</v>
      </c>
      <c r="AI346">
        <f t="shared" si="171"/>
        <v>0.1</v>
      </c>
      <c r="AJ346" t="str">
        <f t="shared" si="172"/>
        <v>OK</v>
      </c>
      <c r="AK346">
        <v>2729.65</v>
      </c>
      <c r="AL346">
        <v>1715.36</v>
      </c>
      <c r="AM346">
        <v>1014.29</v>
      </c>
      <c r="AN346" t="s">
        <v>33</v>
      </c>
      <c r="AO346" t="str">
        <f t="shared" si="164"/>
        <v>PAID</v>
      </c>
      <c r="AP346" t="str">
        <f t="shared" si="173"/>
        <v>OK</v>
      </c>
      <c r="AQ346" t="s">
        <v>34</v>
      </c>
      <c r="AR346" t="str">
        <f t="shared" si="165"/>
        <v>COMPLETED</v>
      </c>
      <c r="AS346" t="str">
        <f t="shared" si="174"/>
        <v>OK</v>
      </c>
      <c r="AT346">
        <f t="shared" si="175"/>
        <v>2729.6549999999997</v>
      </c>
      <c r="AU346">
        <f t="shared" si="176"/>
        <v>1014.2949999999998</v>
      </c>
      <c r="AV346" s="6">
        <f t="shared" si="177"/>
        <v>3.6803420212444427</v>
      </c>
      <c r="AW346" t="str">
        <f t="shared" si="178"/>
        <v>CLEAN</v>
      </c>
      <c r="AX346" s="10" t="str">
        <f t="shared" si="179"/>
        <v>MISMATCH</v>
      </c>
      <c r="AY346" t="str">
        <f t="shared" si="180"/>
        <v>MISMATCH</v>
      </c>
    </row>
    <row r="347" spans="1:51">
      <c r="A347" t="s">
        <v>2915</v>
      </c>
      <c r="B347">
        <f t="shared" si="156"/>
        <v>1</v>
      </c>
      <c r="C347" t="s">
        <v>2447</v>
      </c>
      <c r="D347" s="3">
        <v>45422</v>
      </c>
      <c r="E347" t="str">
        <f t="shared" si="157"/>
        <v>2024/05/10</v>
      </c>
      <c r="F347" t="str">
        <f t="shared" si="166"/>
        <v>May</v>
      </c>
      <c r="G347">
        <f t="shared" si="167"/>
        <v>2024</v>
      </c>
      <c r="H347" t="s">
        <v>2916</v>
      </c>
      <c r="I347" s="4">
        <v>45575</v>
      </c>
      <c r="J347" s="8">
        <f t="shared" si="158"/>
        <v>153</v>
      </c>
      <c r="K347" s="8" t="str">
        <f t="shared" si="168"/>
        <v>OK</v>
      </c>
      <c r="L347" t="s">
        <v>2917</v>
      </c>
      <c r="M347" t="s">
        <v>209</v>
      </c>
      <c r="N347" t="str">
        <f t="shared" si="159"/>
        <v>Diya Patel</v>
      </c>
      <c r="O347" t="s">
        <v>114</v>
      </c>
      <c r="P347" t="str">
        <f t="shared" si="181"/>
        <v>Home Office</v>
      </c>
      <c r="Q347" t="s">
        <v>72</v>
      </c>
      <c r="R347" t="str">
        <f t="shared" si="182"/>
        <v>West</v>
      </c>
      <c r="S347" t="str">
        <f t="shared" si="169"/>
        <v>OK</v>
      </c>
      <c r="T347" t="s">
        <v>234</v>
      </c>
      <c r="U347" t="str">
        <f t="shared" si="160"/>
        <v>Gujarat</v>
      </c>
      <c r="V347" t="s">
        <v>235</v>
      </c>
      <c r="W347" t="str">
        <f t="shared" si="161"/>
        <v>Ahmedabad</v>
      </c>
      <c r="X347" t="str">
        <f t="shared" si="162"/>
        <v>Technology</v>
      </c>
      <c r="Y347" t="s">
        <v>85</v>
      </c>
      <c r="Z347" t="s">
        <v>381</v>
      </c>
      <c r="AA347" t="str">
        <f t="shared" si="163"/>
        <v>Machines</v>
      </c>
      <c r="AB347" t="s">
        <v>2918</v>
      </c>
      <c r="AC347" t="s">
        <v>47</v>
      </c>
      <c r="AD347" t="str">
        <f t="shared" si="183"/>
        <v>Same Day</v>
      </c>
      <c r="AE347" t="str">
        <f t="shared" si="170"/>
        <v>OK</v>
      </c>
      <c r="AF347">
        <v>9</v>
      </c>
      <c r="AG347">
        <v>3361.3</v>
      </c>
      <c r="AH347">
        <v>0.25</v>
      </c>
      <c r="AI347">
        <f t="shared" si="171"/>
        <v>0.25</v>
      </c>
      <c r="AJ347" t="str">
        <f t="shared" si="172"/>
        <v>OK</v>
      </c>
      <c r="AK347">
        <v>22688.78</v>
      </c>
      <c r="AL347">
        <v>14672.41</v>
      </c>
      <c r="AM347">
        <v>8016.37</v>
      </c>
      <c r="AN347" t="s">
        <v>33</v>
      </c>
      <c r="AO347" t="str">
        <f t="shared" si="164"/>
        <v>PAID</v>
      </c>
      <c r="AP347" t="str">
        <f t="shared" si="173"/>
        <v>OK</v>
      </c>
      <c r="AQ347" t="s">
        <v>34</v>
      </c>
      <c r="AR347" t="str">
        <f t="shared" si="165"/>
        <v>COMPLETED</v>
      </c>
      <c r="AS347" t="str">
        <f t="shared" si="174"/>
        <v>OK</v>
      </c>
      <c r="AT347">
        <f t="shared" si="175"/>
        <v>22688.775000000001</v>
      </c>
      <c r="AU347">
        <f t="shared" si="176"/>
        <v>8016.3650000000016</v>
      </c>
      <c r="AV347" s="6">
        <f t="shared" si="177"/>
        <v>0.24146759796419154</v>
      </c>
      <c r="AW347" t="str">
        <f t="shared" si="178"/>
        <v>CLEAN</v>
      </c>
      <c r="AX347" s="10" t="str">
        <f t="shared" si="179"/>
        <v>MATCH</v>
      </c>
      <c r="AY347" t="str">
        <f t="shared" si="180"/>
        <v>MATCH</v>
      </c>
    </row>
    <row r="348" spans="1:51">
      <c r="A348" t="s">
        <v>2919</v>
      </c>
      <c r="B348">
        <f t="shared" si="156"/>
        <v>1</v>
      </c>
      <c r="C348" t="s">
        <v>2305</v>
      </c>
      <c r="D348" s="3">
        <v>45333</v>
      </c>
      <c r="E348" t="str">
        <f t="shared" si="157"/>
        <v>2024/02/11</v>
      </c>
      <c r="F348" t="str">
        <f t="shared" si="166"/>
        <v>February</v>
      </c>
      <c r="G348">
        <f t="shared" si="167"/>
        <v>2024</v>
      </c>
      <c r="H348" t="s">
        <v>2920</v>
      </c>
      <c r="I348" s="4">
        <v>45341</v>
      </c>
      <c r="J348" s="8">
        <f t="shared" si="158"/>
        <v>8</v>
      </c>
      <c r="K348" s="8" t="str">
        <f t="shared" si="168"/>
        <v>OK</v>
      </c>
      <c r="L348" t="s">
        <v>2921</v>
      </c>
      <c r="M348" t="s">
        <v>71</v>
      </c>
      <c r="N348" t="str">
        <f t="shared" si="159"/>
        <v>Ananya Rao</v>
      </c>
      <c r="O348" t="s">
        <v>114</v>
      </c>
      <c r="P348" t="str">
        <f t="shared" si="181"/>
        <v>Home Office</v>
      </c>
      <c r="Q348" t="s">
        <v>61</v>
      </c>
      <c r="R348" t="str">
        <f t="shared" si="182"/>
        <v>South</v>
      </c>
      <c r="S348" t="str">
        <f t="shared" si="169"/>
        <v>OK</v>
      </c>
      <c r="T348" t="s">
        <v>62</v>
      </c>
      <c r="U348" t="str">
        <f t="shared" si="160"/>
        <v>Telangana</v>
      </c>
      <c r="V348" t="s">
        <v>63</v>
      </c>
      <c r="W348" t="str">
        <f t="shared" si="161"/>
        <v>Hyderabad</v>
      </c>
      <c r="X348" t="str">
        <f t="shared" si="162"/>
        <v>Furniture</v>
      </c>
      <c r="Y348" t="s">
        <v>44</v>
      </c>
      <c r="Z348" t="s">
        <v>75</v>
      </c>
      <c r="AA348" t="str">
        <f t="shared" si="163"/>
        <v>Chairs</v>
      </c>
      <c r="AB348" t="s">
        <v>2922</v>
      </c>
      <c r="AC348" t="s">
        <v>66</v>
      </c>
      <c r="AD348" t="str">
        <f t="shared" si="183"/>
        <v>Standard Class</v>
      </c>
      <c r="AE348" t="str">
        <f t="shared" si="170"/>
        <v>OK</v>
      </c>
      <c r="AF348">
        <v>8</v>
      </c>
      <c r="AG348">
        <v>3398.32</v>
      </c>
      <c r="AH348">
        <v>0.25</v>
      </c>
      <c r="AI348">
        <f t="shared" si="171"/>
        <v>0.25</v>
      </c>
      <c r="AJ348" t="str">
        <f t="shared" si="172"/>
        <v>OK</v>
      </c>
      <c r="AK348">
        <v>20389.919999999998</v>
      </c>
      <c r="AL348">
        <v>16661.080000000002</v>
      </c>
      <c r="AM348">
        <v>3728.84</v>
      </c>
      <c r="AN348" t="s">
        <v>123</v>
      </c>
      <c r="AO348" t="str">
        <f t="shared" si="164"/>
        <v>REFUNDED</v>
      </c>
      <c r="AP348" t="str">
        <f t="shared" si="173"/>
        <v>REFUNDED_PAYMENT</v>
      </c>
      <c r="AQ348" t="s">
        <v>77</v>
      </c>
      <c r="AR348" t="str">
        <f t="shared" si="165"/>
        <v>CANCELLED</v>
      </c>
      <c r="AS348" t="str">
        <f t="shared" si="174"/>
        <v>EXCLUDE_FROM_SALES</v>
      </c>
      <c r="AT348">
        <f t="shared" si="175"/>
        <v>20389.920000000002</v>
      </c>
      <c r="AU348">
        <f t="shared" si="176"/>
        <v>3728.84</v>
      </c>
      <c r="AV348" s="6">
        <f t="shared" si="177"/>
        <v>2.4697742806249361E-2</v>
      </c>
      <c r="AW348" t="str">
        <f t="shared" si="178"/>
        <v>CLEAN</v>
      </c>
      <c r="AX348" s="10" t="str">
        <f t="shared" si="179"/>
        <v>MATCH</v>
      </c>
      <c r="AY348" t="str">
        <f t="shared" si="180"/>
        <v>MATCH</v>
      </c>
    </row>
    <row r="349" spans="1:51">
      <c r="A349" t="s">
        <v>2923</v>
      </c>
      <c r="B349">
        <f t="shared" si="156"/>
        <v>1</v>
      </c>
      <c r="C349" t="s">
        <v>2924</v>
      </c>
      <c r="D349" s="3">
        <v>45392</v>
      </c>
      <c r="E349" t="str">
        <f t="shared" si="157"/>
        <v>2024/04/10</v>
      </c>
      <c r="F349" t="str">
        <f t="shared" si="166"/>
        <v>April</v>
      </c>
      <c r="G349">
        <f t="shared" si="167"/>
        <v>2024</v>
      </c>
      <c r="H349" t="s">
        <v>2925</v>
      </c>
      <c r="I349" s="4">
        <v>45572</v>
      </c>
      <c r="J349" s="8">
        <f t="shared" si="158"/>
        <v>180</v>
      </c>
      <c r="K349" s="8" t="str">
        <f t="shared" si="168"/>
        <v>OK</v>
      </c>
      <c r="L349" t="s">
        <v>2926</v>
      </c>
      <c r="M349" t="s">
        <v>147</v>
      </c>
      <c r="N349" t="str">
        <f t="shared" si="159"/>
        <v>Rahul Verma</v>
      </c>
      <c r="O349" t="s">
        <v>107</v>
      </c>
      <c r="P349" t="str">
        <f t="shared" si="181"/>
        <v>Corporate</v>
      </c>
      <c r="Q349" t="s">
        <v>61</v>
      </c>
      <c r="R349" t="str">
        <f t="shared" si="182"/>
        <v>South</v>
      </c>
      <c r="S349" t="str">
        <f t="shared" si="169"/>
        <v>OK</v>
      </c>
      <c r="T349" t="s">
        <v>241</v>
      </c>
      <c r="U349" t="str">
        <f t="shared" si="160"/>
        <v>Kerala</v>
      </c>
      <c r="V349" t="s">
        <v>242</v>
      </c>
      <c r="W349" t="str">
        <f t="shared" si="161"/>
        <v>Kochi</v>
      </c>
      <c r="X349" t="str">
        <f t="shared" si="162"/>
        <v>Office Supplies</v>
      </c>
      <c r="Y349" t="s">
        <v>29</v>
      </c>
      <c r="Z349" t="s">
        <v>53</v>
      </c>
      <c r="AA349" t="str">
        <f t="shared" si="163"/>
        <v>Art</v>
      </c>
      <c r="AB349" t="s">
        <v>2927</v>
      </c>
      <c r="AC349" t="s">
        <v>32</v>
      </c>
      <c r="AD349" t="str">
        <f t="shared" si="183"/>
        <v>Second Class</v>
      </c>
      <c r="AE349" t="str">
        <f t="shared" si="170"/>
        <v>OK</v>
      </c>
      <c r="AF349">
        <v>2</v>
      </c>
      <c r="AG349">
        <v>3144.38</v>
      </c>
      <c r="AH349">
        <v>0.1</v>
      </c>
      <c r="AI349">
        <f t="shared" si="171"/>
        <v>0.1</v>
      </c>
      <c r="AJ349" t="str">
        <f t="shared" si="172"/>
        <v>OK</v>
      </c>
      <c r="AK349">
        <v>5904.57</v>
      </c>
      <c r="AL349">
        <v>4337.79</v>
      </c>
      <c r="AM349">
        <v>1322.09</v>
      </c>
      <c r="AN349" t="s">
        <v>33</v>
      </c>
      <c r="AO349" t="str">
        <f t="shared" si="164"/>
        <v>PAID</v>
      </c>
      <c r="AP349" t="str">
        <f t="shared" si="173"/>
        <v>OK</v>
      </c>
      <c r="AQ349" t="s">
        <v>34</v>
      </c>
      <c r="AR349" t="str">
        <f t="shared" si="165"/>
        <v>COMPLETED</v>
      </c>
      <c r="AS349" t="str">
        <f t="shared" si="174"/>
        <v>OK</v>
      </c>
      <c r="AT349">
        <f t="shared" si="175"/>
        <v>5659.884</v>
      </c>
      <c r="AU349">
        <f t="shared" si="176"/>
        <v>1322.0940000000001</v>
      </c>
      <c r="AV349" s="6">
        <f t="shared" si="177"/>
        <v>0.27361302811153038</v>
      </c>
      <c r="AW349" t="str">
        <f t="shared" si="178"/>
        <v>CLEAN</v>
      </c>
      <c r="AX349" s="10" t="str">
        <f t="shared" si="179"/>
        <v>MISMATCH</v>
      </c>
      <c r="AY349" t="str">
        <f t="shared" si="180"/>
        <v>MATCH</v>
      </c>
    </row>
    <row r="350" spans="1:51">
      <c r="A350" t="s">
        <v>2928</v>
      </c>
      <c r="B350">
        <f t="shared" si="156"/>
        <v>1</v>
      </c>
      <c r="C350" t="s">
        <v>2929</v>
      </c>
      <c r="D350" s="2">
        <v>45520</v>
      </c>
      <c r="E350" t="str">
        <f t="shared" si="157"/>
        <v>2024/08/16</v>
      </c>
      <c r="F350" t="str">
        <f t="shared" si="166"/>
        <v>August</v>
      </c>
      <c r="G350">
        <f t="shared" si="167"/>
        <v>2024</v>
      </c>
      <c r="H350" t="s">
        <v>2860</v>
      </c>
      <c r="I350" s="4">
        <v>45523</v>
      </c>
      <c r="J350" s="8">
        <f t="shared" si="158"/>
        <v>3</v>
      </c>
      <c r="K350" s="8" t="str">
        <f t="shared" si="168"/>
        <v>OK</v>
      </c>
      <c r="L350" t="s">
        <v>2930</v>
      </c>
      <c r="M350" t="s">
        <v>365</v>
      </c>
      <c r="N350" t="str">
        <f t="shared" si="159"/>
        <v>Kabir Singh</v>
      </c>
      <c r="O350" t="s">
        <v>25</v>
      </c>
      <c r="P350" t="str">
        <f t="shared" si="181"/>
        <v>Consumer</v>
      </c>
      <c r="Q350" t="s">
        <v>61</v>
      </c>
      <c r="R350" t="str">
        <f t="shared" si="182"/>
        <v>South</v>
      </c>
      <c r="S350" t="str">
        <f t="shared" si="169"/>
        <v>OK</v>
      </c>
      <c r="T350" t="s">
        <v>62</v>
      </c>
      <c r="U350" t="str">
        <f t="shared" si="160"/>
        <v>Telangana</v>
      </c>
      <c r="V350" t="s">
        <v>63</v>
      </c>
      <c r="W350" t="str">
        <f t="shared" si="161"/>
        <v>Hyderabad</v>
      </c>
      <c r="X350" t="str">
        <f t="shared" si="162"/>
        <v>Office Supplies</v>
      </c>
      <c r="Y350" t="s">
        <v>29</v>
      </c>
      <c r="Z350" t="s">
        <v>30</v>
      </c>
      <c r="AA350" t="str">
        <f t="shared" si="163"/>
        <v>Paper</v>
      </c>
      <c r="AB350" t="s">
        <v>2931</v>
      </c>
      <c r="AC350" t="s">
        <v>66</v>
      </c>
      <c r="AD350" t="str">
        <f t="shared" si="183"/>
        <v>Standard Class</v>
      </c>
      <c r="AE350" t="str">
        <f t="shared" si="170"/>
        <v>OK</v>
      </c>
      <c r="AF350">
        <v>6</v>
      </c>
      <c r="AG350">
        <v>3925.55</v>
      </c>
      <c r="AH350">
        <v>0.2</v>
      </c>
      <c r="AI350">
        <f t="shared" si="171"/>
        <v>0.2</v>
      </c>
      <c r="AJ350" t="str">
        <f t="shared" si="172"/>
        <v>OK</v>
      </c>
      <c r="AK350">
        <v>18842.64</v>
      </c>
      <c r="AL350">
        <v>11840.58</v>
      </c>
      <c r="AM350">
        <v>7002.06</v>
      </c>
      <c r="AN350" t="s">
        <v>33</v>
      </c>
      <c r="AO350" t="str">
        <f t="shared" si="164"/>
        <v>PAID</v>
      </c>
      <c r="AP350" t="str">
        <f t="shared" si="173"/>
        <v>OK</v>
      </c>
      <c r="AQ350" t="s">
        <v>34</v>
      </c>
      <c r="AR350" t="str">
        <f t="shared" si="165"/>
        <v>COMPLETED</v>
      </c>
      <c r="AS350" t="str">
        <f t="shared" si="174"/>
        <v>OK</v>
      </c>
      <c r="AT350">
        <f t="shared" si="175"/>
        <v>18842.640000000003</v>
      </c>
      <c r="AU350">
        <f t="shared" si="176"/>
        <v>7002.0600000000031</v>
      </c>
      <c r="AV350" s="6">
        <f t="shared" si="177"/>
        <v>0.30932990281616579</v>
      </c>
      <c r="AW350" t="str">
        <f t="shared" si="178"/>
        <v>CLEAN</v>
      </c>
      <c r="AX350" s="10" t="str">
        <f t="shared" si="179"/>
        <v>MATCH</v>
      </c>
      <c r="AY350" t="str">
        <f t="shared" si="180"/>
        <v>MATCH</v>
      </c>
    </row>
    <row r="351" spans="1:51">
      <c r="A351" t="s">
        <v>2932</v>
      </c>
      <c r="B351">
        <f t="shared" si="156"/>
        <v>1</v>
      </c>
      <c r="C351" t="s">
        <v>2933</v>
      </c>
      <c r="D351" s="3">
        <v>45564</v>
      </c>
      <c r="E351" t="str">
        <f t="shared" si="157"/>
        <v>2024/09/29</v>
      </c>
      <c r="F351" t="str">
        <f t="shared" si="166"/>
        <v>September</v>
      </c>
      <c r="G351">
        <f t="shared" si="167"/>
        <v>2024</v>
      </c>
      <c r="H351" t="s">
        <v>973</v>
      </c>
      <c r="I351" s="4">
        <v>45565</v>
      </c>
      <c r="J351" s="8">
        <f t="shared" si="158"/>
        <v>1</v>
      </c>
      <c r="K351" s="8" t="str">
        <f t="shared" si="168"/>
        <v>OK</v>
      </c>
      <c r="L351" t="s">
        <v>2934</v>
      </c>
      <c r="M351" t="s">
        <v>39</v>
      </c>
      <c r="N351" t="str">
        <f t="shared" si="159"/>
        <v>Mira Das</v>
      </c>
      <c r="O351" t="s">
        <v>114</v>
      </c>
      <c r="P351" t="str">
        <f t="shared" si="181"/>
        <v>Home Office</v>
      </c>
      <c r="Q351" t="s">
        <v>61</v>
      </c>
      <c r="R351" t="str">
        <f t="shared" si="182"/>
        <v>South</v>
      </c>
      <c r="S351" t="str">
        <f t="shared" si="169"/>
        <v>OK</v>
      </c>
      <c r="T351" t="s">
        <v>62</v>
      </c>
      <c r="U351" t="str">
        <f t="shared" si="160"/>
        <v>Telangana</v>
      </c>
      <c r="V351" t="s">
        <v>63</v>
      </c>
      <c r="W351" t="str">
        <f t="shared" si="161"/>
        <v>Hyderabad</v>
      </c>
      <c r="X351" t="str">
        <f t="shared" si="162"/>
        <v>Technology</v>
      </c>
      <c r="Y351" t="s">
        <v>85</v>
      </c>
      <c r="Z351" t="s">
        <v>222</v>
      </c>
      <c r="AA351" t="str">
        <f t="shared" si="163"/>
        <v>Phones</v>
      </c>
      <c r="AB351" t="s">
        <v>2935</v>
      </c>
      <c r="AC351" t="s">
        <v>66</v>
      </c>
      <c r="AD351" t="str">
        <f t="shared" si="183"/>
        <v>Standard Class</v>
      </c>
      <c r="AE351" t="str">
        <f t="shared" si="170"/>
        <v>OK</v>
      </c>
      <c r="AF351">
        <v>9</v>
      </c>
      <c r="AG351">
        <v>2741.91</v>
      </c>
      <c r="AH351">
        <v>0</v>
      </c>
      <c r="AI351">
        <f t="shared" si="171"/>
        <v>0</v>
      </c>
      <c r="AJ351" t="str">
        <f t="shared" si="172"/>
        <v>OK</v>
      </c>
      <c r="AK351">
        <v>24677.19</v>
      </c>
      <c r="AL351">
        <v>20350.849999999999</v>
      </c>
      <c r="AM351">
        <v>4326.34</v>
      </c>
      <c r="AN351" t="s">
        <v>33</v>
      </c>
      <c r="AO351" t="str">
        <f t="shared" si="164"/>
        <v>PAID</v>
      </c>
      <c r="AP351" t="str">
        <f t="shared" si="173"/>
        <v>OK</v>
      </c>
      <c r="AQ351" t="s">
        <v>34</v>
      </c>
      <c r="AR351" t="str">
        <f t="shared" si="165"/>
        <v>COMPLETED</v>
      </c>
      <c r="AS351" t="str">
        <f t="shared" si="174"/>
        <v>OK</v>
      </c>
      <c r="AT351">
        <f t="shared" si="175"/>
        <v>24677.19</v>
      </c>
      <c r="AU351">
        <f t="shared" si="176"/>
        <v>4326.34</v>
      </c>
      <c r="AW351" t="str">
        <f t="shared" si="178"/>
        <v>CLEAN</v>
      </c>
      <c r="AX351" s="10" t="str">
        <f t="shared" si="179"/>
        <v>MATCH</v>
      </c>
      <c r="AY351" t="str">
        <f t="shared" si="180"/>
        <v>MATCH</v>
      </c>
    </row>
    <row r="352" spans="1:51">
      <c r="A352" t="s">
        <v>2936</v>
      </c>
      <c r="B352">
        <f t="shared" si="156"/>
        <v>1</v>
      </c>
      <c r="C352" t="s">
        <v>2937</v>
      </c>
      <c r="D352" s="3">
        <v>45496</v>
      </c>
      <c r="E352" t="str">
        <f t="shared" si="157"/>
        <v>2024/07/23</v>
      </c>
      <c r="F352" t="str">
        <f t="shared" si="166"/>
        <v>July</v>
      </c>
      <c r="G352">
        <f t="shared" si="167"/>
        <v>2024</v>
      </c>
      <c r="H352" t="s">
        <v>528</v>
      </c>
      <c r="I352" s="4">
        <v>45503</v>
      </c>
      <c r="J352" s="8">
        <f t="shared" si="158"/>
        <v>7</v>
      </c>
      <c r="K352" s="8" t="str">
        <f t="shared" si="168"/>
        <v>OK</v>
      </c>
      <c r="L352" t="s">
        <v>2938</v>
      </c>
      <c r="M352" t="s">
        <v>365</v>
      </c>
      <c r="N352" t="str">
        <f t="shared" si="159"/>
        <v>Kabir Singh</v>
      </c>
      <c r="O352" t="s">
        <v>107</v>
      </c>
      <c r="P352" t="str">
        <f t="shared" si="181"/>
        <v>Corporate</v>
      </c>
      <c r="Q352" t="s">
        <v>26</v>
      </c>
      <c r="R352" t="str">
        <f t="shared" si="182"/>
        <v>North</v>
      </c>
      <c r="S352" t="str">
        <f t="shared" si="169"/>
        <v>OK</v>
      </c>
      <c r="T352" t="s">
        <v>27</v>
      </c>
      <c r="U352" t="str">
        <f t="shared" si="160"/>
        <v>Rajasthan</v>
      </c>
      <c r="V352" t="s">
        <v>28</v>
      </c>
      <c r="W352" t="str">
        <f t="shared" si="161"/>
        <v>Jaipur</v>
      </c>
      <c r="X352" t="str">
        <f t="shared" si="162"/>
        <v>Furniture</v>
      </c>
      <c r="Y352" t="s">
        <v>44</v>
      </c>
      <c r="Z352" t="s">
        <v>45</v>
      </c>
      <c r="AA352" t="str">
        <f t="shared" si="163"/>
        <v>Tables</v>
      </c>
      <c r="AB352" t="s">
        <v>2939</v>
      </c>
      <c r="AC352" t="s">
        <v>47</v>
      </c>
      <c r="AD352" t="str">
        <f t="shared" si="183"/>
        <v>Same Day</v>
      </c>
      <c r="AE352" t="str">
        <f t="shared" si="170"/>
        <v>OK</v>
      </c>
      <c r="AF352">
        <v>9</v>
      </c>
      <c r="AG352">
        <v>1870.11</v>
      </c>
      <c r="AH352">
        <v>0.25</v>
      </c>
      <c r="AI352">
        <f t="shared" si="171"/>
        <v>0.25</v>
      </c>
      <c r="AJ352" t="str">
        <f t="shared" si="172"/>
        <v>OK</v>
      </c>
      <c r="AK352">
        <v>12623.24</v>
      </c>
      <c r="AL352">
        <v>10540.8</v>
      </c>
      <c r="AM352">
        <v>2082.44</v>
      </c>
      <c r="AN352" t="s">
        <v>199</v>
      </c>
      <c r="AO352" t="str">
        <f t="shared" si="164"/>
        <v>FAILED</v>
      </c>
      <c r="AP352" t="str">
        <f t="shared" si="173"/>
        <v>EXCLUDE_FROM_SALES</v>
      </c>
      <c r="AQ352" t="s">
        <v>77</v>
      </c>
      <c r="AR352" t="str">
        <f t="shared" si="165"/>
        <v>CANCELLED</v>
      </c>
      <c r="AS352" t="str">
        <f t="shared" si="174"/>
        <v>EXCLUDE_FROM_SALES</v>
      </c>
      <c r="AT352">
        <f t="shared" si="175"/>
        <v>12623.242499999998</v>
      </c>
      <c r="AU352">
        <f t="shared" si="176"/>
        <v>2082.4424999999992</v>
      </c>
      <c r="AV352" s="6">
        <f t="shared" si="177"/>
        <v>5.4470949124204825E-2</v>
      </c>
      <c r="AW352" t="str">
        <f t="shared" si="178"/>
        <v>CLEAN</v>
      </c>
      <c r="AX352" s="10" t="str">
        <f t="shared" si="179"/>
        <v>MATCH</v>
      </c>
      <c r="AY352" t="str">
        <f t="shared" si="180"/>
        <v>MATCH</v>
      </c>
    </row>
    <row r="353" spans="1:51">
      <c r="A353" t="s">
        <v>2940</v>
      </c>
      <c r="B353">
        <f t="shared" si="156"/>
        <v>1</v>
      </c>
      <c r="C353" t="s">
        <v>910</v>
      </c>
      <c r="D353" s="3">
        <v>45618</v>
      </c>
      <c r="E353" t="str">
        <f t="shared" si="157"/>
        <v>2024/11/22</v>
      </c>
      <c r="F353" t="str">
        <f t="shared" si="166"/>
        <v>November</v>
      </c>
      <c r="G353">
        <f t="shared" si="167"/>
        <v>2024</v>
      </c>
      <c r="H353" t="s">
        <v>2941</v>
      </c>
      <c r="I353" s="4">
        <v>45623</v>
      </c>
      <c r="J353" s="8">
        <f t="shared" si="158"/>
        <v>5</v>
      </c>
      <c r="K353" s="8" t="str">
        <f t="shared" si="168"/>
        <v>OK</v>
      </c>
      <c r="L353" t="s">
        <v>2942</v>
      </c>
      <c r="M353" t="s">
        <v>141</v>
      </c>
      <c r="N353" t="str">
        <f t="shared" si="159"/>
        <v>Priya Menon</v>
      </c>
      <c r="O353" t="s">
        <v>107</v>
      </c>
      <c r="P353" t="str">
        <f t="shared" si="181"/>
        <v>Corporate</v>
      </c>
      <c r="Q353" t="s">
        <v>61</v>
      </c>
      <c r="R353" t="str">
        <f t="shared" si="182"/>
        <v>South</v>
      </c>
      <c r="S353" t="str">
        <f t="shared" si="169"/>
        <v>OK</v>
      </c>
      <c r="T353" t="s">
        <v>338</v>
      </c>
      <c r="U353" t="str">
        <f t="shared" si="160"/>
        <v>Tamil Nadu</v>
      </c>
      <c r="V353" t="s">
        <v>339</v>
      </c>
      <c r="W353" t="str">
        <f t="shared" si="161"/>
        <v>Chennai</v>
      </c>
      <c r="X353" t="str">
        <f t="shared" si="162"/>
        <v>Office Supplies</v>
      </c>
      <c r="Y353" t="s">
        <v>29</v>
      </c>
      <c r="Z353" t="s">
        <v>197</v>
      </c>
      <c r="AA353" t="str">
        <f t="shared" si="163"/>
        <v>Binders</v>
      </c>
      <c r="AB353" t="s">
        <v>2943</v>
      </c>
      <c r="AC353" t="s">
        <v>55</v>
      </c>
      <c r="AD353" t="str">
        <f t="shared" si="183"/>
        <v>First Class</v>
      </c>
      <c r="AE353" t="str">
        <f t="shared" si="170"/>
        <v>OK</v>
      </c>
      <c r="AF353">
        <v>1</v>
      </c>
      <c r="AG353">
        <v>4251.26</v>
      </c>
      <c r="AH353">
        <v>0.2</v>
      </c>
      <c r="AI353">
        <f t="shared" si="171"/>
        <v>0.2</v>
      </c>
      <c r="AJ353" t="str">
        <f t="shared" si="172"/>
        <v>OK</v>
      </c>
      <c r="AK353">
        <v>3401.01</v>
      </c>
      <c r="AL353">
        <v>2917.54</v>
      </c>
      <c r="AM353">
        <v>483.47</v>
      </c>
      <c r="AN353" t="s">
        <v>123</v>
      </c>
      <c r="AO353" t="str">
        <f t="shared" si="164"/>
        <v>REFUNDED</v>
      </c>
      <c r="AP353" t="str">
        <f t="shared" si="173"/>
        <v>REFUNDED_PAYMENT</v>
      </c>
      <c r="AQ353" t="s">
        <v>124</v>
      </c>
      <c r="AR353" t="str">
        <f t="shared" si="165"/>
        <v>RETURNED</v>
      </c>
      <c r="AS353" t="str">
        <f t="shared" si="174"/>
        <v>RETURNED_ORDER</v>
      </c>
      <c r="AT353">
        <f t="shared" si="175"/>
        <v>3401.0080000000003</v>
      </c>
      <c r="AU353">
        <f t="shared" si="176"/>
        <v>483.4680000000003</v>
      </c>
      <c r="AV353" s="6">
        <f t="shared" si="177"/>
        <v>0.67880757704774586</v>
      </c>
      <c r="AW353" t="str">
        <f t="shared" si="178"/>
        <v>CLEAN</v>
      </c>
      <c r="AX353" s="10" t="str">
        <f t="shared" si="179"/>
        <v>MATCH</v>
      </c>
      <c r="AY353" t="str">
        <f t="shared" si="180"/>
        <v>MATCH</v>
      </c>
    </row>
    <row r="354" spans="1:51">
      <c r="A354" t="s">
        <v>2944</v>
      </c>
      <c r="B354">
        <f t="shared" si="156"/>
        <v>1</v>
      </c>
      <c r="C354" t="s">
        <v>2945</v>
      </c>
      <c r="D354" s="3">
        <v>45522</v>
      </c>
      <c r="E354" t="str">
        <f t="shared" si="157"/>
        <v>2024/08/18</v>
      </c>
      <c r="F354" t="str">
        <f t="shared" si="166"/>
        <v>August</v>
      </c>
      <c r="G354">
        <f t="shared" si="167"/>
        <v>2024</v>
      </c>
      <c r="H354" t="s">
        <v>2946</v>
      </c>
      <c r="I354" s="4">
        <v>45525</v>
      </c>
      <c r="J354" s="8">
        <f t="shared" si="158"/>
        <v>3</v>
      </c>
      <c r="K354" s="8" t="str">
        <f t="shared" si="168"/>
        <v>OK</v>
      </c>
      <c r="L354" t="s">
        <v>2947</v>
      </c>
      <c r="M354" t="s">
        <v>82</v>
      </c>
      <c r="N354" t="str">
        <f t="shared" si="159"/>
        <v>Vikram Iyer</v>
      </c>
      <c r="O354" t="s">
        <v>25</v>
      </c>
      <c r="P354" t="str">
        <f t="shared" si="181"/>
        <v>Consumer</v>
      </c>
      <c r="Q354" t="s">
        <v>26</v>
      </c>
      <c r="R354" t="str">
        <f t="shared" si="182"/>
        <v>North</v>
      </c>
      <c r="S354" t="str">
        <f t="shared" si="169"/>
        <v>OK</v>
      </c>
      <c r="T354" t="s">
        <v>173</v>
      </c>
      <c r="U354" t="str">
        <f t="shared" si="160"/>
        <v>Uttar Pradesh</v>
      </c>
      <c r="V354" t="s">
        <v>174</v>
      </c>
      <c r="W354" t="str">
        <f t="shared" si="161"/>
        <v>Noida</v>
      </c>
      <c r="X354" t="str">
        <f t="shared" si="162"/>
        <v>Technology</v>
      </c>
      <c r="Y354" t="s">
        <v>85</v>
      </c>
      <c r="Z354" t="s">
        <v>381</v>
      </c>
      <c r="AA354" t="str">
        <f t="shared" si="163"/>
        <v>Machines</v>
      </c>
      <c r="AB354" t="s">
        <v>2948</v>
      </c>
      <c r="AC354" t="s">
        <v>66</v>
      </c>
      <c r="AD354" t="str">
        <f t="shared" si="183"/>
        <v>Standard Class</v>
      </c>
      <c r="AE354" t="str">
        <f t="shared" si="170"/>
        <v>OK</v>
      </c>
      <c r="AF354">
        <v>9</v>
      </c>
      <c r="AG354">
        <v>734.34</v>
      </c>
      <c r="AH354">
        <v>0</v>
      </c>
      <c r="AI354">
        <f t="shared" si="171"/>
        <v>0</v>
      </c>
      <c r="AJ354" t="str">
        <f t="shared" si="172"/>
        <v>OK</v>
      </c>
      <c r="AK354">
        <v>6609.06</v>
      </c>
      <c r="AL354">
        <v>4946.78</v>
      </c>
      <c r="AM354">
        <v>1662.28</v>
      </c>
      <c r="AN354" t="s">
        <v>33</v>
      </c>
      <c r="AO354" t="str">
        <f t="shared" si="164"/>
        <v>PAID</v>
      </c>
      <c r="AP354" t="str">
        <f t="shared" si="173"/>
        <v>OK</v>
      </c>
      <c r="AQ354" t="s">
        <v>34</v>
      </c>
      <c r="AR354" t="str">
        <f t="shared" si="165"/>
        <v>COMPLETED</v>
      </c>
      <c r="AS354" t="str">
        <f t="shared" si="174"/>
        <v>OK</v>
      </c>
      <c r="AT354">
        <f t="shared" si="175"/>
        <v>6609.06</v>
      </c>
      <c r="AU354">
        <f t="shared" si="176"/>
        <v>1662.2800000000007</v>
      </c>
      <c r="AW354" t="str">
        <f t="shared" si="178"/>
        <v>CLEAN</v>
      </c>
      <c r="AX354" s="10" t="str">
        <f t="shared" si="179"/>
        <v>MATCH</v>
      </c>
      <c r="AY354" t="str">
        <f t="shared" si="180"/>
        <v>MATCH</v>
      </c>
    </row>
    <row r="355" spans="1:51">
      <c r="A355" t="s">
        <v>2949</v>
      </c>
      <c r="B355">
        <f t="shared" si="156"/>
        <v>1</v>
      </c>
      <c r="C355" t="s">
        <v>57</v>
      </c>
      <c r="D355" s="3">
        <v>45624</v>
      </c>
      <c r="E355" t="str">
        <f t="shared" si="157"/>
        <v>2024/11/28</v>
      </c>
      <c r="F355" t="str">
        <f t="shared" si="166"/>
        <v>November</v>
      </c>
      <c r="G355">
        <f t="shared" si="167"/>
        <v>2024</v>
      </c>
      <c r="H355" t="s">
        <v>2950</v>
      </c>
      <c r="I355" s="4">
        <v>45455</v>
      </c>
      <c r="J355" s="8">
        <f t="shared" si="158"/>
        <v>-169</v>
      </c>
      <c r="K355" s="8" t="str">
        <f t="shared" si="168"/>
        <v>INVAILD_SHIPPING</v>
      </c>
      <c r="L355" t="s">
        <v>2951</v>
      </c>
      <c r="M355" t="s">
        <v>106</v>
      </c>
      <c r="N355" t="str">
        <f t="shared" si="159"/>
        <v>Aditi Sen</v>
      </c>
      <c r="O355" t="s">
        <v>25</v>
      </c>
      <c r="P355" t="str">
        <f t="shared" si="181"/>
        <v>Consumer</v>
      </c>
      <c r="Q355" t="s">
        <v>72</v>
      </c>
      <c r="R355" t="str">
        <f t="shared" si="182"/>
        <v>West</v>
      </c>
      <c r="S355" t="str">
        <f t="shared" si="169"/>
        <v>OK</v>
      </c>
      <c r="T355" t="s">
        <v>73</v>
      </c>
      <c r="U355" t="str">
        <f t="shared" si="160"/>
        <v>Maharashtra</v>
      </c>
      <c r="V355" t="s">
        <v>74</v>
      </c>
      <c r="W355" t="str">
        <f t="shared" si="161"/>
        <v>Mumbai</v>
      </c>
      <c r="X355" t="str">
        <f t="shared" si="162"/>
        <v>Furniture</v>
      </c>
      <c r="Y355" t="s">
        <v>44</v>
      </c>
      <c r="Z355" t="s">
        <v>75</v>
      </c>
      <c r="AA355" t="str">
        <f t="shared" si="163"/>
        <v>Chairs</v>
      </c>
      <c r="AB355" t="s">
        <v>2952</v>
      </c>
      <c r="AC355" t="s">
        <v>47</v>
      </c>
      <c r="AD355" t="str">
        <f t="shared" si="183"/>
        <v>Same Day</v>
      </c>
      <c r="AE355" t="str">
        <f t="shared" si="170"/>
        <v>OK</v>
      </c>
      <c r="AF355">
        <v>5</v>
      </c>
      <c r="AG355">
        <v>1092.8399999999999</v>
      </c>
      <c r="AI355">
        <f t="shared" si="171"/>
        <v>0</v>
      </c>
      <c r="AJ355" t="str">
        <f t="shared" si="172"/>
        <v>Missing Discount</v>
      </c>
      <c r="AK355">
        <v>5464.2</v>
      </c>
      <c r="AL355">
        <v>3318.09</v>
      </c>
      <c r="AM355">
        <v>2146.11</v>
      </c>
      <c r="AN355" t="s">
        <v>33</v>
      </c>
      <c r="AO355" t="str">
        <f t="shared" si="164"/>
        <v>PAID</v>
      </c>
      <c r="AP355" t="str">
        <f t="shared" si="173"/>
        <v>OK</v>
      </c>
      <c r="AQ355" t="s">
        <v>34</v>
      </c>
      <c r="AR355" t="str">
        <f t="shared" si="165"/>
        <v>COMPLETED</v>
      </c>
      <c r="AS355" t="str">
        <f t="shared" si="174"/>
        <v>OK</v>
      </c>
      <c r="AT355">
        <f t="shared" si="175"/>
        <v>5464.2</v>
      </c>
      <c r="AU355">
        <f t="shared" si="176"/>
        <v>2146.1099999999997</v>
      </c>
      <c r="AV355" s="6">
        <f t="shared" si="177"/>
        <v>8.6229274184693089E-2</v>
      </c>
      <c r="AW355" t="str">
        <f t="shared" si="178"/>
        <v>INVALID</v>
      </c>
      <c r="AX355" s="10" t="str">
        <f t="shared" si="179"/>
        <v>MATCH</v>
      </c>
      <c r="AY355" t="str">
        <f t="shared" si="180"/>
        <v>MATCH</v>
      </c>
    </row>
    <row r="356" spans="1:51">
      <c r="A356" t="s">
        <v>2958</v>
      </c>
      <c r="B356">
        <f t="shared" si="156"/>
        <v>1</v>
      </c>
      <c r="C356" t="s">
        <v>2959</v>
      </c>
      <c r="D356" s="2">
        <v>45512</v>
      </c>
      <c r="E356" t="str">
        <f t="shared" si="157"/>
        <v>2024/08/08</v>
      </c>
      <c r="F356" t="str">
        <f t="shared" si="166"/>
        <v>August</v>
      </c>
      <c r="G356">
        <f t="shared" si="167"/>
        <v>2024</v>
      </c>
      <c r="H356" t="s">
        <v>2960</v>
      </c>
      <c r="I356" s="4">
        <v>45518</v>
      </c>
      <c r="J356" s="8">
        <f t="shared" si="158"/>
        <v>6</v>
      </c>
      <c r="K356" s="8" t="str">
        <f t="shared" si="168"/>
        <v>OK</v>
      </c>
      <c r="L356" t="s">
        <v>2961</v>
      </c>
      <c r="M356" t="s">
        <v>82</v>
      </c>
      <c r="N356" t="str">
        <f t="shared" si="159"/>
        <v>Vikram Iyer</v>
      </c>
      <c r="O356" t="s">
        <v>114</v>
      </c>
      <c r="P356" t="str">
        <f t="shared" si="181"/>
        <v>Home Office</v>
      </c>
      <c r="Q356" t="s">
        <v>26</v>
      </c>
      <c r="R356" t="str">
        <f t="shared" si="182"/>
        <v>North</v>
      </c>
      <c r="S356" t="str">
        <f t="shared" si="169"/>
        <v>OK</v>
      </c>
      <c r="T356" t="s">
        <v>153</v>
      </c>
      <c r="U356" t="str">
        <f t="shared" si="160"/>
        <v>Punjab</v>
      </c>
      <c r="V356" t="s">
        <v>154</v>
      </c>
      <c r="W356" t="str">
        <f t="shared" si="161"/>
        <v>Ludhiana</v>
      </c>
      <c r="X356" t="str">
        <f t="shared" si="162"/>
        <v>Office Supplies</v>
      </c>
      <c r="Y356" t="s">
        <v>29</v>
      </c>
      <c r="Z356" t="s">
        <v>155</v>
      </c>
      <c r="AA356" t="str">
        <f t="shared" si="163"/>
        <v>Storage</v>
      </c>
      <c r="AB356" t="s">
        <v>2962</v>
      </c>
      <c r="AC356" t="s">
        <v>32</v>
      </c>
      <c r="AD356" t="str">
        <f t="shared" si="183"/>
        <v>Second Class</v>
      </c>
      <c r="AE356" t="str">
        <f t="shared" si="170"/>
        <v>OK</v>
      </c>
      <c r="AF356">
        <v>8</v>
      </c>
      <c r="AG356">
        <v>1359.19</v>
      </c>
      <c r="AH356">
        <v>0.05</v>
      </c>
      <c r="AI356">
        <f t="shared" si="171"/>
        <v>0.05</v>
      </c>
      <c r="AJ356" t="str">
        <f t="shared" si="172"/>
        <v>OK</v>
      </c>
      <c r="AK356">
        <v>10329.84</v>
      </c>
      <c r="AL356">
        <v>7512.22</v>
      </c>
      <c r="AM356">
        <v>2817.62</v>
      </c>
      <c r="AN356" t="s">
        <v>33</v>
      </c>
      <c r="AO356" t="str">
        <f t="shared" si="164"/>
        <v>PAID</v>
      </c>
      <c r="AP356" t="str">
        <f t="shared" si="173"/>
        <v>OK</v>
      </c>
      <c r="AQ356" t="s">
        <v>34</v>
      </c>
      <c r="AR356" t="str">
        <f t="shared" si="165"/>
        <v>COMPLETED</v>
      </c>
      <c r="AS356" t="str">
        <f t="shared" si="174"/>
        <v>OK</v>
      </c>
      <c r="AT356">
        <f t="shared" si="175"/>
        <v>10329.843999999999</v>
      </c>
      <c r="AU356">
        <f t="shared" si="176"/>
        <v>2817.6239999999989</v>
      </c>
      <c r="AV356" s="6">
        <f t="shared" si="177"/>
        <v>4.0996262867086814E-3</v>
      </c>
      <c r="AW356" t="str">
        <f t="shared" si="178"/>
        <v>CLEAN</v>
      </c>
      <c r="AX356" s="10" t="str">
        <f t="shared" si="179"/>
        <v>MATCH</v>
      </c>
      <c r="AY356" t="str">
        <f t="shared" si="180"/>
        <v>MATCH</v>
      </c>
    </row>
    <row r="357" spans="1:51">
      <c r="A357" t="s">
        <v>2963</v>
      </c>
      <c r="B357">
        <f t="shared" si="156"/>
        <v>1</v>
      </c>
      <c r="C357" t="s">
        <v>2964</v>
      </c>
      <c r="D357" s="3">
        <v>45321</v>
      </c>
      <c r="E357" t="str">
        <f t="shared" si="157"/>
        <v>2024/01/30</v>
      </c>
      <c r="F357" t="str">
        <f t="shared" si="166"/>
        <v>January</v>
      </c>
      <c r="G357">
        <f t="shared" si="167"/>
        <v>2024</v>
      </c>
      <c r="H357" t="s">
        <v>2965</v>
      </c>
      <c r="I357" s="4">
        <v>45323</v>
      </c>
      <c r="J357" s="8">
        <f t="shared" si="158"/>
        <v>2</v>
      </c>
      <c r="K357" s="8" t="str">
        <f t="shared" si="168"/>
        <v>OK</v>
      </c>
      <c r="L357" t="s">
        <v>2966</v>
      </c>
      <c r="M357" t="s">
        <v>92</v>
      </c>
      <c r="N357" t="str">
        <f t="shared" si="159"/>
        <v>Neha Gupta</v>
      </c>
      <c r="O357" t="s">
        <v>114</v>
      </c>
      <c r="P357" t="str">
        <f t="shared" si="181"/>
        <v>Home Office</v>
      </c>
      <c r="Q357" t="s">
        <v>41</v>
      </c>
      <c r="R357" t="str">
        <f t="shared" si="182"/>
        <v>East</v>
      </c>
      <c r="S357" t="str">
        <f t="shared" si="169"/>
        <v>OK</v>
      </c>
      <c r="T357" t="s">
        <v>215</v>
      </c>
      <c r="U357" t="str">
        <f t="shared" si="160"/>
        <v>Assam</v>
      </c>
      <c r="V357" t="s">
        <v>216</v>
      </c>
      <c r="W357" t="str">
        <f t="shared" si="161"/>
        <v>Guwahati</v>
      </c>
      <c r="X357" t="str">
        <f t="shared" si="162"/>
        <v>Furniture</v>
      </c>
      <c r="Y357" t="s">
        <v>44</v>
      </c>
      <c r="Z357" t="s">
        <v>75</v>
      </c>
      <c r="AA357" t="str">
        <f t="shared" si="163"/>
        <v>Chairs</v>
      </c>
      <c r="AB357" t="s">
        <v>2967</v>
      </c>
      <c r="AC357" t="s">
        <v>55</v>
      </c>
      <c r="AD357" t="str">
        <f t="shared" si="183"/>
        <v>First Class</v>
      </c>
      <c r="AE357" t="str">
        <f t="shared" si="170"/>
        <v>OK</v>
      </c>
      <c r="AF357">
        <v>2</v>
      </c>
      <c r="AG357">
        <v>4451.03</v>
      </c>
      <c r="AH357">
        <v>0.05</v>
      </c>
      <c r="AI357">
        <f t="shared" si="171"/>
        <v>0.05</v>
      </c>
      <c r="AJ357" t="str">
        <f t="shared" si="172"/>
        <v>OK</v>
      </c>
      <c r="AK357">
        <v>8456.9599999999991</v>
      </c>
      <c r="AL357">
        <v>5462.85</v>
      </c>
      <c r="AM357">
        <v>2994.11</v>
      </c>
      <c r="AN357" t="s">
        <v>33</v>
      </c>
      <c r="AO357" t="str">
        <f t="shared" si="164"/>
        <v>PAID</v>
      </c>
      <c r="AP357" t="str">
        <f t="shared" si="173"/>
        <v>OK</v>
      </c>
      <c r="AQ357" t="s">
        <v>34</v>
      </c>
      <c r="AR357" t="str">
        <f t="shared" si="165"/>
        <v>COMPLETED</v>
      </c>
      <c r="AS357" t="str">
        <f t="shared" si="174"/>
        <v>OK</v>
      </c>
      <c r="AT357">
        <f t="shared" si="175"/>
        <v>8456.9569999999985</v>
      </c>
      <c r="AU357">
        <f t="shared" si="176"/>
        <v>2994.1069999999982</v>
      </c>
      <c r="AV357" s="6">
        <f t="shared" si="177"/>
        <v>6.2520123964210805E-2</v>
      </c>
      <c r="AW357" t="str">
        <f t="shared" si="178"/>
        <v>CLEAN</v>
      </c>
      <c r="AX357" s="10" t="str">
        <f t="shared" si="179"/>
        <v>MATCH</v>
      </c>
      <c r="AY357" t="str">
        <f t="shared" si="180"/>
        <v>MATCH</v>
      </c>
    </row>
    <row r="358" spans="1:51">
      <c r="A358" t="s">
        <v>2968</v>
      </c>
      <c r="B358">
        <f t="shared" si="156"/>
        <v>1</v>
      </c>
      <c r="C358" t="s">
        <v>2969</v>
      </c>
      <c r="D358" s="3">
        <v>45641</v>
      </c>
      <c r="E358" t="str">
        <f t="shared" si="157"/>
        <v>2024/12/15</v>
      </c>
      <c r="F358" t="str">
        <f t="shared" si="166"/>
        <v>December</v>
      </c>
      <c r="G358">
        <f t="shared" si="167"/>
        <v>2024</v>
      </c>
      <c r="H358" t="s">
        <v>1403</v>
      </c>
      <c r="I358" s="4">
        <v>45647</v>
      </c>
      <c r="J358" s="8">
        <f t="shared" si="158"/>
        <v>6</v>
      </c>
      <c r="K358" s="8" t="str">
        <f t="shared" si="168"/>
        <v>OK</v>
      </c>
      <c r="L358" t="s">
        <v>2970</v>
      </c>
      <c r="M358" t="s">
        <v>209</v>
      </c>
      <c r="N358" t="str">
        <f t="shared" si="159"/>
        <v>Diya Patel</v>
      </c>
      <c r="O358" t="s">
        <v>107</v>
      </c>
      <c r="P358" t="str">
        <f t="shared" si="181"/>
        <v>Corporate</v>
      </c>
      <c r="Q358" t="s">
        <v>72</v>
      </c>
      <c r="R358" t="str">
        <f t="shared" si="182"/>
        <v>West</v>
      </c>
      <c r="S358" t="str">
        <f t="shared" si="169"/>
        <v>OK</v>
      </c>
      <c r="T358" t="s">
        <v>27</v>
      </c>
      <c r="U358" t="str">
        <f t="shared" si="160"/>
        <v>Rajasthan</v>
      </c>
      <c r="V358" t="s">
        <v>134</v>
      </c>
      <c r="W358" t="str">
        <f t="shared" si="161"/>
        <v>Udaipur</v>
      </c>
      <c r="X358" t="str">
        <f t="shared" si="162"/>
        <v>Furniture</v>
      </c>
      <c r="Y358" t="s">
        <v>44</v>
      </c>
      <c r="Z358" t="s">
        <v>75</v>
      </c>
      <c r="AA358" t="str">
        <f t="shared" si="163"/>
        <v>Chairs</v>
      </c>
      <c r="AB358" t="s">
        <v>2971</v>
      </c>
      <c r="AC358" t="s">
        <v>47</v>
      </c>
      <c r="AD358" t="str">
        <f t="shared" si="183"/>
        <v>Same Day</v>
      </c>
      <c r="AE358" t="str">
        <f t="shared" si="170"/>
        <v>OK</v>
      </c>
      <c r="AF358">
        <v>3</v>
      </c>
      <c r="AG358">
        <v>527.66999999999996</v>
      </c>
      <c r="AH358">
        <v>0.2</v>
      </c>
      <c r="AI358">
        <f t="shared" si="171"/>
        <v>0.2</v>
      </c>
      <c r="AJ358" t="str">
        <f t="shared" si="172"/>
        <v>OK</v>
      </c>
      <c r="AK358">
        <v>1266.4100000000001</v>
      </c>
      <c r="AL358">
        <v>983.92</v>
      </c>
      <c r="AM358">
        <v>282.49</v>
      </c>
      <c r="AN358" t="s">
        <v>33</v>
      </c>
      <c r="AO358" t="str">
        <f t="shared" si="164"/>
        <v>PAID</v>
      </c>
      <c r="AP358" t="str">
        <f t="shared" si="173"/>
        <v>OK</v>
      </c>
      <c r="AQ358" t="s">
        <v>34</v>
      </c>
      <c r="AR358" t="str">
        <f t="shared" si="165"/>
        <v>COMPLETED</v>
      </c>
      <c r="AS358" t="str">
        <f t="shared" si="174"/>
        <v>OK</v>
      </c>
      <c r="AT358">
        <f t="shared" si="175"/>
        <v>1266.4079999999999</v>
      </c>
      <c r="AU358">
        <f t="shared" si="176"/>
        <v>282.48799999999994</v>
      </c>
      <c r="AV358" s="6">
        <f t="shared" si="177"/>
        <v>1.4811261457602922</v>
      </c>
      <c r="AW358" t="str">
        <f t="shared" si="178"/>
        <v>CLEAN</v>
      </c>
      <c r="AX358" s="10" t="str">
        <f t="shared" si="179"/>
        <v>MATCH</v>
      </c>
      <c r="AY358" t="str">
        <f t="shared" si="180"/>
        <v>MATCH</v>
      </c>
    </row>
    <row r="359" spans="1:51">
      <c r="A359" t="s">
        <v>2987</v>
      </c>
      <c r="B359">
        <f t="shared" si="156"/>
        <v>1</v>
      </c>
      <c r="C359" t="s">
        <v>2442</v>
      </c>
      <c r="D359" s="3">
        <v>45539</v>
      </c>
      <c r="E359" t="str">
        <f t="shared" si="157"/>
        <v>2024/09/04</v>
      </c>
      <c r="F359" t="str">
        <f t="shared" si="166"/>
        <v>September</v>
      </c>
      <c r="G359">
        <f t="shared" si="167"/>
        <v>2024</v>
      </c>
      <c r="H359" t="s">
        <v>1496</v>
      </c>
      <c r="I359" s="4">
        <v>45392</v>
      </c>
      <c r="J359" s="8">
        <f t="shared" si="158"/>
        <v>-147</v>
      </c>
      <c r="K359" s="8" t="str">
        <f t="shared" si="168"/>
        <v>INVAILD_SHIPPING</v>
      </c>
      <c r="L359" t="s">
        <v>2988</v>
      </c>
      <c r="M359" t="s">
        <v>141</v>
      </c>
      <c r="N359" t="str">
        <f t="shared" si="159"/>
        <v>Priya Menon</v>
      </c>
      <c r="O359" t="s">
        <v>107</v>
      </c>
      <c r="P359" t="str">
        <f t="shared" si="181"/>
        <v>Corporate</v>
      </c>
      <c r="Q359" t="s">
        <v>41</v>
      </c>
      <c r="R359" t="str">
        <f t="shared" si="182"/>
        <v>East</v>
      </c>
      <c r="S359" t="str">
        <f t="shared" si="169"/>
        <v>OK</v>
      </c>
      <c r="T359" t="s">
        <v>215</v>
      </c>
      <c r="U359" t="str">
        <f t="shared" si="160"/>
        <v>Assam</v>
      </c>
      <c r="V359" t="s">
        <v>216</v>
      </c>
      <c r="W359" t="str">
        <f t="shared" si="161"/>
        <v>Guwahati</v>
      </c>
      <c r="X359" t="str">
        <f t="shared" si="162"/>
        <v>Office Supplies</v>
      </c>
      <c r="Y359" t="s">
        <v>29</v>
      </c>
      <c r="Z359" t="s">
        <v>30</v>
      </c>
      <c r="AA359" t="str">
        <f t="shared" si="163"/>
        <v>Paper</v>
      </c>
      <c r="AB359" t="s">
        <v>2989</v>
      </c>
      <c r="AC359" t="s">
        <v>66</v>
      </c>
      <c r="AD359" t="str">
        <f t="shared" si="183"/>
        <v>Standard Class</v>
      </c>
      <c r="AE359" t="str">
        <f t="shared" si="170"/>
        <v>OK</v>
      </c>
      <c r="AF359">
        <v>4</v>
      </c>
      <c r="AG359">
        <v>3047.05</v>
      </c>
      <c r="AH359">
        <v>0.1</v>
      </c>
      <c r="AI359">
        <f t="shared" si="171"/>
        <v>0.1</v>
      </c>
      <c r="AJ359" t="str">
        <f t="shared" si="172"/>
        <v>OK</v>
      </c>
      <c r="AK359">
        <v>10969.38</v>
      </c>
      <c r="AL359">
        <v>9254.4599999999991</v>
      </c>
      <c r="AM359">
        <v>1714.92</v>
      </c>
      <c r="AN359" t="s">
        <v>33</v>
      </c>
      <c r="AO359" t="str">
        <f t="shared" si="164"/>
        <v>PAID</v>
      </c>
      <c r="AP359" t="str">
        <f t="shared" si="173"/>
        <v>OK</v>
      </c>
      <c r="AQ359" t="s">
        <v>34</v>
      </c>
      <c r="AR359" t="str">
        <f t="shared" si="165"/>
        <v>COMPLETED</v>
      </c>
      <c r="AS359" t="str">
        <f t="shared" si="174"/>
        <v>OK</v>
      </c>
      <c r="AT359">
        <f t="shared" si="175"/>
        <v>10969.380000000001</v>
      </c>
      <c r="AU359">
        <f t="shared" si="176"/>
        <v>1714.9200000000019</v>
      </c>
      <c r="AV359" s="6">
        <f t="shared" si="177"/>
        <v>1.2275242994590396</v>
      </c>
      <c r="AW359" t="str">
        <f t="shared" si="178"/>
        <v>CLEAN</v>
      </c>
      <c r="AX359" s="10" t="str">
        <f t="shared" si="179"/>
        <v>MATCH</v>
      </c>
      <c r="AY359" t="str">
        <f t="shared" si="180"/>
        <v>MATCH</v>
      </c>
    </row>
    <row r="360" spans="1:51">
      <c r="A360" t="s">
        <v>2990</v>
      </c>
      <c r="B360">
        <f t="shared" si="156"/>
        <v>1</v>
      </c>
      <c r="C360" t="s">
        <v>1439</v>
      </c>
      <c r="D360" s="2">
        <v>45569</v>
      </c>
      <c r="E360" t="str">
        <f t="shared" si="157"/>
        <v>2024/10/04</v>
      </c>
      <c r="F360" t="str">
        <f t="shared" si="166"/>
        <v>October</v>
      </c>
      <c r="G360">
        <f t="shared" si="167"/>
        <v>2024</v>
      </c>
      <c r="H360" t="s">
        <v>1539</v>
      </c>
      <c r="I360" s="4">
        <v>45397</v>
      </c>
      <c r="J360" s="8">
        <f t="shared" si="158"/>
        <v>-172</v>
      </c>
      <c r="K360" s="8" t="str">
        <f t="shared" si="168"/>
        <v>INVAILD_SHIPPING</v>
      </c>
      <c r="L360" t="s">
        <v>2991</v>
      </c>
      <c r="M360" t="s">
        <v>161</v>
      </c>
      <c r="N360" t="str">
        <f t="shared" si="159"/>
        <v>Aarav Sharma</v>
      </c>
      <c r="O360" t="s">
        <v>114</v>
      </c>
      <c r="P360" t="str">
        <f t="shared" si="181"/>
        <v>Home Office</v>
      </c>
      <c r="Q360" t="s">
        <v>72</v>
      </c>
      <c r="R360" t="str">
        <f t="shared" si="182"/>
        <v>West</v>
      </c>
      <c r="S360" t="str">
        <f t="shared" si="169"/>
        <v>OK</v>
      </c>
      <c r="T360" t="s">
        <v>27</v>
      </c>
      <c r="U360" t="str">
        <f t="shared" si="160"/>
        <v>Rajasthan</v>
      </c>
      <c r="V360" t="s">
        <v>134</v>
      </c>
      <c r="W360" t="str">
        <f t="shared" si="161"/>
        <v>Udaipur</v>
      </c>
      <c r="X360" t="str">
        <f t="shared" si="162"/>
        <v>Furniture</v>
      </c>
      <c r="Y360" t="s">
        <v>44</v>
      </c>
      <c r="Z360" t="s">
        <v>75</v>
      </c>
      <c r="AA360" t="str">
        <f t="shared" si="163"/>
        <v>Chairs</v>
      </c>
      <c r="AB360" t="s">
        <v>2992</v>
      </c>
      <c r="AC360" t="s">
        <v>66</v>
      </c>
      <c r="AD360" t="str">
        <f t="shared" si="183"/>
        <v>Standard Class</v>
      </c>
      <c r="AE360" t="str">
        <f t="shared" si="170"/>
        <v>OK</v>
      </c>
      <c r="AF360">
        <v>8</v>
      </c>
      <c r="AG360">
        <v>4362.4799999999996</v>
      </c>
      <c r="AH360">
        <v>0.1</v>
      </c>
      <c r="AI360">
        <f t="shared" si="171"/>
        <v>0.1</v>
      </c>
      <c r="AJ360" t="str">
        <f t="shared" si="172"/>
        <v>OK</v>
      </c>
      <c r="AK360">
        <v>31409.86</v>
      </c>
      <c r="AL360">
        <v>22523.54</v>
      </c>
      <c r="AM360">
        <v>8886.32</v>
      </c>
      <c r="AN360" t="s">
        <v>33</v>
      </c>
      <c r="AO360" t="str">
        <f t="shared" si="164"/>
        <v>PAID</v>
      </c>
      <c r="AP360" t="str">
        <f t="shared" si="173"/>
        <v>OK</v>
      </c>
      <c r="AQ360" t="s">
        <v>34</v>
      </c>
      <c r="AR360" t="str">
        <f t="shared" si="165"/>
        <v>COMPLETED</v>
      </c>
      <c r="AS360" t="str">
        <f t="shared" si="174"/>
        <v>OK</v>
      </c>
      <c r="AT360">
        <f t="shared" si="175"/>
        <v>31409.855999999996</v>
      </c>
      <c r="AU360">
        <f t="shared" si="176"/>
        <v>8886.3159999999953</v>
      </c>
      <c r="AV360" s="6">
        <f t="shared" si="177"/>
        <v>0.1319938397680015</v>
      </c>
      <c r="AW360" t="str">
        <f t="shared" si="178"/>
        <v>CLEAN</v>
      </c>
      <c r="AX360" s="10" t="str">
        <f t="shared" si="179"/>
        <v>MATCH</v>
      </c>
      <c r="AY360" t="str">
        <f t="shared" si="180"/>
        <v>MATCH</v>
      </c>
    </row>
    <row r="361" spans="1:51">
      <c r="A361" t="s">
        <v>3007</v>
      </c>
      <c r="B361">
        <f t="shared" si="156"/>
        <v>1</v>
      </c>
      <c r="C361" t="s">
        <v>2903</v>
      </c>
      <c r="D361" s="2">
        <v>45432</v>
      </c>
      <c r="E361" t="str">
        <f t="shared" si="157"/>
        <v>2024/05/20</v>
      </c>
      <c r="F361" t="str">
        <f t="shared" si="166"/>
        <v>May</v>
      </c>
      <c r="G361">
        <f t="shared" si="167"/>
        <v>2024</v>
      </c>
      <c r="H361" t="s">
        <v>3008</v>
      </c>
      <c r="I361" s="4">
        <v>45437</v>
      </c>
      <c r="J361" s="8">
        <f t="shared" si="158"/>
        <v>5</v>
      </c>
      <c r="K361" s="8" t="str">
        <f t="shared" si="168"/>
        <v>OK</v>
      </c>
      <c r="L361" t="s">
        <v>3009</v>
      </c>
      <c r="M361" t="s">
        <v>39</v>
      </c>
      <c r="N361" t="str">
        <f t="shared" si="159"/>
        <v>Mira Das</v>
      </c>
      <c r="O361" t="s">
        <v>107</v>
      </c>
      <c r="P361" t="str">
        <f t="shared" si="181"/>
        <v>Corporate</v>
      </c>
      <c r="Q361" t="s">
        <v>61</v>
      </c>
      <c r="R361" t="str">
        <f t="shared" ref="R361:R392" si="184">PROPER(TRIM(SUBSTITUTE(Q361,CHAR(160)," ")))</f>
        <v>South</v>
      </c>
      <c r="S361" t="str">
        <f t="shared" si="169"/>
        <v>OK</v>
      </c>
      <c r="T361" t="s">
        <v>99</v>
      </c>
      <c r="U361" t="str">
        <f t="shared" si="160"/>
        <v>Andhra Pradesh</v>
      </c>
      <c r="V361" t="s">
        <v>100</v>
      </c>
      <c r="W361" t="str">
        <f t="shared" si="161"/>
        <v>Vijayawada</v>
      </c>
      <c r="X361" t="str">
        <f t="shared" si="162"/>
        <v>Furniture</v>
      </c>
      <c r="Y361" t="s">
        <v>44</v>
      </c>
      <c r="Z361" t="s">
        <v>75</v>
      </c>
      <c r="AA361" t="str">
        <f t="shared" si="163"/>
        <v>Chairs</v>
      </c>
      <c r="AB361" t="s">
        <v>3010</v>
      </c>
      <c r="AC361" t="s">
        <v>47</v>
      </c>
      <c r="AD361" t="str">
        <f t="shared" si="183"/>
        <v>Same Day</v>
      </c>
      <c r="AE361" t="str">
        <f t="shared" si="170"/>
        <v>OK</v>
      </c>
      <c r="AF361">
        <v>7</v>
      </c>
      <c r="AG361">
        <v>3122.85</v>
      </c>
      <c r="AH361">
        <v>0.25</v>
      </c>
      <c r="AI361">
        <f t="shared" si="171"/>
        <v>0.25</v>
      </c>
      <c r="AJ361" t="str">
        <f t="shared" si="172"/>
        <v>OK</v>
      </c>
      <c r="AK361">
        <v>16394.96</v>
      </c>
      <c r="AL361">
        <v>10404.17</v>
      </c>
      <c r="AM361">
        <v>5990.79</v>
      </c>
      <c r="AN361" t="s">
        <v>33</v>
      </c>
      <c r="AO361" t="str">
        <f t="shared" si="164"/>
        <v>PAID</v>
      </c>
      <c r="AP361" t="str">
        <f t="shared" si="173"/>
        <v>OK</v>
      </c>
      <c r="AQ361" t="s">
        <v>34</v>
      </c>
      <c r="AR361" t="str">
        <f t="shared" si="165"/>
        <v>COMPLETED</v>
      </c>
      <c r="AS361" t="str">
        <f t="shared" si="174"/>
        <v>OK</v>
      </c>
      <c r="AT361">
        <f t="shared" si="175"/>
        <v>16394.962500000001</v>
      </c>
      <c r="AU361">
        <f t="shared" si="176"/>
        <v>5990.7925000000014</v>
      </c>
      <c r="AV361" s="6">
        <f t="shared" si="177"/>
        <v>2.4574011681941933E-2</v>
      </c>
      <c r="AW361" t="str">
        <f t="shared" si="178"/>
        <v>CLEAN</v>
      </c>
      <c r="AX361" s="10" t="str">
        <f t="shared" si="179"/>
        <v>MATCH</v>
      </c>
      <c r="AY361" t="str">
        <f t="shared" si="180"/>
        <v>MATCH</v>
      </c>
    </row>
    <row r="362" spans="1:51">
      <c r="A362" t="s">
        <v>3011</v>
      </c>
      <c r="B362">
        <f t="shared" si="156"/>
        <v>1</v>
      </c>
      <c r="C362" t="s">
        <v>3012</v>
      </c>
      <c r="D362" s="2">
        <v>45332</v>
      </c>
      <c r="E362" t="str">
        <f t="shared" si="157"/>
        <v>2024/02/10</v>
      </c>
      <c r="F362" t="str">
        <f t="shared" si="166"/>
        <v>February</v>
      </c>
      <c r="G362">
        <f t="shared" si="167"/>
        <v>2024</v>
      </c>
      <c r="H362" t="s">
        <v>3013</v>
      </c>
      <c r="I362" s="4">
        <v>45574</v>
      </c>
      <c r="J362" s="8">
        <f t="shared" si="158"/>
        <v>242</v>
      </c>
      <c r="K362" s="8" t="str">
        <f t="shared" si="168"/>
        <v>OK</v>
      </c>
      <c r="L362" t="s">
        <v>3014</v>
      </c>
      <c r="M362" t="s">
        <v>71</v>
      </c>
      <c r="N362" t="str">
        <f t="shared" si="159"/>
        <v>Ananya Rao</v>
      </c>
      <c r="O362" t="s">
        <v>25</v>
      </c>
      <c r="P362" t="str">
        <f t="shared" si="181"/>
        <v>Consumer</v>
      </c>
      <c r="Q362" t="s">
        <v>61</v>
      </c>
      <c r="R362" t="str">
        <f t="shared" si="184"/>
        <v>South</v>
      </c>
      <c r="S362" t="str">
        <f t="shared" si="169"/>
        <v>OK</v>
      </c>
      <c r="T362" t="s">
        <v>338</v>
      </c>
      <c r="U362" t="str">
        <f t="shared" si="160"/>
        <v>Tamil Nadu</v>
      </c>
      <c r="V362" t="s">
        <v>339</v>
      </c>
      <c r="W362" t="str">
        <f t="shared" si="161"/>
        <v>Chennai</v>
      </c>
      <c r="X362" t="str">
        <f t="shared" si="162"/>
        <v>Office Supplies</v>
      </c>
      <c r="Y362" t="s">
        <v>29</v>
      </c>
      <c r="Z362" t="s">
        <v>30</v>
      </c>
      <c r="AA362" t="str">
        <f t="shared" si="163"/>
        <v>Paper</v>
      </c>
      <c r="AB362" t="s">
        <v>3015</v>
      </c>
      <c r="AC362" t="s">
        <v>66</v>
      </c>
      <c r="AD362" t="str">
        <f t="shared" si="183"/>
        <v>Standard Class</v>
      </c>
      <c r="AE362" t="str">
        <f t="shared" si="170"/>
        <v>OK</v>
      </c>
      <c r="AF362">
        <v>8</v>
      </c>
      <c r="AG362">
        <v>1910.31</v>
      </c>
      <c r="AH362">
        <v>0.15</v>
      </c>
      <c r="AI362">
        <f t="shared" si="171"/>
        <v>0.15</v>
      </c>
      <c r="AJ362" t="str">
        <f t="shared" si="172"/>
        <v>OK</v>
      </c>
      <c r="AK362">
        <v>12990.11</v>
      </c>
      <c r="AL362">
        <v>10200.799999999999</v>
      </c>
      <c r="AM362">
        <v>2789.31</v>
      </c>
      <c r="AN362" t="s">
        <v>33</v>
      </c>
      <c r="AO362" t="str">
        <f t="shared" si="164"/>
        <v>PAID</v>
      </c>
      <c r="AP362" t="str">
        <f t="shared" si="173"/>
        <v>OK</v>
      </c>
      <c r="AQ362" t="s">
        <v>34</v>
      </c>
      <c r="AR362" t="str">
        <f t="shared" si="165"/>
        <v>COMPLETED</v>
      </c>
      <c r="AS362" t="str">
        <f t="shared" si="174"/>
        <v>OK</v>
      </c>
      <c r="AT362">
        <f t="shared" si="175"/>
        <v>12990.108</v>
      </c>
      <c r="AU362">
        <f t="shared" si="176"/>
        <v>2789.3080000000009</v>
      </c>
      <c r="AV362" s="6">
        <f t="shared" si="177"/>
        <v>0.22467480639883833</v>
      </c>
      <c r="AW362" t="str">
        <f t="shared" si="178"/>
        <v>CLEAN</v>
      </c>
      <c r="AX362" s="10" t="str">
        <f t="shared" si="179"/>
        <v>MATCH</v>
      </c>
      <c r="AY362" t="str">
        <f t="shared" si="180"/>
        <v>MATCH</v>
      </c>
    </row>
    <row r="363" spans="1:51">
      <c r="A363" t="s">
        <v>3016</v>
      </c>
      <c r="B363">
        <f t="shared" si="156"/>
        <v>1</v>
      </c>
      <c r="C363" t="s">
        <v>3017</v>
      </c>
      <c r="D363" s="3">
        <v>45438</v>
      </c>
      <c r="E363" t="str">
        <f t="shared" si="157"/>
        <v>2024/05/26</v>
      </c>
      <c r="F363" t="str">
        <f t="shared" si="166"/>
        <v>May</v>
      </c>
      <c r="G363">
        <f t="shared" si="167"/>
        <v>2024</v>
      </c>
      <c r="H363" t="s">
        <v>3018</v>
      </c>
      <c r="I363" s="4">
        <v>45438</v>
      </c>
      <c r="J363" s="8">
        <f t="shared" si="158"/>
        <v>0</v>
      </c>
      <c r="K363" s="8" t="str">
        <f t="shared" si="168"/>
        <v>OK</v>
      </c>
      <c r="L363" t="s">
        <v>3019</v>
      </c>
      <c r="M363" t="s">
        <v>147</v>
      </c>
      <c r="N363" t="str">
        <f t="shared" si="159"/>
        <v>Rahul Verma</v>
      </c>
      <c r="O363" t="s">
        <v>40</v>
      </c>
      <c r="P363" t="str">
        <f t="shared" si="181"/>
        <v>Small Business</v>
      </c>
      <c r="Q363" t="s">
        <v>72</v>
      </c>
      <c r="R363" t="str">
        <f t="shared" si="184"/>
        <v>West</v>
      </c>
      <c r="S363" t="str">
        <f t="shared" si="169"/>
        <v>OK</v>
      </c>
      <c r="T363" t="s">
        <v>248</v>
      </c>
      <c r="U363" t="str">
        <f t="shared" si="160"/>
        <v>Goa</v>
      </c>
      <c r="V363" t="s">
        <v>249</v>
      </c>
      <c r="W363" t="str">
        <f t="shared" si="161"/>
        <v>Panaji</v>
      </c>
      <c r="X363" t="str">
        <f t="shared" si="162"/>
        <v>Technology</v>
      </c>
      <c r="Y363" t="s">
        <v>85</v>
      </c>
      <c r="Z363" t="s">
        <v>93</v>
      </c>
      <c r="AA363" t="str">
        <f t="shared" si="163"/>
        <v>Copiers</v>
      </c>
      <c r="AB363" t="s">
        <v>3020</v>
      </c>
      <c r="AC363" t="s">
        <v>55</v>
      </c>
      <c r="AD363" t="str">
        <f t="shared" si="183"/>
        <v>First Class</v>
      </c>
      <c r="AE363" t="str">
        <f t="shared" si="170"/>
        <v>OK</v>
      </c>
      <c r="AF363">
        <v>2</v>
      </c>
      <c r="AG363">
        <v>3192.47</v>
      </c>
      <c r="AH363">
        <v>0.2</v>
      </c>
      <c r="AI363">
        <f t="shared" si="171"/>
        <v>0.2</v>
      </c>
      <c r="AJ363" t="str">
        <f t="shared" si="172"/>
        <v>OK</v>
      </c>
      <c r="AK363">
        <v>5107.95</v>
      </c>
      <c r="AL363">
        <v>3133.08</v>
      </c>
      <c r="AM363">
        <v>1974.87</v>
      </c>
      <c r="AN363" t="s">
        <v>33</v>
      </c>
      <c r="AO363" t="str">
        <f t="shared" si="164"/>
        <v>PAID</v>
      </c>
      <c r="AP363" t="str">
        <f t="shared" si="173"/>
        <v>OK</v>
      </c>
      <c r="AQ363" t="s">
        <v>34</v>
      </c>
      <c r="AR363" t="str">
        <f t="shared" si="165"/>
        <v>COMPLETED</v>
      </c>
      <c r="AS363" t="str">
        <f t="shared" si="174"/>
        <v>OK</v>
      </c>
      <c r="AT363">
        <f t="shared" si="175"/>
        <v>5107.9520000000002</v>
      </c>
      <c r="AU363">
        <f t="shared" si="176"/>
        <v>1974.8720000000003</v>
      </c>
      <c r="AV363" s="6">
        <f t="shared" si="177"/>
        <v>1.8530492259911604</v>
      </c>
      <c r="AW363" t="str">
        <f t="shared" si="178"/>
        <v>CLEAN</v>
      </c>
      <c r="AX363" s="10" t="str">
        <f t="shared" si="179"/>
        <v>MATCH</v>
      </c>
      <c r="AY363" t="str">
        <f t="shared" si="180"/>
        <v>MATCH</v>
      </c>
    </row>
    <row r="364" spans="1:51">
      <c r="A364" t="s">
        <v>3021</v>
      </c>
      <c r="B364">
        <f t="shared" si="156"/>
        <v>1</v>
      </c>
      <c r="C364" t="s">
        <v>2869</v>
      </c>
      <c r="D364" s="2">
        <v>45317</v>
      </c>
      <c r="E364" t="str">
        <f t="shared" si="157"/>
        <v>2024/01/26</v>
      </c>
      <c r="F364" t="str">
        <f t="shared" si="166"/>
        <v>January</v>
      </c>
      <c r="G364">
        <f t="shared" si="167"/>
        <v>2024</v>
      </c>
      <c r="H364" t="s">
        <v>3022</v>
      </c>
      <c r="I364" s="4">
        <v>45322</v>
      </c>
      <c r="J364" s="8">
        <f t="shared" si="158"/>
        <v>5</v>
      </c>
      <c r="K364" s="8" t="str">
        <f t="shared" si="168"/>
        <v>OK</v>
      </c>
      <c r="L364" t="s">
        <v>3023</v>
      </c>
      <c r="M364" t="s">
        <v>24</v>
      </c>
      <c r="N364" t="str">
        <f t="shared" si="159"/>
        <v>Karan Malhotra</v>
      </c>
      <c r="O364" t="s">
        <v>107</v>
      </c>
      <c r="P364" t="str">
        <f t="shared" si="181"/>
        <v>Corporate</v>
      </c>
      <c r="Q364" t="s">
        <v>61</v>
      </c>
      <c r="R364" t="str">
        <f t="shared" si="184"/>
        <v>South</v>
      </c>
      <c r="S364" t="str">
        <f t="shared" si="169"/>
        <v>OK</v>
      </c>
      <c r="T364" t="s">
        <v>241</v>
      </c>
      <c r="U364" t="str">
        <f t="shared" si="160"/>
        <v>Kerala</v>
      </c>
      <c r="V364" t="s">
        <v>242</v>
      </c>
      <c r="W364" t="str">
        <f t="shared" si="161"/>
        <v>Kochi</v>
      </c>
      <c r="X364" t="str">
        <f t="shared" si="162"/>
        <v>Office Supplies</v>
      </c>
      <c r="Y364" t="s">
        <v>29</v>
      </c>
      <c r="Z364" t="s">
        <v>155</v>
      </c>
      <c r="AA364" t="str">
        <f t="shared" si="163"/>
        <v>Storage</v>
      </c>
      <c r="AB364" t="s">
        <v>3024</v>
      </c>
      <c r="AC364" t="s">
        <v>32</v>
      </c>
      <c r="AD364" t="str">
        <f t="shared" si="183"/>
        <v>Second Class</v>
      </c>
      <c r="AE364" t="str">
        <f t="shared" si="170"/>
        <v>OK</v>
      </c>
      <c r="AF364">
        <v>3</v>
      </c>
      <c r="AG364">
        <v>3224.32</v>
      </c>
      <c r="AH364">
        <v>0.2</v>
      </c>
      <c r="AI364">
        <f t="shared" si="171"/>
        <v>0.2</v>
      </c>
      <c r="AJ364" t="str">
        <f t="shared" si="172"/>
        <v>OK</v>
      </c>
      <c r="AK364">
        <v>7738.37</v>
      </c>
      <c r="AL364">
        <v>4626.8500000000004</v>
      </c>
      <c r="AM364">
        <v>3111.52</v>
      </c>
      <c r="AN364" t="s">
        <v>199</v>
      </c>
      <c r="AO364" t="str">
        <f t="shared" si="164"/>
        <v>FAILED</v>
      </c>
      <c r="AP364" t="str">
        <f t="shared" si="173"/>
        <v>EXCLUDE_FROM_SALES</v>
      </c>
      <c r="AQ364" t="s">
        <v>124</v>
      </c>
      <c r="AR364" t="str">
        <f t="shared" si="165"/>
        <v>RETURNED</v>
      </c>
      <c r="AS364" t="str">
        <f t="shared" si="174"/>
        <v>RETURNED_ORDER</v>
      </c>
      <c r="AT364">
        <f t="shared" si="175"/>
        <v>7738.3680000000013</v>
      </c>
      <c r="AU364">
        <f t="shared" si="176"/>
        <v>3111.5180000000009</v>
      </c>
      <c r="AV364" s="6">
        <f t="shared" si="177"/>
        <v>0.35570420016210125</v>
      </c>
      <c r="AW364" t="str">
        <f t="shared" si="178"/>
        <v>CLEAN</v>
      </c>
      <c r="AX364" s="10" t="str">
        <f t="shared" si="179"/>
        <v>MATCH</v>
      </c>
      <c r="AY364" t="str">
        <f t="shared" si="180"/>
        <v>MATCH</v>
      </c>
    </row>
    <row r="365" spans="1:51">
      <c r="A365" t="s">
        <v>3025</v>
      </c>
      <c r="B365">
        <f t="shared" si="156"/>
        <v>1</v>
      </c>
      <c r="C365" t="s">
        <v>3026</v>
      </c>
      <c r="D365" s="3">
        <v>45653</v>
      </c>
      <c r="E365" t="str">
        <f t="shared" si="157"/>
        <v>2024/12/27</v>
      </c>
      <c r="F365" t="str">
        <f t="shared" si="166"/>
        <v>December</v>
      </c>
      <c r="G365">
        <f t="shared" si="167"/>
        <v>2024</v>
      </c>
      <c r="H365" t="s">
        <v>1870</v>
      </c>
      <c r="I365" s="4">
        <v>45657</v>
      </c>
      <c r="J365" s="8">
        <f t="shared" si="158"/>
        <v>4</v>
      </c>
      <c r="K365" s="8" t="str">
        <f t="shared" si="168"/>
        <v>OK</v>
      </c>
      <c r="L365" t="s">
        <v>3027</v>
      </c>
      <c r="M365" t="s">
        <v>52</v>
      </c>
      <c r="N365" t="str">
        <f t="shared" si="159"/>
        <v>Isha Nair</v>
      </c>
      <c r="O365" t="s">
        <v>40</v>
      </c>
      <c r="P365" t="str">
        <f t="shared" si="181"/>
        <v>Small Business</v>
      </c>
      <c r="Q365" t="s">
        <v>41</v>
      </c>
      <c r="R365" t="str">
        <f t="shared" si="184"/>
        <v>East</v>
      </c>
      <c r="S365" t="str">
        <f t="shared" si="169"/>
        <v>OK</v>
      </c>
      <c r="T365" t="s">
        <v>42</v>
      </c>
      <c r="U365" t="str">
        <f t="shared" si="160"/>
        <v>Odisha</v>
      </c>
      <c r="V365" t="s">
        <v>43</v>
      </c>
      <c r="W365" t="str">
        <f t="shared" si="161"/>
        <v>Bhubaneswar</v>
      </c>
      <c r="X365" t="str">
        <f t="shared" si="162"/>
        <v>Furniture</v>
      </c>
      <c r="Y365" t="s">
        <v>44</v>
      </c>
      <c r="Z365" t="s">
        <v>75</v>
      </c>
      <c r="AA365" t="str">
        <f t="shared" si="163"/>
        <v>Chairs</v>
      </c>
      <c r="AB365" t="s">
        <v>3028</v>
      </c>
      <c r="AC365" t="s">
        <v>32</v>
      </c>
      <c r="AD365" t="str">
        <f t="shared" si="183"/>
        <v>Second Class</v>
      </c>
      <c r="AE365" t="str">
        <f t="shared" si="170"/>
        <v>OK</v>
      </c>
      <c r="AF365">
        <v>1</v>
      </c>
      <c r="AG365">
        <v>1594.7</v>
      </c>
      <c r="AH365">
        <v>0.05</v>
      </c>
      <c r="AI365">
        <f t="shared" si="171"/>
        <v>0.05</v>
      </c>
      <c r="AJ365" t="str">
        <f t="shared" si="172"/>
        <v>OK</v>
      </c>
      <c r="AK365">
        <v>1514.96</v>
      </c>
      <c r="AL365">
        <v>1046.17</v>
      </c>
      <c r="AM365">
        <v>468.79</v>
      </c>
      <c r="AN365" t="s">
        <v>33</v>
      </c>
      <c r="AO365" t="str">
        <f t="shared" si="164"/>
        <v>PAID</v>
      </c>
      <c r="AP365" t="str">
        <f t="shared" si="173"/>
        <v>OK</v>
      </c>
      <c r="AQ365" t="s">
        <v>34</v>
      </c>
      <c r="AR365" t="str">
        <f t="shared" si="165"/>
        <v>COMPLETED</v>
      </c>
      <c r="AS365" t="str">
        <f t="shared" si="174"/>
        <v>OK</v>
      </c>
      <c r="AT365">
        <f t="shared" si="175"/>
        <v>1514.9649999999999</v>
      </c>
      <c r="AU365">
        <f t="shared" si="176"/>
        <v>468.79499999999985</v>
      </c>
      <c r="AV365" s="6">
        <f t="shared" si="177"/>
        <v>1.2002653526649134</v>
      </c>
      <c r="AW365" t="str">
        <f t="shared" si="178"/>
        <v>CLEAN</v>
      </c>
      <c r="AX365" s="10" t="str">
        <f t="shared" si="179"/>
        <v>MISMATCH</v>
      </c>
      <c r="AY365" t="str">
        <f t="shared" si="180"/>
        <v>MISMATCH</v>
      </c>
    </row>
    <row r="366" spans="1:51">
      <c r="A366" t="s">
        <v>3038</v>
      </c>
      <c r="B366">
        <f t="shared" si="156"/>
        <v>1</v>
      </c>
      <c r="C366" t="s">
        <v>1949</v>
      </c>
      <c r="D366" s="3">
        <v>45533</v>
      </c>
      <c r="E366" t="str">
        <f t="shared" si="157"/>
        <v>2024/08/29</v>
      </c>
      <c r="F366" t="str">
        <f t="shared" si="166"/>
        <v>August</v>
      </c>
      <c r="G366">
        <f t="shared" si="167"/>
        <v>2024</v>
      </c>
      <c r="H366" t="s">
        <v>36</v>
      </c>
      <c r="I366" s="4">
        <v>45535</v>
      </c>
      <c r="J366" s="8">
        <f t="shared" si="158"/>
        <v>2</v>
      </c>
      <c r="K366" s="8" t="str">
        <f t="shared" si="168"/>
        <v>OK</v>
      </c>
      <c r="L366" t="s">
        <v>3039</v>
      </c>
      <c r="M366" t="s">
        <v>52</v>
      </c>
      <c r="N366" t="str">
        <f t="shared" si="159"/>
        <v>Isha Nair</v>
      </c>
      <c r="O366" t="s">
        <v>114</v>
      </c>
      <c r="P366" t="str">
        <f t="shared" si="181"/>
        <v>Home Office</v>
      </c>
      <c r="Q366" t="s">
        <v>41</v>
      </c>
      <c r="R366" t="str">
        <f t="shared" si="184"/>
        <v>East</v>
      </c>
      <c r="S366" t="str">
        <f t="shared" si="169"/>
        <v>OK</v>
      </c>
      <c r="T366" t="s">
        <v>215</v>
      </c>
      <c r="U366" t="str">
        <f t="shared" si="160"/>
        <v>Assam</v>
      </c>
      <c r="V366" t="s">
        <v>216</v>
      </c>
      <c r="W366" t="str">
        <f t="shared" si="161"/>
        <v>Guwahati</v>
      </c>
      <c r="X366" t="str">
        <f t="shared" si="162"/>
        <v>Office Supplies</v>
      </c>
      <c r="Y366" t="s">
        <v>29</v>
      </c>
      <c r="Z366" t="s">
        <v>3040</v>
      </c>
      <c r="AA366" t="str">
        <f t="shared" si="163"/>
        <v>Binders</v>
      </c>
      <c r="AB366" t="s">
        <v>3041</v>
      </c>
      <c r="AC366" t="s">
        <v>32</v>
      </c>
      <c r="AD366" t="str">
        <f t="shared" si="183"/>
        <v>Second Class</v>
      </c>
      <c r="AE366" t="str">
        <f t="shared" si="170"/>
        <v>OK</v>
      </c>
      <c r="AF366">
        <v>9</v>
      </c>
      <c r="AG366">
        <v>1275.21</v>
      </c>
      <c r="AH366">
        <v>0.25</v>
      </c>
      <c r="AI366">
        <f t="shared" si="171"/>
        <v>0.25</v>
      </c>
      <c r="AJ366" t="str">
        <f t="shared" si="172"/>
        <v>OK</v>
      </c>
      <c r="AK366">
        <v>8607.67</v>
      </c>
      <c r="AL366">
        <v>5337.64</v>
      </c>
      <c r="AM366">
        <v>3270.03</v>
      </c>
      <c r="AN366" t="s">
        <v>199</v>
      </c>
      <c r="AO366" t="str">
        <f t="shared" si="164"/>
        <v>FAILED</v>
      </c>
      <c r="AP366" t="str">
        <f t="shared" si="173"/>
        <v>EXCLUDE_FROM_SALES</v>
      </c>
      <c r="AQ366" t="s">
        <v>124</v>
      </c>
      <c r="AR366" t="str">
        <f t="shared" si="165"/>
        <v>RETURNED</v>
      </c>
      <c r="AS366" t="str">
        <f t="shared" si="174"/>
        <v>RETURNED_ORDER</v>
      </c>
      <c r="AT366">
        <f t="shared" si="175"/>
        <v>8607.6674999999996</v>
      </c>
      <c r="AU366">
        <f t="shared" si="176"/>
        <v>3270.0274999999992</v>
      </c>
      <c r="AV366" s="6">
        <f t="shared" si="177"/>
        <v>0.23738602821263718</v>
      </c>
      <c r="AW366" t="str">
        <f t="shared" si="178"/>
        <v>CLEAN</v>
      </c>
      <c r="AX366" s="10" t="str">
        <f t="shared" si="179"/>
        <v>MATCH</v>
      </c>
      <c r="AY366" t="str">
        <f t="shared" si="180"/>
        <v>MATCH</v>
      </c>
    </row>
    <row r="367" spans="1:51">
      <c r="A367" t="s">
        <v>3042</v>
      </c>
      <c r="B367">
        <f t="shared" si="156"/>
        <v>1</v>
      </c>
      <c r="C367" t="s">
        <v>3043</v>
      </c>
      <c r="D367" s="3">
        <v>45327</v>
      </c>
      <c r="E367" t="str">
        <f t="shared" si="157"/>
        <v>2024/02/05</v>
      </c>
      <c r="F367" t="str">
        <f t="shared" si="166"/>
        <v>February</v>
      </c>
      <c r="G367">
        <f t="shared" si="167"/>
        <v>2024</v>
      </c>
      <c r="H367" t="s">
        <v>3044</v>
      </c>
      <c r="I367" s="4">
        <v>45335</v>
      </c>
      <c r="J367" s="8">
        <f t="shared" si="158"/>
        <v>8</v>
      </c>
      <c r="K367" s="8" t="str">
        <f t="shared" si="168"/>
        <v>OK</v>
      </c>
      <c r="L367" t="s">
        <v>1095</v>
      </c>
      <c r="M367" t="s">
        <v>161</v>
      </c>
      <c r="N367" t="str">
        <f t="shared" si="159"/>
        <v>Aarav Sharma</v>
      </c>
      <c r="O367" t="s">
        <v>114</v>
      </c>
      <c r="P367" t="str">
        <f t="shared" si="181"/>
        <v>Home Office</v>
      </c>
      <c r="Q367" t="s">
        <v>26</v>
      </c>
      <c r="R367" t="str">
        <f t="shared" si="184"/>
        <v>North</v>
      </c>
      <c r="S367" t="str">
        <f t="shared" si="169"/>
        <v>OK</v>
      </c>
      <c r="T367" t="s">
        <v>173</v>
      </c>
      <c r="U367" t="str">
        <f t="shared" si="160"/>
        <v>Uttar Pradesh</v>
      </c>
      <c r="V367" t="s">
        <v>174</v>
      </c>
      <c r="W367" t="str">
        <f t="shared" si="161"/>
        <v>Noida</v>
      </c>
      <c r="X367" t="str">
        <f t="shared" si="162"/>
        <v>Office Supplies</v>
      </c>
      <c r="Y367" t="s">
        <v>29</v>
      </c>
      <c r="Z367" t="s">
        <v>108</v>
      </c>
      <c r="AA367" t="str">
        <f t="shared" si="163"/>
        <v>Labels</v>
      </c>
      <c r="AB367" t="s">
        <v>3045</v>
      </c>
      <c r="AC367" t="s">
        <v>66</v>
      </c>
      <c r="AD367" t="str">
        <f t="shared" si="183"/>
        <v>Standard Class</v>
      </c>
      <c r="AE367" t="str">
        <f t="shared" si="170"/>
        <v>OK</v>
      </c>
      <c r="AF367">
        <v>8</v>
      </c>
      <c r="AG367">
        <v>3871.18</v>
      </c>
      <c r="AH367">
        <v>0.15</v>
      </c>
      <c r="AI367">
        <f t="shared" si="171"/>
        <v>0.15</v>
      </c>
      <c r="AJ367" t="str">
        <f t="shared" si="172"/>
        <v>OK</v>
      </c>
      <c r="AK367">
        <v>26324.02</v>
      </c>
      <c r="AL367">
        <v>16277.96</v>
      </c>
      <c r="AM367">
        <v>10046.06</v>
      </c>
      <c r="AN367" t="s">
        <v>199</v>
      </c>
      <c r="AO367" t="str">
        <f t="shared" si="164"/>
        <v>FAILED</v>
      </c>
      <c r="AP367" t="str">
        <f t="shared" si="173"/>
        <v>EXCLUDE_FROM_SALES</v>
      </c>
      <c r="AQ367" t="s">
        <v>124</v>
      </c>
      <c r="AR367" t="str">
        <f t="shared" si="165"/>
        <v>RETURNED</v>
      </c>
      <c r="AS367" t="str">
        <f t="shared" si="174"/>
        <v>RETURNED_ORDER</v>
      </c>
      <c r="AT367">
        <f t="shared" si="175"/>
        <v>26324.023999999998</v>
      </c>
      <c r="AU367">
        <f t="shared" si="176"/>
        <v>10046.063999999998</v>
      </c>
      <c r="AV367" s="6">
        <f t="shared" si="177"/>
        <v>5.4803057465682307E-2</v>
      </c>
      <c r="AW367" t="str">
        <f t="shared" si="178"/>
        <v>CLEAN</v>
      </c>
      <c r="AX367" s="10" t="str">
        <f t="shared" si="179"/>
        <v>MATCH</v>
      </c>
      <c r="AY367" t="str">
        <f t="shared" si="180"/>
        <v>MATCH</v>
      </c>
    </row>
    <row r="368" spans="1:51">
      <c r="A368" t="s">
        <v>3050</v>
      </c>
      <c r="B368">
        <f t="shared" si="156"/>
        <v>1</v>
      </c>
      <c r="C368" t="s">
        <v>3051</v>
      </c>
      <c r="D368" s="3">
        <v>45383</v>
      </c>
      <c r="E368" t="str">
        <f t="shared" si="157"/>
        <v>2024/04/01</v>
      </c>
      <c r="F368" t="str">
        <f t="shared" si="166"/>
        <v>April</v>
      </c>
      <c r="G368">
        <f t="shared" si="167"/>
        <v>2024</v>
      </c>
      <c r="H368" t="s">
        <v>2744</v>
      </c>
      <c r="I368" s="4">
        <v>45536</v>
      </c>
      <c r="J368" s="8">
        <f t="shared" si="158"/>
        <v>153</v>
      </c>
      <c r="K368" s="8" t="str">
        <f t="shared" si="168"/>
        <v>OK</v>
      </c>
      <c r="L368" t="s">
        <v>3052</v>
      </c>
      <c r="M368" t="s">
        <v>365</v>
      </c>
      <c r="N368" t="str">
        <f t="shared" si="159"/>
        <v>Kabir Singh</v>
      </c>
      <c r="O368" t="s">
        <v>25</v>
      </c>
      <c r="P368" t="str">
        <f t="shared" si="181"/>
        <v>Consumer</v>
      </c>
      <c r="Q368" t="s">
        <v>41</v>
      </c>
      <c r="R368" t="str">
        <f t="shared" si="184"/>
        <v>East</v>
      </c>
      <c r="S368" t="str">
        <f t="shared" si="169"/>
        <v>OK</v>
      </c>
      <c r="T368" t="s">
        <v>185</v>
      </c>
      <c r="U368" t="str">
        <f t="shared" si="160"/>
        <v>Bihar</v>
      </c>
      <c r="V368" t="s">
        <v>186</v>
      </c>
      <c r="W368" t="str">
        <f t="shared" si="161"/>
        <v>Patna</v>
      </c>
      <c r="X368" t="str">
        <f t="shared" si="162"/>
        <v>Furniture</v>
      </c>
      <c r="Y368" t="s">
        <v>44</v>
      </c>
      <c r="Z368" t="s">
        <v>75</v>
      </c>
      <c r="AA368" t="str">
        <f t="shared" si="163"/>
        <v>Chairs</v>
      </c>
      <c r="AB368" t="s">
        <v>3053</v>
      </c>
      <c r="AC368" t="s">
        <v>32</v>
      </c>
      <c r="AD368" t="str">
        <f t="shared" ref="AD368:AD396" si="185">PROPER(TRIM(SUBSTITUTE(AC368,CHAR(160)," ")))</f>
        <v>Second Class</v>
      </c>
      <c r="AE368" t="str">
        <f t="shared" si="170"/>
        <v>OK</v>
      </c>
      <c r="AF368">
        <v>6</v>
      </c>
      <c r="AG368">
        <v>2423.61</v>
      </c>
      <c r="AH368">
        <v>0.1</v>
      </c>
      <c r="AI368">
        <f t="shared" si="171"/>
        <v>0.1</v>
      </c>
      <c r="AJ368" t="str">
        <f t="shared" si="172"/>
        <v>OK</v>
      </c>
      <c r="AK368">
        <v>13087.49</v>
      </c>
      <c r="AL368">
        <v>7608.89</v>
      </c>
      <c r="AM368">
        <v>5133.22</v>
      </c>
      <c r="AN368" t="s">
        <v>33</v>
      </c>
      <c r="AO368" t="str">
        <f t="shared" si="164"/>
        <v>PAID</v>
      </c>
      <c r="AP368" t="str">
        <f t="shared" si="173"/>
        <v>OK</v>
      </c>
      <c r="AQ368" t="s">
        <v>34</v>
      </c>
      <c r="AR368" t="str">
        <f t="shared" si="165"/>
        <v>COMPLETED</v>
      </c>
      <c r="AS368" t="str">
        <f t="shared" si="174"/>
        <v>OK</v>
      </c>
      <c r="AT368">
        <f t="shared" si="175"/>
        <v>13087.494000000001</v>
      </c>
      <c r="AU368">
        <f t="shared" si="176"/>
        <v>5478.6040000000003</v>
      </c>
      <c r="AV368" s="6">
        <f t="shared" si="177"/>
        <v>5.0829440685894491E-2</v>
      </c>
      <c r="AW368" t="str">
        <f t="shared" si="178"/>
        <v>CLEAN</v>
      </c>
      <c r="AX368" s="10" t="str">
        <f t="shared" si="179"/>
        <v>MATCH</v>
      </c>
      <c r="AY368" t="str">
        <f t="shared" si="180"/>
        <v>MISMATCH</v>
      </c>
    </row>
    <row r="369" spans="1:51">
      <c r="A369" t="s">
        <v>3054</v>
      </c>
      <c r="B369">
        <f t="shared" si="156"/>
        <v>1</v>
      </c>
      <c r="C369" t="s">
        <v>3055</v>
      </c>
      <c r="D369" s="3">
        <v>45553</v>
      </c>
      <c r="E369" t="str">
        <f t="shared" si="157"/>
        <v>2024/09/18</v>
      </c>
      <c r="F369" t="str">
        <f t="shared" si="166"/>
        <v>September</v>
      </c>
      <c r="G369">
        <f t="shared" si="167"/>
        <v>2024</v>
      </c>
      <c r="H369" t="s">
        <v>3056</v>
      </c>
      <c r="I369" s="4">
        <v>45559</v>
      </c>
      <c r="J369" s="8">
        <f t="shared" si="158"/>
        <v>6</v>
      </c>
      <c r="K369" s="8" t="str">
        <f t="shared" si="168"/>
        <v>OK</v>
      </c>
      <c r="L369" t="s">
        <v>3057</v>
      </c>
      <c r="M369" t="s">
        <v>82</v>
      </c>
      <c r="N369" t="str">
        <f t="shared" si="159"/>
        <v>Vikram Iyer</v>
      </c>
      <c r="O369" t="s">
        <v>40</v>
      </c>
      <c r="P369" t="str">
        <f t="shared" si="181"/>
        <v>Small Business</v>
      </c>
      <c r="Q369" t="s">
        <v>41</v>
      </c>
      <c r="R369" t="str">
        <f t="shared" si="184"/>
        <v>East</v>
      </c>
      <c r="S369" t="str">
        <f t="shared" si="169"/>
        <v>OK</v>
      </c>
      <c r="T369" t="s">
        <v>310</v>
      </c>
      <c r="U369" t="str">
        <f t="shared" si="160"/>
        <v>Jharkhand</v>
      </c>
      <c r="V369" t="s">
        <v>311</v>
      </c>
      <c r="W369" t="str">
        <f t="shared" si="161"/>
        <v>Ranchi</v>
      </c>
      <c r="X369" t="str">
        <f t="shared" si="162"/>
        <v>Technology</v>
      </c>
      <c r="Y369" t="s">
        <v>85</v>
      </c>
      <c r="Z369" t="s">
        <v>381</v>
      </c>
      <c r="AA369" t="str">
        <f t="shared" si="163"/>
        <v>Machines</v>
      </c>
      <c r="AB369" t="s">
        <v>3058</v>
      </c>
      <c r="AC369" t="s">
        <v>55</v>
      </c>
      <c r="AD369" t="str">
        <f t="shared" si="185"/>
        <v>First Class</v>
      </c>
      <c r="AE369" t="str">
        <f t="shared" si="170"/>
        <v>OK</v>
      </c>
      <c r="AF369">
        <v>3</v>
      </c>
      <c r="AG369">
        <v>729.14</v>
      </c>
      <c r="AH369">
        <v>0.25</v>
      </c>
      <c r="AI369">
        <f t="shared" si="171"/>
        <v>0.25</v>
      </c>
      <c r="AJ369" t="str">
        <f t="shared" si="172"/>
        <v>OK</v>
      </c>
      <c r="AK369">
        <v>1640.57</v>
      </c>
      <c r="AL369">
        <v>1136.98</v>
      </c>
      <c r="AM369">
        <v>503.59</v>
      </c>
      <c r="AN369" t="s">
        <v>33</v>
      </c>
      <c r="AO369" t="str">
        <f t="shared" si="164"/>
        <v>PAID</v>
      </c>
      <c r="AP369" t="str">
        <f t="shared" si="173"/>
        <v>OK</v>
      </c>
      <c r="AQ369" t="s">
        <v>34</v>
      </c>
      <c r="AR369" t="str">
        <f t="shared" si="165"/>
        <v>COMPLETED</v>
      </c>
      <c r="AS369" t="str">
        <f t="shared" si="174"/>
        <v>OK</v>
      </c>
      <c r="AT369">
        <f t="shared" si="175"/>
        <v>1640.5650000000001</v>
      </c>
      <c r="AU369">
        <f t="shared" si="176"/>
        <v>503.58500000000004</v>
      </c>
      <c r="AV369" s="6">
        <f t="shared" si="177"/>
        <v>2.2364063600040218</v>
      </c>
      <c r="AW369" t="str">
        <f t="shared" si="178"/>
        <v>CLEAN</v>
      </c>
      <c r="AX369" s="10" t="str">
        <f t="shared" si="179"/>
        <v>MATCH</v>
      </c>
      <c r="AY369" t="str">
        <f t="shared" si="180"/>
        <v>MATCH</v>
      </c>
    </row>
    <row r="370" spans="1:51">
      <c r="A370" t="s">
        <v>3064</v>
      </c>
      <c r="B370">
        <f t="shared" si="156"/>
        <v>1</v>
      </c>
      <c r="C370" t="s">
        <v>3065</v>
      </c>
      <c r="D370" s="3">
        <v>45403</v>
      </c>
      <c r="E370" t="str">
        <f t="shared" si="157"/>
        <v>2024/04/21</v>
      </c>
      <c r="F370" t="str">
        <f t="shared" si="166"/>
        <v>April</v>
      </c>
      <c r="G370">
        <f t="shared" si="167"/>
        <v>2024</v>
      </c>
      <c r="H370" t="s">
        <v>357</v>
      </c>
      <c r="I370" s="4">
        <v>45406</v>
      </c>
      <c r="J370" s="8">
        <f t="shared" si="158"/>
        <v>3</v>
      </c>
      <c r="K370" s="8" t="str">
        <f t="shared" si="168"/>
        <v>OK</v>
      </c>
      <c r="L370" t="s">
        <v>3066</v>
      </c>
      <c r="M370" t="s">
        <v>92</v>
      </c>
      <c r="N370" t="str">
        <f t="shared" si="159"/>
        <v>Neha Gupta</v>
      </c>
      <c r="O370" t="s">
        <v>40</v>
      </c>
      <c r="P370" t="str">
        <f t="shared" si="181"/>
        <v>Small Business</v>
      </c>
      <c r="Q370" t="s">
        <v>61</v>
      </c>
      <c r="R370" t="str">
        <f t="shared" si="184"/>
        <v>South</v>
      </c>
      <c r="S370" t="str">
        <f t="shared" si="169"/>
        <v>OK</v>
      </c>
      <c r="T370" t="s">
        <v>99</v>
      </c>
      <c r="U370" t="str">
        <f t="shared" si="160"/>
        <v>Andhra Pradesh</v>
      </c>
      <c r="V370" t="s">
        <v>100</v>
      </c>
      <c r="W370" t="str">
        <f t="shared" si="161"/>
        <v>Vijayawada</v>
      </c>
      <c r="X370" t="str">
        <f t="shared" si="162"/>
        <v>Office Supplies</v>
      </c>
      <c r="Y370" t="s">
        <v>29</v>
      </c>
      <c r="Z370" t="s">
        <v>53</v>
      </c>
      <c r="AA370" t="str">
        <f t="shared" si="163"/>
        <v>Art</v>
      </c>
      <c r="AB370" t="s">
        <v>3067</v>
      </c>
      <c r="AC370" t="s">
        <v>47</v>
      </c>
      <c r="AD370" t="str">
        <f t="shared" si="185"/>
        <v>Same Day</v>
      </c>
      <c r="AE370" t="str">
        <f t="shared" si="170"/>
        <v>OK</v>
      </c>
      <c r="AF370">
        <v>9</v>
      </c>
      <c r="AG370">
        <v>703.59</v>
      </c>
      <c r="AH370">
        <v>0.2</v>
      </c>
      <c r="AI370">
        <f t="shared" si="171"/>
        <v>0.2</v>
      </c>
      <c r="AJ370" t="str">
        <f t="shared" si="172"/>
        <v>OK</v>
      </c>
      <c r="AK370">
        <v>5065.8500000000004</v>
      </c>
      <c r="AL370">
        <v>3517.23</v>
      </c>
      <c r="AM370">
        <v>1548.62</v>
      </c>
      <c r="AN370" t="s">
        <v>199</v>
      </c>
      <c r="AO370" t="str">
        <f t="shared" si="164"/>
        <v>FAILED</v>
      </c>
      <c r="AP370" t="str">
        <f t="shared" si="173"/>
        <v>EXCLUDE_FROM_SALES</v>
      </c>
      <c r="AQ370" t="s">
        <v>124</v>
      </c>
      <c r="AR370" t="str">
        <f t="shared" si="165"/>
        <v>RETURNED</v>
      </c>
      <c r="AS370" t="str">
        <f t="shared" si="174"/>
        <v>RETURNED_ORDER</v>
      </c>
      <c r="AT370">
        <f t="shared" si="175"/>
        <v>5065.8480000000009</v>
      </c>
      <c r="AU370">
        <f t="shared" si="176"/>
        <v>1548.6180000000008</v>
      </c>
      <c r="AV370" s="6">
        <f t="shared" si="177"/>
        <v>7.9597729738436651E-2</v>
      </c>
      <c r="AW370" t="str">
        <f t="shared" si="178"/>
        <v>CLEAN</v>
      </c>
      <c r="AX370" s="10" t="str">
        <f t="shared" si="179"/>
        <v>MATCH</v>
      </c>
      <c r="AY370" t="str">
        <f t="shared" si="180"/>
        <v>MATCH</v>
      </c>
    </row>
    <row r="371" spans="1:51">
      <c r="A371" t="s">
        <v>3073</v>
      </c>
      <c r="B371">
        <f t="shared" si="156"/>
        <v>1</v>
      </c>
      <c r="C371" t="s">
        <v>3074</v>
      </c>
      <c r="D371" s="3">
        <v>45395</v>
      </c>
      <c r="E371" t="str">
        <f t="shared" si="157"/>
        <v>2024/04/13</v>
      </c>
      <c r="F371" t="str">
        <f t="shared" si="166"/>
        <v>April</v>
      </c>
      <c r="G371">
        <f t="shared" si="167"/>
        <v>2024</v>
      </c>
      <c r="H371" t="s">
        <v>3075</v>
      </c>
      <c r="I371" s="4">
        <v>45403</v>
      </c>
      <c r="J371" s="8">
        <f t="shared" si="158"/>
        <v>8</v>
      </c>
      <c r="K371" s="8" t="str">
        <f t="shared" si="168"/>
        <v>OK</v>
      </c>
      <c r="L371" t="s">
        <v>546</v>
      </c>
      <c r="M371" t="s">
        <v>161</v>
      </c>
      <c r="N371" t="str">
        <f t="shared" si="159"/>
        <v>Aarav Sharma</v>
      </c>
      <c r="O371" t="s">
        <v>114</v>
      </c>
      <c r="P371" t="str">
        <f t="shared" si="181"/>
        <v>Home Office</v>
      </c>
      <c r="Q371" t="s">
        <v>41</v>
      </c>
      <c r="R371" t="str">
        <f t="shared" si="184"/>
        <v>East</v>
      </c>
      <c r="S371" t="str">
        <f t="shared" si="169"/>
        <v>OK</v>
      </c>
      <c r="T371" t="s">
        <v>185</v>
      </c>
      <c r="U371" t="str">
        <f t="shared" si="160"/>
        <v>Bihar</v>
      </c>
      <c r="V371" t="s">
        <v>186</v>
      </c>
      <c r="W371" t="str">
        <f t="shared" si="161"/>
        <v>Patna</v>
      </c>
      <c r="X371" t="str">
        <f t="shared" si="162"/>
        <v>Technology</v>
      </c>
      <c r="Y371" t="s">
        <v>85</v>
      </c>
      <c r="Z371" t="s">
        <v>86</v>
      </c>
      <c r="AA371" t="str">
        <f t="shared" si="163"/>
        <v>Accessories</v>
      </c>
      <c r="AB371" t="s">
        <v>3076</v>
      </c>
      <c r="AC371" t="s">
        <v>47</v>
      </c>
      <c r="AD371" t="str">
        <f t="shared" si="185"/>
        <v>Same Day</v>
      </c>
      <c r="AE371" t="str">
        <f t="shared" si="170"/>
        <v>OK</v>
      </c>
      <c r="AF371">
        <v>7</v>
      </c>
      <c r="AG371">
        <v>2648.76</v>
      </c>
      <c r="AH371">
        <v>0.15</v>
      </c>
      <c r="AI371">
        <f t="shared" si="171"/>
        <v>0.15</v>
      </c>
      <c r="AJ371" t="str">
        <f t="shared" si="172"/>
        <v>OK</v>
      </c>
      <c r="AK371">
        <v>15760.12</v>
      </c>
      <c r="AL371">
        <v>9931.5300000000007</v>
      </c>
      <c r="AM371">
        <v>5828.59</v>
      </c>
      <c r="AN371" t="s">
        <v>199</v>
      </c>
      <c r="AO371" t="str">
        <f t="shared" si="164"/>
        <v>FAILED</v>
      </c>
      <c r="AP371" t="str">
        <f t="shared" si="173"/>
        <v>EXCLUDE_FROM_SALES</v>
      </c>
      <c r="AQ371" t="s">
        <v>124</v>
      </c>
      <c r="AR371" t="str">
        <f t="shared" si="165"/>
        <v>RETURNED</v>
      </c>
      <c r="AS371" t="str">
        <f t="shared" si="174"/>
        <v>RETURNED_ORDER</v>
      </c>
      <c r="AT371">
        <f t="shared" si="175"/>
        <v>15760.121999999999</v>
      </c>
      <c r="AU371">
        <f t="shared" si="176"/>
        <v>5828.5919999999987</v>
      </c>
      <c r="AV371" s="6">
        <f t="shared" si="177"/>
        <v>0.25401948030605331</v>
      </c>
      <c r="AW371" t="str">
        <f t="shared" si="178"/>
        <v>CLEAN</v>
      </c>
      <c r="AX371" s="10" t="str">
        <f t="shared" si="179"/>
        <v>MATCH</v>
      </c>
      <c r="AY371" t="str">
        <f t="shared" si="180"/>
        <v>MATCH</v>
      </c>
    </row>
    <row r="372" spans="1:51">
      <c r="A372" t="s">
        <v>3096</v>
      </c>
      <c r="B372">
        <f t="shared" si="156"/>
        <v>1</v>
      </c>
      <c r="C372" t="s">
        <v>3097</v>
      </c>
      <c r="D372" s="3">
        <v>45419</v>
      </c>
      <c r="E372" t="str">
        <f t="shared" si="157"/>
        <v>2024/05/07</v>
      </c>
      <c r="F372" t="str">
        <f t="shared" si="166"/>
        <v>May</v>
      </c>
      <c r="G372">
        <f t="shared" si="167"/>
        <v>2024</v>
      </c>
      <c r="H372" t="s">
        <v>2328</v>
      </c>
      <c r="I372" s="4">
        <v>45426</v>
      </c>
      <c r="J372" s="8">
        <f t="shared" si="158"/>
        <v>7</v>
      </c>
      <c r="K372" s="8" t="str">
        <f t="shared" si="168"/>
        <v>OK</v>
      </c>
      <c r="L372" t="s">
        <v>3098</v>
      </c>
      <c r="M372" t="s">
        <v>92</v>
      </c>
      <c r="N372" t="str">
        <f t="shared" si="159"/>
        <v>Neha Gupta</v>
      </c>
      <c r="O372" t="s">
        <v>40</v>
      </c>
      <c r="P372" t="str">
        <f t="shared" si="181"/>
        <v>Small Business</v>
      </c>
      <c r="Q372" t="s">
        <v>26</v>
      </c>
      <c r="R372" t="str">
        <f t="shared" si="184"/>
        <v>North</v>
      </c>
      <c r="S372" t="str">
        <f t="shared" si="169"/>
        <v>OK</v>
      </c>
      <c r="T372" t="s">
        <v>322</v>
      </c>
      <c r="U372" t="str">
        <f t="shared" si="160"/>
        <v>Haryana</v>
      </c>
      <c r="V372" t="s">
        <v>323</v>
      </c>
      <c r="W372" t="str">
        <f t="shared" si="161"/>
        <v>Gurugram</v>
      </c>
      <c r="X372" t="str">
        <f t="shared" si="162"/>
        <v>Technology</v>
      </c>
      <c r="Y372" t="s">
        <v>85</v>
      </c>
      <c r="Z372" t="s">
        <v>381</v>
      </c>
      <c r="AA372" t="str">
        <f t="shared" si="163"/>
        <v>Machines</v>
      </c>
      <c r="AB372" t="s">
        <v>3099</v>
      </c>
      <c r="AC372" t="s">
        <v>47</v>
      </c>
      <c r="AD372" t="str">
        <f t="shared" si="185"/>
        <v>Same Day</v>
      </c>
      <c r="AE372" t="str">
        <f t="shared" si="170"/>
        <v>OK</v>
      </c>
      <c r="AF372">
        <v>4</v>
      </c>
      <c r="AG372">
        <v>2751.1</v>
      </c>
      <c r="AH372">
        <v>-0.05</v>
      </c>
      <c r="AI372">
        <f t="shared" si="171"/>
        <v>-0.05</v>
      </c>
      <c r="AJ372" t="str">
        <f t="shared" si="172"/>
        <v>Invalid Negative Discount</v>
      </c>
      <c r="AK372">
        <v>9903.9599999999991</v>
      </c>
      <c r="AL372">
        <v>7696.28</v>
      </c>
      <c r="AM372">
        <v>2207.6799999999998</v>
      </c>
      <c r="AN372" t="s">
        <v>33</v>
      </c>
      <c r="AO372" t="str">
        <f t="shared" si="164"/>
        <v>PAID</v>
      </c>
      <c r="AP372" t="str">
        <f t="shared" si="173"/>
        <v>OK</v>
      </c>
      <c r="AQ372" t="s">
        <v>34</v>
      </c>
      <c r="AR372" t="str">
        <f t="shared" si="165"/>
        <v>COMPLETED</v>
      </c>
      <c r="AS372" t="str">
        <f t="shared" si="174"/>
        <v>OK</v>
      </c>
      <c r="AT372" t="str">
        <f t="shared" si="175"/>
        <v>INVAILD</v>
      </c>
      <c r="AU372" t="str">
        <f t="shared" si="176"/>
        <v>INVAILD</v>
      </c>
      <c r="AW372" t="str">
        <f t="shared" si="178"/>
        <v>INVALID</v>
      </c>
      <c r="AX372" s="10" t="s">
        <v>4116</v>
      </c>
      <c r="AY372" t="s">
        <v>4116</v>
      </c>
    </row>
    <row r="373" spans="1:51">
      <c r="A373" t="s">
        <v>3116</v>
      </c>
      <c r="B373">
        <f t="shared" si="156"/>
        <v>1</v>
      </c>
      <c r="C373" t="s">
        <v>3117</v>
      </c>
      <c r="D373" s="3">
        <v>45429</v>
      </c>
      <c r="E373" t="str">
        <f t="shared" si="157"/>
        <v>2024/05/17</v>
      </c>
      <c r="F373" t="str">
        <f t="shared" si="166"/>
        <v>May</v>
      </c>
      <c r="G373">
        <f t="shared" si="167"/>
        <v>2024</v>
      </c>
      <c r="H373" t="s">
        <v>3118</v>
      </c>
      <c r="I373" s="4">
        <v>45434</v>
      </c>
      <c r="J373" s="8">
        <f t="shared" si="158"/>
        <v>5</v>
      </c>
      <c r="K373" s="8" t="str">
        <f t="shared" si="168"/>
        <v>OK</v>
      </c>
      <c r="L373" t="s">
        <v>3119</v>
      </c>
      <c r="M373" t="s">
        <v>167</v>
      </c>
      <c r="N373" t="str">
        <f t="shared" si="159"/>
        <v>Sneha Kapoor</v>
      </c>
      <c r="O373" t="s">
        <v>25</v>
      </c>
      <c r="P373" t="str">
        <f t="shared" si="181"/>
        <v>Consumer</v>
      </c>
      <c r="Q373" t="s">
        <v>61</v>
      </c>
      <c r="R373" t="str">
        <f t="shared" si="184"/>
        <v>South</v>
      </c>
      <c r="S373" t="str">
        <f t="shared" si="169"/>
        <v>OK</v>
      </c>
      <c r="T373" t="s">
        <v>99</v>
      </c>
      <c r="U373" t="str">
        <f t="shared" si="160"/>
        <v>Andhra Pradesh</v>
      </c>
      <c r="V373" t="s">
        <v>100</v>
      </c>
      <c r="W373" t="str">
        <f t="shared" si="161"/>
        <v>Vijayawada</v>
      </c>
      <c r="X373" t="str">
        <f t="shared" si="162"/>
        <v>Technology</v>
      </c>
      <c r="Y373" t="s">
        <v>85</v>
      </c>
      <c r="Z373" t="s">
        <v>381</v>
      </c>
      <c r="AA373" t="str">
        <f t="shared" si="163"/>
        <v>Machines</v>
      </c>
      <c r="AB373" t="s">
        <v>3120</v>
      </c>
      <c r="AC373" t="s">
        <v>32</v>
      </c>
      <c r="AD373" t="str">
        <f t="shared" si="185"/>
        <v>Second Class</v>
      </c>
      <c r="AE373" t="str">
        <f t="shared" si="170"/>
        <v>OK</v>
      </c>
      <c r="AF373">
        <v>7</v>
      </c>
      <c r="AG373">
        <v>232.5</v>
      </c>
      <c r="AH373">
        <v>0</v>
      </c>
      <c r="AI373">
        <f t="shared" si="171"/>
        <v>0</v>
      </c>
      <c r="AJ373" t="str">
        <f t="shared" si="172"/>
        <v>OK</v>
      </c>
      <c r="AK373">
        <v>1627.5</v>
      </c>
      <c r="AL373">
        <v>939.9</v>
      </c>
      <c r="AM373">
        <v>687.6</v>
      </c>
      <c r="AN373" t="s">
        <v>33</v>
      </c>
      <c r="AO373" t="str">
        <f t="shared" si="164"/>
        <v>PAID</v>
      </c>
      <c r="AP373" t="str">
        <f t="shared" si="173"/>
        <v>OK</v>
      </c>
      <c r="AQ373" t="s">
        <v>34</v>
      </c>
      <c r="AR373" t="str">
        <f t="shared" si="165"/>
        <v>COMPLETED</v>
      </c>
      <c r="AS373" t="str">
        <f t="shared" si="174"/>
        <v>OK</v>
      </c>
      <c r="AT373">
        <f t="shared" si="175"/>
        <v>1627.5</v>
      </c>
      <c r="AU373">
        <f t="shared" si="176"/>
        <v>687.6</v>
      </c>
      <c r="AV373" s="6">
        <f t="shared" si="177"/>
        <v>1.9052626728110602</v>
      </c>
      <c r="AW373" t="str">
        <f t="shared" si="178"/>
        <v>CLEAN</v>
      </c>
      <c r="AX373" s="10" t="str">
        <f t="shared" si="179"/>
        <v>MATCH</v>
      </c>
      <c r="AY373" t="str">
        <f t="shared" si="180"/>
        <v>MATCH</v>
      </c>
    </row>
    <row r="374" spans="1:51">
      <c r="A374" t="s">
        <v>3121</v>
      </c>
      <c r="B374">
        <f t="shared" si="156"/>
        <v>1</v>
      </c>
      <c r="C374" t="s">
        <v>3122</v>
      </c>
      <c r="D374" s="3">
        <v>45305</v>
      </c>
      <c r="E374" t="str">
        <f t="shared" si="157"/>
        <v>2024/01/14</v>
      </c>
      <c r="F374" t="str">
        <f t="shared" si="166"/>
        <v>January</v>
      </c>
      <c r="G374">
        <f t="shared" si="167"/>
        <v>2024</v>
      </c>
      <c r="H374" t="s">
        <v>3123</v>
      </c>
      <c r="I374" s="4">
        <v>45309</v>
      </c>
      <c r="J374" s="8">
        <f t="shared" si="158"/>
        <v>4</v>
      </c>
      <c r="K374" s="8" t="str">
        <f t="shared" si="168"/>
        <v>OK</v>
      </c>
      <c r="L374" t="s">
        <v>3124</v>
      </c>
      <c r="M374" t="s">
        <v>39</v>
      </c>
      <c r="N374" t="str">
        <f t="shared" si="159"/>
        <v>Mira Das</v>
      </c>
      <c r="O374" t="s">
        <v>114</v>
      </c>
      <c r="P374" t="str">
        <f t="shared" si="181"/>
        <v>Home Office</v>
      </c>
      <c r="Q374" t="s">
        <v>72</v>
      </c>
      <c r="R374" t="str">
        <f t="shared" si="184"/>
        <v>West</v>
      </c>
      <c r="S374" t="str">
        <f t="shared" si="169"/>
        <v>OK</v>
      </c>
      <c r="T374" t="s">
        <v>27</v>
      </c>
      <c r="U374" t="str">
        <f t="shared" si="160"/>
        <v>Rajasthan</v>
      </c>
      <c r="V374" t="s">
        <v>134</v>
      </c>
      <c r="W374" t="str">
        <f t="shared" si="161"/>
        <v>Udaipur</v>
      </c>
      <c r="X374" t="str">
        <f t="shared" si="162"/>
        <v>Technology</v>
      </c>
      <c r="Y374" t="s">
        <v>85</v>
      </c>
      <c r="Z374" t="s">
        <v>381</v>
      </c>
      <c r="AA374" t="str">
        <f t="shared" si="163"/>
        <v>Machines</v>
      </c>
      <c r="AB374" t="s">
        <v>3125</v>
      </c>
      <c r="AC374" t="s">
        <v>47</v>
      </c>
      <c r="AD374" t="str">
        <f t="shared" si="185"/>
        <v>Same Day</v>
      </c>
      <c r="AE374" t="str">
        <f t="shared" si="170"/>
        <v>OK</v>
      </c>
      <c r="AF374">
        <v>6</v>
      </c>
      <c r="AG374">
        <v>1784.8</v>
      </c>
      <c r="AH374">
        <v>0.1</v>
      </c>
      <c r="AI374">
        <f t="shared" si="171"/>
        <v>0.1</v>
      </c>
      <c r="AJ374" t="str">
        <f t="shared" si="172"/>
        <v>OK</v>
      </c>
      <c r="AK374">
        <v>9637.92</v>
      </c>
      <c r="AL374">
        <v>7329.29</v>
      </c>
      <c r="AM374">
        <v>2308.63</v>
      </c>
      <c r="AN374" t="s">
        <v>33</v>
      </c>
      <c r="AO374" t="str">
        <f t="shared" si="164"/>
        <v>PAID</v>
      </c>
      <c r="AP374" t="str">
        <f t="shared" si="173"/>
        <v>OK</v>
      </c>
      <c r="AQ374" t="s">
        <v>34</v>
      </c>
      <c r="AR374" t="str">
        <f t="shared" si="165"/>
        <v>COMPLETED</v>
      </c>
      <c r="AS374" t="str">
        <f t="shared" si="174"/>
        <v>OK</v>
      </c>
      <c r="AT374">
        <f t="shared" si="175"/>
        <v>9637.92</v>
      </c>
      <c r="AU374">
        <f t="shared" si="176"/>
        <v>2308.63</v>
      </c>
      <c r="AV374" s="6">
        <f t="shared" si="177"/>
        <v>0.19597278250908906</v>
      </c>
      <c r="AW374" t="str">
        <f t="shared" si="178"/>
        <v>CLEAN</v>
      </c>
      <c r="AX374" s="10" t="str">
        <f t="shared" si="179"/>
        <v>MATCH</v>
      </c>
      <c r="AY374" t="str">
        <f t="shared" si="180"/>
        <v>MATCH</v>
      </c>
    </row>
    <row r="375" spans="1:51">
      <c r="A375" t="s">
        <v>3126</v>
      </c>
      <c r="B375">
        <f t="shared" si="156"/>
        <v>1</v>
      </c>
      <c r="C375" t="s">
        <v>1224</v>
      </c>
      <c r="D375" s="3">
        <v>45327</v>
      </c>
      <c r="E375" t="str">
        <f t="shared" si="157"/>
        <v>2024/02/05</v>
      </c>
      <c r="F375" t="str">
        <f t="shared" si="166"/>
        <v>February</v>
      </c>
      <c r="G375">
        <f t="shared" si="167"/>
        <v>2024</v>
      </c>
      <c r="H375" t="s">
        <v>2681</v>
      </c>
      <c r="I375" s="4">
        <v>45420</v>
      </c>
      <c r="J375" s="8">
        <f t="shared" si="158"/>
        <v>93</v>
      </c>
      <c r="K375" s="8" t="str">
        <f t="shared" si="168"/>
        <v>OK</v>
      </c>
      <c r="L375" t="s">
        <v>3127</v>
      </c>
      <c r="M375" t="s">
        <v>147</v>
      </c>
      <c r="N375" t="str">
        <f t="shared" si="159"/>
        <v>Rahul Verma</v>
      </c>
      <c r="O375" t="s">
        <v>114</v>
      </c>
      <c r="P375" t="str">
        <f t="shared" si="181"/>
        <v>Home Office</v>
      </c>
      <c r="Q375" t="s">
        <v>41</v>
      </c>
      <c r="R375" t="str">
        <f t="shared" si="184"/>
        <v>East</v>
      </c>
      <c r="S375" t="str">
        <f t="shared" si="169"/>
        <v>OK</v>
      </c>
      <c r="T375" t="s">
        <v>310</v>
      </c>
      <c r="U375" t="str">
        <f t="shared" si="160"/>
        <v>Jharkhand</v>
      </c>
      <c r="V375" t="s">
        <v>311</v>
      </c>
      <c r="W375" t="str">
        <f t="shared" si="161"/>
        <v>Ranchi</v>
      </c>
      <c r="X375" t="str">
        <f t="shared" si="162"/>
        <v>Technology</v>
      </c>
      <c r="Y375" t="s">
        <v>85</v>
      </c>
      <c r="Z375" t="s">
        <v>93</v>
      </c>
      <c r="AA375" t="str">
        <f t="shared" si="163"/>
        <v>Copiers</v>
      </c>
      <c r="AB375" t="s">
        <v>3128</v>
      </c>
      <c r="AC375" t="s">
        <v>32</v>
      </c>
      <c r="AD375" t="str">
        <f t="shared" si="185"/>
        <v>Second Class</v>
      </c>
      <c r="AE375" t="str">
        <f t="shared" si="170"/>
        <v>OK</v>
      </c>
      <c r="AF375">
        <v>2</v>
      </c>
      <c r="AG375">
        <v>3185.01</v>
      </c>
      <c r="AH375">
        <v>-0.24</v>
      </c>
      <c r="AI375">
        <f t="shared" si="171"/>
        <v>-0.24</v>
      </c>
      <c r="AJ375" t="str">
        <f t="shared" si="172"/>
        <v>Invalid Negative Discount</v>
      </c>
      <c r="AK375">
        <v>4777.5200000000004</v>
      </c>
      <c r="AL375">
        <v>3152.98</v>
      </c>
      <c r="AM375">
        <v>1624.54</v>
      </c>
      <c r="AN375" t="s">
        <v>33</v>
      </c>
      <c r="AO375" t="str">
        <f t="shared" si="164"/>
        <v>PAID</v>
      </c>
      <c r="AP375" t="str">
        <f t="shared" si="173"/>
        <v>OK</v>
      </c>
      <c r="AQ375" t="s">
        <v>34</v>
      </c>
      <c r="AR375" t="str">
        <f t="shared" si="165"/>
        <v>COMPLETED</v>
      </c>
      <c r="AS375" t="str">
        <f t="shared" si="174"/>
        <v>OK</v>
      </c>
      <c r="AT375" t="str">
        <f t="shared" si="175"/>
        <v>INVAILD</v>
      </c>
      <c r="AU375" t="str">
        <f t="shared" si="176"/>
        <v>INVAILD</v>
      </c>
      <c r="AW375" t="str">
        <f t="shared" si="178"/>
        <v>INVALID</v>
      </c>
      <c r="AX375" s="10" t="s">
        <v>4116</v>
      </c>
      <c r="AY375" t="s">
        <v>4116</v>
      </c>
    </row>
    <row r="376" spans="1:51">
      <c r="A376" t="s">
        <v>3129</v>
      </c>
      <c r="B376">
        <f t="shared" si="156"/>
        <v>1</v>
      </c>
      <c r="C376" t="s">
        <v>3130</v>
      </c>
      <c r="D376" s="2">
        <v>45485</v>
      </c>
      <c r="E376" t="str">
        <f t="shared" si="157"/>
        <v>2024/07/12</v>
      </c>
      <c r="F376" t="str">
        <f t="shared" si="166"/>
        <v>July</v>
      </c>
      <c r="G376">
        <f t="shared" si="167"/>
        <v>2024</v>
      </c>
      <c r="H376" t="s">
        <v>3131</v>
      </c>
      <c r="I376" s="4">
        <v>45636</v>
      </c>
      <c r="J376" s="8">
        <f t="shared" si="158"/>
        <v>151</v>
      </c>
      <c r="K376" s="8" t="str">
        <f t="shared" si="168"/>
        <v>OK</v>
      </c>
      <c r="L376" t="s">
        <v>3132</v>
      </c>
      <c r="M376" t="s">
        <v>39</v>
      </c>
      <c r="N376" t="str">
        <f t="shared" si="159"/>
        <v>Mira Das</v>
      </c>
      <c r="O376" t="s">
        <v>114</v>
      </c>
      <c r="P376" t="str">
        <f t="shared" si="181"/>
        <v>Home Office</v>
      </c>
      <c r="Q376" t="s">
        <v>61</v>
      </c>
      <c r="R376" t="str">
        <f t="shared" si="184"/>
        <v>South</v>
      </c>
      <c r="S376" t="str">
        <f t="shared" si="169"/>
        <v>OK</v>
      </c>
      <c r="T376" t="s">
        <v>62</v>
      </c>
      <c r="U376" t="str">
        <f t="shared" si="160"/>
        <v>Telangana</v>
      </c>
      <c r="V376" t="s">
        <v>63</v>
      </c>
      <c r="W376" t="str">
        <f t="shared" si="161"/>
        <v>Hyderabad</v>
      </c>
      <c r="X376" t="str">
        <f t="shared" si="162"/>
        <v>Technology</v>
      </c>
      <c r="Y376" t="s">
        <v>85</v>
      </c>
      <c r="Z376" t="s">
        <v>86</v>
      </c>
      <c r="AA376" t="str">
        <f t="shared" si="163"/>
        <v>Accessories</v>
      </c>
      <c r="AB376" t="s">
        <v>3133</v>
      </c>
      <c r="AC376" t="s">
        <v>66</v>
      </c>
      <c r="AD376" t="str">
        <f t="shared" si="185"/>
        <v>Standard Class</v>
      </c>
      <c r="AE376" t="str">
        <f t="shared" si="170"/>
        <v>OK</v>
      </c>
      <c r="AF376">
        <v>1</v>
      </c>
      <c r="AG376">
        <v>1908.83</v>
      </c>
      <c r="AH376">
        <v>0.2</v>
      </c>
      <c r="AI376">
        <f t="shared" si="171"/>
        <v>0.2</v>
      </c>
      <c r="AJ376" t="str">
        <f t="shared" si="172"/>
        <v>OK</v>
      </c>
      <c r="AK376">
        <v>1527.06</v>
      </c>
      <c r="AL376">
        <v>1055.8900000000001</v>
      </c>
      <c r="AM376">
        <v>471.17</v>
      </c>
      <c r="AN376" t="s">
        <v>33</v>
      </c>
      <c r="AO376" t="str">
        <f t="shared" si="164"/>
        <v>PAID</v>
      </c>
      <c r="AP376" t="str">
        <f t="shared" si="173"/>
        <v>OK</v>
      </c>
      <c r="AQ376" t="s">
        <v>34</v>
      </c>
      <c r="AR376" t="str">
        <f t="shared" si="165"/>
        <v>COMPLETED</v>
      </c>
      <c r="AS376" t="str">
        <f t="shared" si="174"/>
        <v>OK</v>
      </c>
      <c r="AT376">
        <f t="shared" si="175"/>
        <v>1527.0640000000001</v>
      </c>
      <c r="AU376">
        <f t="shared" si="176"/>
        <v>471.17399999999998</v>
      </c>
      <c r="AV376" s="6">
        <f t="shared" si="177"/>
        <v>0.38076040034995262</v>
      </c>
      <c r="AW376" t="str">
        <f t="shared" si="178"/>
        <v>CLEAN</v>
      </c>
      <c r="AX376" s="10" t="str">
        <f t="shared" si="179"/>
        <v>MATCH</v>
      </c>
      <c r="AY376" t="str">
        <f t="shared" si="180"/>
        <v>MATCH</v>
      </c>
    </row>
    <row r="377" spans="1:51">
      <c r="A377" t="s">
        <v>3139</v>
      </c>
      <c r="B377">
        <f t="shared" si="156"/>
        <v>1</v>
      </c>
      <c r="C377" t="s">
        <v>2151</v>
      </c>
      <c r="D377" s="2">
        <v>45464</v>
      </c>
      <c r="E377" t="str">
        <f t="shared" si="157"/>
        <v>2024/06/21</v>
      </c>
      <c r="F377" t="str">
        <f t="shared" si="166"/>
        <v>June</v>
      </c>
      <c r="G377">
        <f t="shared" si="167"/>
        <v>2024</v>
      </c>
      <c r="H377" t="s">
        <v>2093</v>
      </c>
      <c r="I377" s="4">
        <v>45469</v>
      </c>
      <c r="J377" s="8">
        <f t="shared" si="158"/>
        <v>5</v>
      </c>
      <c r="K377" s="8" t="str">
        <f t="shared" si="168"/>
        <v>OK</v>
      </c>
      <c r="L377" t="s">
        <v>3140</v>
      </c>
      <c r="M377" t="s">
        <v>179</v>
      </c>
      <c r="N377" t="str">
        <f t="shared" si="159"/>
        <v>Rohan Mehta</v>
      </c>
      <c r="O377" t="s">
        <v>40</v>
      </c>
      <c r="P377" t="str">
        <f t="shared" si="181"/>
        <v>Small Business</v>
      </c>
      <c r="Q377" t="s">
        <v>26</v>
      </c>
      <c r="R377" t="str">
        <f t="shared" si="184"/>
        <v>North</v>
      </c>
      <c r="S377" t="str">
        <f t="shared" si="169"/>
        <v>OK</v>
      </c>
      <c r="T377" t="s">
        <v>153</v>
      </c>
      <c r="U377" t="str">
        <f t="shared" si="160"/>
        <v>Punjab</v>
      </c>
      <c r="V377" t="s">
        <v>154</v>
      </c>
      <c r="W377" t="str">
        <f t="shared" si="161"/>
        <v>Ludhiana</v>
      </c>
      <c r="X377" t="str">
        <f t="shared" si="162"/>
        <v>Technology</v>
      </c>
      <c r="Y377" t="s">
        <v>85</v>
      </c>
      <c r="Z377" t="s">
        <v>93</v>
      </c>
      <c r="AA377" t="str">
        <f t="shared" si="163"/>
        <v>Copiers</v>
      </c>
      <c r="AB377" t="s">
        <v>3141</v>
      </c>
      <c r="AC377" t="s">
        <v>47</v>
      </c>
      <c r="AD377" t="str">
        <f t="shared" si="185"/>
        <v>Same Day</v>
      </c>
      <c r="AE377" t="str">
        <f t="shared" si="170"/>
        <v>OK</v>
      </c>
      <c r="AF377">
        <v>1</v>
      </c>
      <c r="AG377">
        <v>279.83</v>
      </c>
      <c r="AH377">
        <v>0.05</v>
      </c>
      <c r="AI377">
        <f t="shared" si="171"/>
        <v>0.05</v>
      </c>
      <c r="AJ377" t="str">
        <f t="shared" si="172"/>
        <v>OK</v>
      </c>
      <c r="AK377">
        <v>265.83999999999997</v>
      </c>
      <c r="AL377">
        <v>223.49</v>
      </c>
      <c r="AM377">
        <v>42.35</v>
      </c>
      <c r="AN377" t="s">
        <v>33</v>
      </c>
      <c r="AO377" t="str">
        <f t="shared" si="164"/>
        <v>PAID</v>
      </c>
      <c r="AP377" t="str">
        <f t="shared" si="173"/>
        <v>OK</v>
      </c>
      <c r="AQ377" t="s">
        <v>34</v>
      </c>
      <c r="AR377" t="str">
        <f t="shared" si="165"/>
        <v>COMPLETED</v>
      </c>
      <c r="AS377" t="str">
        <f t="shared" si="174"/>
        <v>OK</v>
      </c>
      <c r="AT377">
        <f t="shared" si="175"/>
        <v>265.83849999999995</v>
      </c>
      <c r="AU377">
        <f t="shared" si="176"/>
        <v>42.348499999999945</v>
      </c>
      <c r="AV377" s="6">
        <f t="shared" si="177"/>
        <v>2.1872132892714942</v>
      </c>
      <c r="AW377" t="str">
        <f t="shared" si="178"/>
        <v>CLEAN</v>
      </c>
      <c r="AX377" s="10" t="str">
        <f t="shared" si="179"/>
        <v>MATCH</v>
      </c>
      <c r="AY377" t="str">
        <f t="shared" si="180"/>
        <v>MATCH</v>
      </c>
    </row>
    <row r="378" spans="1:51">
      <c r="A378" t="s">
        <v>3147</v>
      </c>
      <c r="B378">
        <f t="shared" si="156"/>
        <v>1</v>
      </c>
      <c r="C378" t="s">
        <v>3148</v>
      </c>
      <c r="D378" s="3">
        <v>45617</v>
      </c>
      <c r="E378" t="str">
        <f t="shared" si="157"/>
        <v>2024/11/21</v>
      </c>
      <c r="F378" t="str">
        <f t="shared" si="166"/>
        <v>November</v>
      </c>
      <c r="G378">
        <f t="shared" si="167"/>
        <v>2024</v>
      </c>
      <c r="H378" t="s">
        <v>220</v>
      </c>
      <c r="I378" s="4">
        <v>45619</v>
      </c>
      <c r="J378" s="8">
        <f t="shared" si="158"/>
        <v>2</v>
      </c>
      <c r="K378" s="8" t="str">
        <f t="shared" si="168"/>
        <v>OK</v>
      </c>
      <c r="L378" t="s">
        <v>3149</v>
      </c>
      <c r="M378" t="s">
        <v>39</v>
      </c>
      <c r="N378" t="str">
        <f t="shared" si="159"/>
        <v>Mira Das</v>
      </c>
      <c r="O378" t="s">
        <v>107</v>
      </c>
      <c r="P378" t="str">
        <f t="shared" si="181"/>
        <v>Corporate</v>
      </c>
      <c r="Q378" t="s">
        <v>72</v>
      </c>
      <c r="R378" t="str">
        <f t="shared" si="184"/>
        <v>West</v>
      </c>
      <c r="S378" t="str">
        <f t="shared" si="169"/>
        <v>OK</v>
      </c>
      <c r="T378" t="s">
        <v>234</v>
      </c>
      <c r="U378" t="str">
        <f t="shared" si="160"/>
        <v>Gujarat</v>
      </c>
      <c r="V378" t="s">
        <v>235</v>
      </c>
      <c r="W378" t="str">
        <f t="shared" si="161"/>
        <v>Ahmedabad</v>
      </c>
      <c r="X378" t="str">
        <f t="shared" si="162"/>
        <v>Office Supplies</v>
      </c>
      <c r="Y378" t="s">
        <v>29</v>
      </c>
      <c r="Z378" t="s">
        <v>30</v>
      </c>
      <c r="AA378" t="str">
        <f t="shared" si="163"/>
        <v>Paper</v>
      </c>
      <c r="AB378" t="s">
        <v>3150</v>
      </c>
      <c r="AC378" t="s">
        <v>32</v>
      </c>
      <c r="AD378" t="str">
        <f t="shared" si="185"/>
        <v>Second Class</v>
      </c>
      <c r="AE378" t="str">
        <f t="shared" si="170"/>
        <v>OK</v>
      </c>
      <c r="AF378">
        <v>5</v>
      </c>
      <c r="AG378">
        <v>600.46</v>
      </c>
      <c r="AH378">
        <v>0.2</v>
      </c>
      <c r="AI378">
        <f t="shared" si="171"/>
        <v>0.2</v>
      </c>
      <c r="AJ378" t="str">
        <f t="shared" si="172"/>
        <v>OK</v>
      </c>
      <c r="AK378">
        <v>2401.84</v>
      </c>
      <c r="AL378">
        <v>1873.11</v>
      </c>
      <c r="AM378">
        <v>528.73</v>
      </c>
      <c r="AN378" t="s">
        <v>33</v>
      </c>
      <c r="AO378" t="str">
        <f t="shared" si="164"/>
        <v>PAID</v>
      </c>
      <c r="AP378" t="str">
        <f t="shared" si="173"/>
        <v>OK</v>
      </c>
      <c r="AQ378" t="s">
        <v>34</v>
      </c>
      <c r="AR378" t="str">
        <f t="shared" si="165"/>
        <v>COMPLETED</v>
      </c>
      <c r="AS378" t="str">
        <f t="shared" si="174"/>
        <v>OK</v>
      </c>
      <c r="AT378">
        <f t="shared" si="175"/>
        <v>2401.84</v>
      </c>
      <c r="AU378">
        <f t="shared" si="176"/>
        <v>528.73000000000025</v>
      </c>
      <c r="AV378" s="6">
        <f t="shared" si="177"/>
        <v>1.9416083086300504</v>
      </c>
      <c r="AW378" t="str">
        <f t="shared" si="178"/>
        <v>CLEAN</v>
      </c>
      <c r="AX378" s="10" t="str">
        <f t="shared" si="179"/>
        <v>MATCH</v>
      </c>
      <c r="AY378" t="str">
        <f t="shared" si="180"/>
        <v>MATCH</v>
      </c>
    </row>
    <row r="379" spans="1:51">
      <c r="A379" t="s">
        <v>3151</v>
      </c>
      <c r="B379">
        <f t="shared" si="156"/>
        <v>1</v>
      </c>
      <c r="C379" t="s">
        <v>3152</v>
      </c>
      <c r="D379" s="3">
        <v>45375</v>
      </c>
      <c r="E379" t="str">
        <f t="shared" si="157"/>
        <v>2024/03/24</v>
      </c>
      <c r="F379" t="str">
        <f t="shared" si="166"/>
        <v>March</v>
      </c>
      <c r="G379">
        <f t="shared" si="167"/>
        <v>2024</v>
      </c>
      <c r="H379" t="s">
        <v>3153</v>
      </c>
      <c r="I379" s="4">
        <v>45383</v>
      </c>
      <c r="J379" s="8">
        <f t="shared" si="158"/>
        <v>8</v>
      </c>
      <c r="K379" s="8" t="str">
        <f t="shared" si="168"/>
        <v>OK</v>
      </c>
      <c r="L379" t="s">
        <v>3154</v>
      </c>
      <c r="M379" t="s">
        <v>71</v>
      </c>
      <c r="N379" t="str">
        <f t="shared" si="159"/>
        <v>Ananya Rao</v>
      </c>
      <c r="O379" t="s">
        <v>114</v>
      </c>
      <c r="P379" t="str">
        <f t="shared" si="181"/>
        <v>Home Office</v>
      </c>
      <c r="Q379" t="s">
        <v>72</v>
      </c>
      <c r="R379" t="str">
        <f t="shared" si="184"/>
        <v>West</v>
      </c>
      <c r="S379" t="str">
        <f t="shared" si="169"/>
        <v>OK</v>
      </c>
      <c r="T379" t="s">
        <v>73</v>
      </c>
      <c r="U379" t="str">
        <f t="shared" si="160"/>
        <v>Maharashtra</v>
      </c>
      <c r="V379" t="s">
        <v>74</v>
      </c>
      <c r="W379" t="str">
        <f t="shared" si="161"/>
        <v>Mumbai</v>
      </c>
      <c r="X379" t="str">
        <f t="shared" si="162"/>
        <v>Furniture</v>
      </c>
      <c r="Y379" t="s">
        <v>44</v>
      </c>
      <c r="Z379" t="s">
        <v>45</v>
      </c>
      <c r="AA379" t="str">
        <f t="shared" si="163"/>
        <v>Tables</v>
      </c>
      <c r="AB379" t="s">
        <v>3155</v>
      </c>
      <c r="AC379" t="s">
        <v>32</v>
      </c>
      <c r="AD379" t="str">
        <f t="shared" si="185"/>
        <v>Second Class</v>
      </c>
      <c r="AE379" t="str">
        <f t="shared" si="170"/>
        <v>OK</v>
      </c>
      <c r="AF379">
        <v>4</v>
      </c>
      <c r="AG379">
        <v>1700.72</v>
      </c>
      <c r="AH379">
        <v>0.25</v>
      </c>
      <c r="AI379">
        <f t="shared" si="171"/>
        <v>0.25</v>
      </c>
      <c r="AJ379" t="str">
        <f t="shared" si="172"/>
        <v>OK</v>
      </c>
      <c r="AK379">
        <v>5102.16</v>
      </c>
      <c r="AL379">
        <v>3226.45</v>
      </c>
      <c r="AM379">
        <v>1875.71</v>
      </c>
      <c r="AN379" t="s">
        <v>33</v>
      </c>
      <c r="AO379" t="str">
        <f t="shared" si="164"/>
        <v>PAID</v>
      </c>
      <c r="AP379" t="str">
        <f t="shared" si="173"/>
        <v>OK</v>
      </c>
      <c r="AQ379" t="s">
        <v>34</v>
      </c>
      <c r="AR379" t="str">
        <f t="shared" si="165"/>
        <v>COMPLETED</v>
      </c>
      <c r="AS379" t="str">
        <f t="shared" si="174"/>
        <v>OK</v>
      </c>
      <c r="AT379">
        <f t="shared" si="175"/>
        <v>5102.16</v>
      </c>
      <c r="AU379">
        <f t="shared" si="176"/>
        <v>1875.71</v>
      </c>
      <c r="AV379" s="6">
        <f t="shared" si="177"/>
        <v>0.1072477146933848</v>
      </c>
      <c r="AW379" t="str">
        <f t="shared" si="178"/>
        <v>CLEAN</v>
      </c>
      <c r="AX379" s="10" t="str">
        <f t="shared" si="179"/>
        <v>MATCH</v>
      </c>
      <c r="AY379" t="str">
        <f t="shared" si="180"/>
        <v>MATCH</v>
      </c>
    </row>
    <row r="380" spans="1:51">
      <c r="A380" t="s">
        <v>3159</v>
      </c>
      <c r="B380">
        <f t="shared" si="156"/>
        <v>1</v>
      </c>
      <c r="C380" t="s">
        <v>3160</v>
      </c>
      <c r="D380" s="3">
        <v>45373</v>
      </c>
      <c r="E380" t="str">
        <f t="shared" si="157"/>
        <v>2024/03/22</v>
      </c>
      <c r="F380" t="str">
        <f t="shared" si="166"/>
        <v>March</v>
      </c>
      <c r="G380">
        <f t="shared" si="167"/>
        <v>2024</v>
      </c>
      <c r="H380" t="s">
        <v>3161</v>
      </c>
      <c r="I380" s="4">
        <v>45378</v>
      </c>
      <c r="J380" s="8">
        <f t="shared" si="158"/>
        <v>5</v>
      </c>
      <c r="K380" s="8" t="str">
        <f t="shared" si="168"/>
        <v>OK</v>
      </c>
      <c r="L380" t="s">
        <v>3162</v>
      </c>
      <c r="M380" t="s">
        <v>106</v>
      </c>
      <c r="N380" t="str">
        <f t="shared" si="159"/>
        <v>Aditi Sen</v>
      </c>
      <c r="O380" t="s">
        <v>114</v>
      </c>
      <c r="P380" t="str">
        <f t="shared" si="181"/>
        <v>Home Office</v>
      </c>
      <c r="Q380" t="s">
        <v>72</v>
      </c>
      <c r="R380" t="str">
        <f t="shared" si="184"/>
        <v>West</v>
      </c>
      <c r="S380" t="str">
        <f t="shared" si="169"/>
        <v>OK</v>
      </c>
      <c r="T380" t="s">
        <v>248</v>
      </c>
      <c r="U380" t="str">
        <f t="shared" si="160"/>
        <v>Goa</v>
      </c>
      <c r="V380" t="s">
        <v>249</v>
      </c>
      <c r="W380" t="str">
        <f t="shared" si="161"/>
        <v>Panaji</v>
      </c>
      <c r="X380" t="str">
        <f t="shared" si="162"/>
        <v>Technology</v>
      </c>
      <c r="Y380" t="s">
        <v>85</v>
      </c>
      <c r="Z380" t="s">
        <v>3163</v>
      </c>
      <c r="AA380" t="str">
        <f t="shared" si="163"/>
        <v>Copiers</v>
      </c>
      <c r="AB380" t="s">
        <v>3164</v>
      </c>
      <c r="AC380" t="s">
        <v>32</v>
      </c>
      <c r="AD380" t="str">
        <f t="shared" si="185"/>
        <v>Second Class</v>
      </c>
      <c r="AE380" t="str">
        <f t="shared" si="170"/>
        <v>OK</v>
      </c>
      <c r="AF380">
        <v>9</v>
      </c>
      <c r="AG380">
        <v>3649.51</v>
      </c>
      <c r="AH380">
        <v>0.05</v>
      </c>
      <c r="AI380">
        <f t="shared" si="171"/>
        <v>0.05</v>
      </c>
      <c r="AJ380" t="str">
        <f t="shared" si="172"/>
        <v>OK</v>
      </c>
      <c r="AK380">
        <v>31203.31</v>
      </c>
      <c r="AL380">
        <v>17738.13</v>
      </c>
      <c r="AM380">
        <v>13465.18</v>
      </c>
      <c r="AN380" t="s">
        <v>33</v>
      </c>
      <c r="AO380" t="str">
        <f t="shared" si="164"/>
        <v>PAID</v>
      </c>
      <c r="AP380" t="str">
        <f t="shared" si="173"/>
        <v>OK</v>
      </c>
      <c r="AQ380" t="s">
        <v>34</v>
      </c>
      <c r="AR380" t="str">
        <f t="shared" si="165"/>
        <v>COMPLETED</v>
      </c>
      <c r="AS380" t="str">
        <f t="shared" si="174"/>
        <v>OK</v>
      </c>
      <c r="AT380">
        <f t="shared" si="175"/>
        <v>31203.310500000003</v>
      </c>
      <c r="AU380">
        <f t="shared" si="176"/>
        <v>13465.180500000002</v>
      </c>
      <c r="AV380" s="6">
        <f t="shared" si="177"/>
        <v>4.6926751570157924E-2</v>
      </c>
      <c r="AW380" t="str">
        <f t="shared" si="178"/>
        <v>CLEAN</v>
      </c>
      <c r="AX380" s="10" t="str">
        <f t="shared" si="179"/>
        <v>MATCH</v>
      </c>
      <c r="AY380" t="str">
        <f t="shared" si="180"/>
        <v>MATCH</v>
      </c>
    </row>
    <row r="381" spans="1:51">
      <c r="A381" t="s">
        <v>3165</v>
      </c>
      <c r="B381">
        <f t="shared" si="156"/>
        <v>1</v>
      </c>
      <c r="C381" t="s">
        <v>3166</v>
      </c>
      <c r="D381" s="3">
        <v>45391</v>
      </c>
      <c r="E381" t="str">
        <f t="shared" si="157"/>
        <v>2024/04/09</v>
      </c>
      <c r="F381" t="str">
        <f t="shared" si="166"/>
        <v>April</v>
      </c>
      <c r="G381">
        <f t="shared" si="167"/>
        <v>2024</v>
      </c>
      <c r="H381" t="s">
        <v>3167</v>
      </c>
      <c r="I381" s="4">
        <v>45540</v>
      </c>
      <c r="J381" s="8">
        <f t="shared" si="158"/>
        <v>149</v>
      </c>
      <c r="K381" s="8" t="str">
        <f t="shared" si="168"/>
        <v>OK</v>
      </c>
      <c r="L381" t="s">
        <v>3168</v>
      </c>
      <c r="M381" t="s">
        <v>106</v>
      </c>
      <c r="N381" t="str">
        <f t="shared" si="159"/>
        <v>Aditi Sen</v>
      </c>
      <c r="O381" t="s">
        <v>107</v>
      </c>
      <c r="P381" t="str">
        <f t="shared" si="181"/>
        <v>Corporate</v>
      </c>
      <c r="Q381" t="s">
        <v>72</v>
      </c>
      <c r="R381" t="str">
        <f t="shared" si="184"/>
        <v>West</v>
      </c>
      <c r="S381" t="str">
        <f t="shared" si="169"/>
        <v>OK</v>
      </c>
      <c r="T381" t="s">
        <v>83</v>
      </c>
      <c r="U381" t="str">
        <f t="shared" si="160"/>
        <v>Madhya Pradesh</v>
      </c>
      <c r="V381" t="s">
        <v>84</v>
      </c>
      <c r="W381" t="str">
        <f t="shared" si="161"/>
        <v>Indore</v>
      </c>
      <c r="X381" t="str">
        <f t="shared" si="162"/>
        <v>Furniture</v>
      </c>
      <c r="Y381" t="s">
        <v>44</v>
      </c>
      <c r="Z381" t="s">
        <v>75</v>
      </c>
      <c r="AA381" t="str">
        <f t="shared" si="163"/>
        <v>Chairs</v>
      </c>
      <c r="AB381" t="s">
        <v>3169</v>
      </c>
      <c r="AC381" t="s">
        <v>66</v>
      </c>
      <c r="AD381" t="str">
        <f t="shared" si="185"/>
        <v>Standard Class</v>
      </c>
      <c r="AE381" t="str">
        <f t="shared" si="170"/>
        <v>OK</v>
      </c>
      <c r="AF381">
        <v>5</v>
      </c>
      <c r="AG381">
        <v>2528.5300000000002</v>
      </c>
      <c r="AH381">
        <v>0.05</v>
      </c>
      <c r="AI381">
        <f t="shared" si="171"/>
        <v>0.05</v>
      </c>
      <c r="AJ381" t="str">
        <f t="shared" si="172"/>
        <v>OK</v>
      </c>
      <c r="AK381">
        <v>12010.52</v>
      </c>
      <c r="AL381">
        <v>7864.61</v>
      </c>
      <c r="AM381">
        <v>4145.91</v>
      </c>
      <c r="AN381" t="s">
        <v>33</v>
      </c>
      <c r="AO381" t="str">
        <f t="shared" si="164"/>
        <v>PAID</v>
      </c>
      <c r="AP381" t="str">
        <f t="shared" si="173"/>
        <v>OK</v>
      </c>
      <c r="AQ381" t="s">
        <v>124</v>
      </c>
      <c r="AR381" t="str">
        <f t="shared" si="165"/>
        <v>RETURNED</v>
      </c>
      <c r="AS381" t="str">
        <f t="shared" si="174"/>
        <v>RETURNED_ORDER</v>
      </c>
      <c r="AT381">
        <f t="shared" si="175"/>
        <v>12010.5175</v>
      </c>
      <c r="AU381">
        <f t="shared" si="176"/>
        <v>4145.9075000000003</v>
      </c>
      <c r="AV381" s="6">
        <f t="shared" si="177"/>
        <v>0.23340876028031254</v>
      </c>
      <c r="AW381" t="str">
        <f t="shared" si="178"/>
        <v>CLEAN</v>
      </c>
      <c r="AX381" s="10" t="str">
        <f t="shared" si="179"/>
        <v>MATCH</v>
      </c>
      <c r="AY381" t="str">
        <f t="shared" si="180"/>
        <v>MATCH</v>
      </c>
    </row>
    <row r="382" spans="1:51">
      <c r="A382" t="s">
        <v>3174</v>
      </c>
      <c r="B382">
        <f t="shared" si="156"/>
        <v>1</v>
      </c>
      <c r="C382" t="s">
        <v>3175</v>
      </c>
      <c r="D382" s="3">
        <v>45430</v>
      </c>
      <c r="E382" t="str">
        <f t="shared" si="157"/>
        <v>2024/05/18</v>
      </c>
      <c r="F382" t="str">
        <f t="shared" si="166"/>
        <v>May</v>
      </c>
      <c r="G382">
        <f t="shared" si="167"/>
        <v>2024</v>
      </c>
      <c r="H382" t="s">
        <v>3176</v>
      </c>
      <c r="I382" s="4">
        <v>45433</v>
      </c>
      <c r="J382" s="8">
        <f t="shared" si="158"/>
        <v>3</v>
      </c>
      <c r="K382" s="8" t="str">
        <f t="shared" si="168"/>
        <v>OK</v>
      </c>
      <c r="L382" t="s">
        <v>3177</v>
      </c>
      <c r="M382" t="s">
        <v>82</v>
      </c>
      <c r="N382" t="str">
        <f t="shared" si="159"/>
        <v>Vikram Iyer</v>
      </c>
      <c r="O382" t="s">
        <v>107</v>
      </c>
      <c r="P382" t="str">
        <f t="shared" si="181"/>
        <v>Corporate</v>
      </c>
      <c r="Q382" t="s">
        <v>41</v>
      </c>
      <c r="R382" t="str">
        <f t="shared" si="184"/>
        <v>East</v>
      </c>
      <c r="S382" t="str">
        <f t="shared" si="169"/>
        <v>OK</v>
      </c>
      <c r="T382" t="s">
        <v>310</v>
      </c>
      <c r="U382" t="str">
        <f t="shared" si="160"/>
        <v>Jharkhand</v>
      </c>
      <c r="V382" t="s">
        <v>311</v>
      </c>
      <c r="W382" t="str">
        <f t="shared" si="161"/>
        <v>Ranchi</v>
      </c>
      <c r="X382" t="str">
        <f t="shared" si="162"/>
        <v>Technology</v>
      </c>
      <c r="Y382" t="s">
        <v>85</v>
      </c>
      <c r="Z382" t="s">
        <v>86</v>
      </c>
      <c r="AA382" t="str">
        <f t="shared" si="163"/>
        <v>Accessories</v>
      </c>
      <c r="AB382" t="s">
        <v>3178</v>
      </c>
      <c r="AC382" t="s">
        <v>32</v>
      </c>
      <c r="AD382" t="str">
        <f t="shared" si="185"/>
        <v>Second Class</v>
      </c>
      <c r="AE382" t="str">
        <f t="shared" si="170"/>
        <v>OK</v>
      </c>
      <c r="AF382">
        <v>1</v>
      </c>
      <c r="AG382">
        <v>1033.71</v>
      </c>
      <c r="AH382">
        <v>0</v>
      </c>
      <c r="AI382">
        <f t="shared" si="171"/>
        <v>0</v>
      </c>
      <c r="AJ382" t="str">
        <f t="shared" si="172"/>
        <v>OK</v>
      </c>
      <c r="AK382">
        <v>1033.71</v>
      </c>
      <c r="AL382">
        <v>630.82000000000005</v>
      </c>
      <c r="AM382">
        <v>402.89</v>
      </c>
      <c r="AN382" t="s">
        <v>136</v>
      </c>
      <c r="AO382" t="str">
        <f t="shared" si="164"/>
        <v>PENDING</v>
      </c>
      <c r="AP382" t="str">
        <f t="shared" si="173"/>
        <v>OK</v>
      </c>
      <c r="AQ382" t="s">
        <v>124</v>
      </c>
      <c r="AR382" t="str">
        <f t="shared" si="165"/>
        <v>RETURNED</v>
      </c>
      <c r="AS382" t="str">
        <f t="shared" si="174"/>
        <v>RETURNED_ORDER</v>
      </c>
      <c r="AT382">
        <f t="shared" si="175"/>
        <v>1033.71</v>
      </c>
      <c r="AU382">
        <f t="shared" si="176"/>
        <v>402.89</v>
      </c>
      <c r="AV382" s="6">
        <f t="shared" si="177"/>
        <v>2.7119404862098642</v>
      </c>
      <c r="AW382" t="str">
        <f t="shared" si="178"/>
        <v>CLEAN</v>
      </c>
      <c r="AX382" s="10" t="str">
        <f t="shared" si="179"/>
        <v>MATCH</v>
      </c>
      <c r="AY382" t="str">
        <f t="shared" si="180"/>
        <v>MATCH</v>
      </c>
    </row>
    <row r="383" spans="1:51">
      <c r="A383" t="s">
        <v>3188</v>
      </c>
      <c r="B383">
        <f t="shared" si="156"/>
        <v>1</v>
      </c>
      <c r="C383" t="s">
        <v>3189</v>
      </c>
      <c r="D383" s="3">
        <v>45465</v>
      </c>
      <c r="E383" t="str">
        <f t="shared" si="157"/>
        <v>2024/06/22</v>
      </c>
      <c r="F383" t="str">
        <f t="shared" si="166"/>
        <v>June</v>
      </c>
      <c r="G383">
        <f t="shared" si="167"/>
        <v>2024</v>
      </c>
      <c r="H383" t="s">
        <v>3190</v>
      </c>
      <c r="I383" s="4">
        <v>45470</v>
      </c>
      <c r="J383" s="8">
        <f t="shared" si="158"/>
        <v>5</v>
      </c>
      <c r="K383" s="8" t="str">
        <f t="shared" si="168"/>
        <v>OK</v>
      </c>
      <c r="L383" t="s">
        <v>23</v>
      </c>
      <c r="M383" t="s">
        <v>52</v>
      </c>
      <c r="N383" t="str">
        <f t="shared" si="159"/>
        <v>Isha Nair</v>
      </c>
      <c r="O383" t="s">
        <v>114</v>
      </c>
      <c r="P383" t="str">
        <f t="shared" si="181"/>
        <v>Home Office</v>
      </c>
      <c r="Q383" t="s">
        <v>61</v>
      </c>
      <c r="R383" t="str">
        <f t="shared" si="184"/>
        <v>South</v>
      </c>
      <c r="S383" t="str">
        <f t="shared" si="169"/>
        <v>OK</v>
      </c>
      <c r="T383" t="s">
        <v>228</v>
      </c>
      <c r="U383" t="str">
        <f t="shared" si="160"/>
        <v>Karnataka</v>
      </c>
      <c r="V383" t="s">
        <v>229</v>
      </c>
      <c r="W383" t="str">
        <f t="shared" si="161"/>
        <v>Bengaluru</v>
      </c>
      <c r="X383" t="str">
        <f t="shared" si="162"/>
        <v>Furniture</v>
      </c>
      <c r="Y383" t="s">
        <v>44</v>
      </c>
      <c r="Z383" t="s">
        <v>75</v>
      </c>
      <c r="AA383" t="str">
        <f t="shared" si="163"/>
        <v>Chairs</v>
      </c>
      <c r="AB383" t="s">
        <v>3191</v>
      </c>
      <c r="AC383" t="s">
        <v>47</v>
      </c>
      <c r="AD383" t="str">
        <f t="shared" si="185"/>
        <v>Same Day</v>
      </c>
      <c r="AE383" t="str">
        <f t="shared" si="170"/>
        <v>OK</v>
      </c>
      <c r="AF383">
        <v>7</v>
      </c>
      <c r="AG383">
        <v>2623.48</v>
      </c>
      <c r="AH383">
        <v>0</v>
      </c>
      <c r="AI383">
        <f t="shared" si="171"/>
        <v>0</v>
      </c>
      <c r="AJ383" t="str">
        <f t="shared" si="172"/>
        <v>OK</v>
      </c>
      <c r="AK383">
        <v>18364.36</v>
      </c>
      <c r="AL383">
        <v>15445.81</v>
      </c>
      <c r="AM383">
        <v>2918.55</v>
      </c>
      <c r="AN383" t="s">
        <v>33</v>
      </c>
      <c r="AO383" t="str">
        <f t="shared" si="164"/>
        <v>PAID</v>
      </c>
      <c r="AP383" t="str">
        <f t="shared" si="173"/>
        <v>OK</v>
      </c>
      <c r="AQ383" t="s">
        <v>34</v>
      </c>
      <c r="AR383" t="str">
        <f t="shared" si="165"/>
        <v>COMPLETED</v>
      </c>
      <c r="AS383" t="str">
        <f t="shared" si="174"/>
        <v>OK</v>
      </c>
      <c r="AT383">
        <f t="shared" si="175"/>
        <v>18364.36</v>
      </c>
      <c r="AU383">
        <f t="shared" si="176"/>
        <v>2918.5500000000011</v>
      </c>
      <c r="AV383" s="6">
        <f t="shared" si="177"/>
        <v>5.7781921068852889E-2</v>
      </c>
      <c r="AW383" t="str">
        <f t="shared" si="178"/>
        <v>CLEAN</v>
      </c>
      <c r="AX383" s="10" t="str">
        <f t="shared" si="179"/>
        <v>MATCH</v>
      </c>
      <c r="AY383" t="str">
        <f t="shared" si="180"/>
        <v>MATCH</v>
      </c>
    </row>
    <row r="384" spans="1:51">
      <c r="A384" t="s">
        <v>3192</v>
      </c>
      <c r="B384">
        <f t="shared" si="156"/>
        <v>1</v>
      </c>
      <c r="C384" t="s">
        <v>3193</v>
      </c>
      <c r="D384" s="3">
        <v>45620</v>
      </c>
      <c r="E384" t="str">
        <f t="shared" si="157"/>
        <v>2024/11/24</v>
      </c>
      <c r="F384" t="str">
        <f t="shared" si="166"/>
        <v>November</v>
      </c>
      <c r="G384">
        <f t="shared" si="167"/>
        <v>2024</v>
      </c>
      <c r="H384" t="s">
        <v>3194</v>
      </c>
      <c r="I384" s="4">
        <v>45627</v>
      </c>
      <c r="J384" s="8">
        <f t="shared" si="158"/>
        <v>7</v>
      </c>
      <c r="K384" s="8" t="str">
        <f t="shared" si="168"/>
        <v>OK</v>
      </c>
      <c r="L384" t="s">
        <v>3195</v>
      </c>
      <c r="M384" t="s">
        <v>365</v>
      </c>
      <c r="N384" t="str">
        <f t="shared" si="159"/>
        <v>Kabir Singh</v>
      </c>
      <c r="O384" t="s">
        <v>107</v>
      </c>
      <c r="P384" t="str">
        <f t="shared" si="181"/>
        <v>Corporate</v>
      </c>
      <c r="Q384" t="s">
        <v>61</v>
      </c>
      <c r="R384" t="str">
        <f t="shared" si="184"/>
        <v>South</v>
      </c>
      <c r="S384" t="str">
        <f t="shared" si="169"/>
        <v>OK</v>
      </c>
      <c r="T384" t="s">
        <v>228</v>
      </c>
      <c r="U384" t="str">
        <f t="shared" si="160"/>
        <v>Karnataka</v>
      </c>
      <c r="V384" t="s">
        <v>229</v>
      </c>
      <c r="W384" t="str">
        <f t="shared" si="161"/>
        <v>Bengaluru</v>
      </c>
      <c r="X384" t="str">
        <f t="shared" si="162"/>
        <v>Furniture</v>
      </c>
      <c r="Y384" t="s">
        <v>44</v>
      </c>
      <c r="Z384" t="s">
        <v>45</v>
      </c>
      <c r="AA384" t="str">
        <f t="shared" si="163"/>
        <v>Tables</v>
      </c>
      <c r="AB384" t="s">
        <v>3196</v>
      </c>
      <c r="AC384" t="s">
        <v>32</v>
      </c>
      <c r="AD384" t="str">
        <f t="shared" si="185"/>
        <v>Second Class</v>
      </c>
      <c r="AE384" t="str">
        <f t="shared" si="170"/>
        <v>OK</v>
      </c>
      <c r="AF384">
        <v>9</v>
      </c>
      <c r="AG384">
        <v>2763.61</v>
      </c>
      <c r="AH384">
        <v>0.15</v>
      </c>
      <c r="AI384">
        <f t="shared" si="171"/>
        <v>0.15</v>
      </c>
      <c r="AJ384" t="str">
        <f t="shared" si="172"/>
        <v>OK</v>
      </c>
      <c r="AK384">
        <v>21141.62</v>
      </c>
      <c r="AL384">
        <v>11676.33</v>
      </c>
      <c r="AM384">
        <v>9465.2900000000009</v>
      </c>
      <c r="AN384" t="s">
        <v>33</v>
      </c>
      <c r="AO384" t="str">
        <f t="shared" si="164"/>
        <v>PAID</v>
      </c>
      <c r="AP384" t="str">
        <f t="shared" si="173"/>
        <v>OK</v>
      </c>
      <c r="AQ384" t="s">
        <v>34</v>
      </c>
      <c r="AR384" t="str">
        <f t="shared" si="165"/>
        <v>COMPLETED</v>
      </c>
      <c r="AS384" t="str">
        <f t="shared" si="174"/>
        <v>OK</v>
      </c>
      <c r="AT384">
        <f t="shared" si="175"/>
        <v>21141.6165</v>
      </c>
      <c r="AU384">
        <f t="shared" si="176"/>
        <v>9465.2865000000002</v>
      </c>
      <c r="AV384" s="6">
        <f t="shared" si="177"/>
        <v>0.13150687886141535</v>
      </c>
      <c r="AW384" t="str">
        <f t="shared" si="178"/>
        <v>CLEAN</v>
      </c>
      <c r="AX384" s="10" t="str">
        <f t="shared" si="179"/>
        <v>MATCH</v>
      </c>
      <c r="AY384" t="str">
        <f t="shared" si="180"/>
        <v>MATCH</v>
      </c>
    </row>
    <row r="385" spans="1:51">
      <c r="A385" t="s">
        <v>3201</v>
      </c>
      <c r="B385">
        <f t="shared" si="156"/>
        <v>1</v>
      </c>
      <c r="C385" t="s">
        <v>273</v>
      </c>
      <c r="D385" s="2">
        <v>45441</v>
      </c>
      <c r="E385" t="str">
        <f t="shared" si="157"/>
        <v>2024/05/29</v>
      </c>
      <c r="F385" t="str">
        <f t="shared" si="166"/>
        <v>May</v>
      </c>
      <c r="G385">
        <f t="shared" si="167"/>
        <v>2024</v>
      </c>
      <c r="H385" t="s">
        <v>576</v>
      </c>
      <c r="I385" s="4">
        <v>45448</v>
      </c>
      <c r="J385" s="8">
        <f t="shared" si="158"/>
        <v>7</v>
      </c>
      <c r="K385" s="8" t="str">
        <f t="shared" si="168"/>
        <v>OK</v>
      </c>
      <c r="L385" t="s">
        <v>3202</v>
      </c>
      <c r="M385" t="s">
        <v>365</v>
      </c>
      <c r="N385" t="str">
        <f t="shared" si="159"/>
        <v>Kabir Singh</v>
      </c>
      <c r="O385" t="s">
        <v>107</v>
      </c>
      <c r="P385" t="str">
        <f t="shared" si="181"/>
        <v>Corporate</v>
      </c>
      <c r="Q385" t="s">
        <v>61</v>
      </c>
      <c r="R385" t="str">
        <f t="shared" si="184"/>
        <v>South</v>
      </c>
      <c r="S385" t="str">
        <f t="shared" si="169"/>
        <v>OK</v>
      </c>
      <c r="T385" t="s">
        <v>338</v>
      </c>
      <c r="U385" t="str">
        <f t="shared" si="160"/>
        <v>Tamil Nadu</v>
      </c>
      <c r="V385" t="s">
        <v>339</v>
      </c>
      <c r="W385" t="str">
        <f t="shared" si="161"/>
        <v>Chennai</v>
      </c>
      <c r="X385" t="str">
        <f t="shared" si="162"/>
        <v>Technology</v>
      </c>
      <c r="Y385" t="s">
        <v>85</v>
      </c>
      <c r="Z385" t="s">
        <v>86</v>
      </c>
      <c r="AA385" t="str">
        <f t="shared" si="163"/>
        <v>Accessories</v>
      </c>
      <c r="AB385" t="s">
        <v>3203</v>
      </c>
      <c r="AC385" t="s">
        <v>55</v>
      </c>
      <c r="AD385" t="str">
        <f t="shared" si="185"/>
        <v>First Class</v>
      </c>
      <c r="AE385" t="str">
        <f t="shared" si="170"/>
        <v>OK</v>
      </c>
      <c r="AF385">
        <v>4</v>
      </c>
      <c r="AG385">
        <v>3700.24</v>
      </c>
      <c r="AH385">
        <v>0</v>
      </c>
      <c r="AI385">
        <f t="shared" si="171"/>
        <v>0</v>
      </c>
      <c r="AJ385" t="str">
        <f t="shared" si="172"/>
        <v>OK</v>
      </c>
      <c r="AK385">
        <v>14800.96</v>
      </c>
      <c r="AL385">
        <v>12048.39</v>
      </c>
      <c r="AM385">
        <v>2752.57</v>
      </c>
      <c r="AN385" t="s">
        <v>33</v>
      </c>
      <c r="AO385" t="str">
        <f t="shared" si="164"/>
        <v>PAID</v>
      </c>
      <c r="AP385" t="str">
        <f t="shared" si="173"/>
        <v>OK</v>
      </c>
      <c r="AQ385" t="s">
        <v>34</v>
      </c>
      <c r="AR385" t="str">
        <f t="shared" si="165"/>
        <v>COMPLETED</v>
      </c>
      <c r="AS385" t="str">
        <f t="shared" si="174"/>
        <v>OK</v>
      </c>
      <c r="AT385">
        <f t="shared" si="175"/>
        <v>14800.96</v>
      </c>
      <c r="AU385">
        <f t="shared" si="176"/>
        <v>2752.5699999999997</v>
      </c>
      <c r="AV385" s="6">
        <f t="shared" si="177"/>
        <v>0.12161373316325429</v>
      </c>
      <c r="AW385" t="str">
        <f t="shared" si="178"/>
        <v>CLEAN</v>
      </c>
      <c r="AX385" s="10" t="str">
        <f t="shared" si="179"/>
        <v>MATCH</v>
      </c>
      <c r="AY385" t="str">
        <f t="shared" si="180"/>
        <v>MATCH</v>
      </c>
    </row>
    <row r="386" spans="1:51">
      <c r="A386" t="s">
        <v>3204</v>
      </c>
      <c r="B386">
        <f t="shared" ref="B386:B449" si="186">COUNTIF($A:$A,A386)</f>
        <v>1</v>
      </c>
      <c r="C386" t="s">
        <v>3205</v>
      </c>
      <c r="D386" s="3">
        <v>45389</v>
      </c>
      <c r="E386" t="str">
        <f t="shared" ref="E386:E449" si="187">IFERROR(
TEXT(
  IF(ISNUMBER(SEARCH("/",D386)),
     DATE(RIGHT(D386,4),LEFT(D386,FIND("/",D386)-1),
          MID(D386,FIND("/",D386)+1,FIND("/",D386,FIND("/",D386)+1)-FIND("/",D386)-1)),
     IF(ISNUMBER(SEARCH("-",D386)),
        DATEVALUE(SUBSTITUTE(D386,"-","/")),
        DATEVALUE(TEXT(D386,"dd mmm yyyy"))
     )
  ),
"yyyy/mm/dd"
),
"")</f>
        <v>2024/04/07</v>
      </c>
      <c r="F386" t="str">
        <f t="shared" si="166"/>
        <v>April</v>
      </c>
      <c r="G386">
        <f t="shared" si="167"/>
        <v>2024</v>
      </c>
      <c r="H386" t="s">
        <v>3206</v>
      </c>
      <c r="I386" s="4">
        <v>45483</v>
      </c>
      <c r="J386" s="8">
        <f t="shared" ref="J386:J449" si="188">I386-E386</f>
        <v>94</v>
      </c>
      <c r="K386" s="8" t="str">
        <f t="shared" si="168"/>
        <v>OK</v>
      </c>
      <c r="L386" t="s">
        <v>3207</v>
      </c>
      <c r="M386" t="s">
        <v>82</v>
      </c>
      <c r="N386" t="str">
        <f t="shared" ref="N386:N449" si="189">PROPER(TRIM(SUBSTITUTE(M386,CHAR(160)," ")))</f>
        <v>Vikram Iyer</v>
      </c>
      <c r="O386" t="s">
        <v>107</v>
      </c>
      <c r="P386" t="str">
        <f t="shared" si="181"/>
        <v>Corporate</v>
      </c>
      <c r="Q386" t="s">
        <v>26</v>
      </c>
      <c r="R386" t="str">
        <f t="shared" si="184"/>
        <v>North</v>
      </c>
      <c r="S386" t="str">
        <f t="shared" si="169"/>
        <v>OK</v>
      </c>
      <c r="T386" t="s">
        <v>505</v>
      </c>
      <c r="U386" t="str">
        <f t="shared" ref="U386:U449" si="190">PROPER(TRIM(SUBSTITUTE(T386,CHAR(160)," ")))</f>
        <v>Delhi</v>
      </c>
      <c r="V386" t="s">
        <v>506</v>
      </c>
      <c r="W386" t="str">
        <f t="shared" ref="W386:W449" si="191">PROPER(TRIM(SUBSTITUTE(V386,CHAR(160)," ")))</f>
        <v>New Delhi</v>
      </c>
      <c r="X386" t="str">
        <f t="shared" ref="X386:X449" si="192">PROPER(TRIM(SUBSTITUTE(Y386,CHAR(160)," ")))</f>
        <v>Furniture</v>
      </c>
      <c r="Y386" t="s">
        <v>44</v>
      </c>
      <c r="Z386" t="s">
        <v>45</v>
      </c>
      <c r="AA386" t="str">
        <f t="shared" ref="AA386:AA449" si="193">PROPER(TRIM(SUBSTITUTE(Z386,CHAR(160)," ")))</f>
        <v>Tables</v>
      </c>
      <c r="AB386" t="s">
        <v>3208</v>
      </c>
      <c r="AC386" t="s">
        <v>32</v>
      </c>
      <c r="AD386" t="str">
        <f t="shared" si="185"/>
        <v>Second Class</v>
      </c>
      <c r="AE386" t="str">
        <f t="shared" si="170"/>
        <v>OK</v>
      </c>
      <c r="AF386">
        <v>5</v>
      </c>
      <c r="AG386">
        <v>1200.27</v>
      </c>
      <c r="AH386">
        <v>0</v>
      </c>
      <c r="AI386">
        <f t="shared" si="171"/>
        <v>0</v>
      </c>
      <c r="AJ386" t="str">
        <f t="shared" si="172"/>
        <v>OK</v>
      </c>
      <c r="AK386">
        <v>6001.35</v>
      </c>
      <c r="AL386">
        <v>4182.99</v>
      </c>
      <c r="AM386">
        <v>1818.36</v>
      </c>
      <c r="AN386" t="s">
        <v>33</v>
      </c>
      <c r="AO386" t="str">
        <f t="shared" ref="AO386:AO449" si="194">UPPER(TRIM(SUBSTITUTE(AN386,CHAR(160)," ")))</f>
        <v>PAID</v>
      </c>
      <c r="AP386" t="str">
        <f t="shared" si="173"/>
        <v>OK</v>
      </c>
      <c r="AQ386" t="s">
        <v>77</v>
      </c>
      <c r="AR386" t="str">
        <f t="shared" ref="AR386:AR449" si="195">UPPER(TRIM(SUBSTITUTE(AQ386,CHAR(160)," ")))</f>
        <v>CANCELLED</v>
      </c>
      <c r="AS386" t="str">
        <f t="shared" si="174"/>
        <v>EXCLUDE_FROM_SALES</v>
      </c>
      <c r="AT386">
        <f t="shared" si="175"/>
        <v>6001.35</v>
      </c>
      <c r="AU386">
        <f t="shared" si="176"/>
        <v>1818.3600000000006</v>
      </c>
      <c r="AV386" s="6">
        <f t="shared" si="177"/>
        <v>4.3743491047847562E-2</v>
      </c>
      <c r="AW386" t="str">
        <f t="shared" si="178"/>
        <v>CLEAN</v>
      </c>
      <c r="AX386" s="10" t="str">
        <f t="shared" si="179"/>
        <v>MATCH</v>
      </c>
      <c r="AY386" t="str">
        <f t="shared" si="180"/>
        <v>MATCH</v>
      </c>
    </row>
    <row r="387" spans="1:51">
      <c r="A387" t="s">
        <v>3224</v>
      </c>
      <c r="B387">
        <f t="shared" si="186"/>
        <v>1</v>
      </c>
      <c r="C387" t="s">
        <v>3225</v>
      </c>
      <c r="D387" s="3">
        <v>45376</v>
      </c>
      <c r="E387" t="str">
        <f t="shared" si="187"/>
        <v>2024/03/25</v>
      </c>
      <c r="F387" t="str">
        <f t="shared" ref="F387:F450" si="196">TEXT(E387,"MMMM")</f>
        <v>March</v>
      </c>
      <c r="G387">
        <f t="shared" ref="G387:G450" si="197">YEAR(E387)</f>
        <v>2024</v>
      </c>
      <c r="H387" t="s">
        <v>2169</v>
      </c>
      <c r="I387" s="4">
        <v>45384</v>
      </c>
      <c r="J387" s="8">
        <f t="shared" si="188"/>
        <v>8</v>
      </c>
      <c r="K387" s="8" t="str">
        <f t="shared" ref="K387:K450" si="198">IF(J387&lt;0,"INVAILD_SHIPPING","OK")</f>
        <v>OK</v>
      </c>
      <c r="L387" t="s">
        <v>3226</v>
      </c>
      <c r="M387" t="s">
        <v>167</v>
      </c>
      <c r="N387" t="str">
        <f t="shared" si="189"/>
        <v>Sneha Kapoor</v>
      </c>
      <c r="O387" t="s">
        <v>114</v>
      </c>
      <c r="P387" t="str">
        <f t="shared" si="181"/>
        <v>Home Office</v>
      </c>
      <c r="Q387" t="s">
        <v>61</v>
      </c>
      <c r="R387" t="str">
        <f t="shared" si="184"/>
        <v>South</v>
      </c>
      <c r="S387" t="str">
        <f t="shared" ref="S387:S450" si="199">IF(R387="Unknown","MISSING_REGION","OK")</f>
        <v>OK</v>
      </c>
      <c r="T387" t="s">
        <v>338</v>
      </c>
      <c r="U387" t="str">
        <f t="shared" si="190"/>
        <v>Tamil Nadu</v>
      </c>
      <c r="V387" t="s">
        <v>339</v>
      </c>
      <c r="W387" t="str">
        <f t="shared" si="191"/>
        <v>Chennai</v>
      </c>
      <c r="X387" t="str">
        <f t="shared" si="192"/>
        <v>Technology</v>
      </c>
      <c r="Y387" t="s">
        <v>85</v>
      </c>
      <c r="Z387" t="s">
        <v>93</v>
      </c>
      <c r="AA387" t="str">
        <f t="shared" si="193"/>
        <v>Copiers</v>
      </c>
      <c r="AB387" t="s">
        <v>3227</v>
      </c>
      <c r="AC387" t="s">
        <v>66</v>
      </c>
      <c r="AD387" t="str">
        <f t="shared" si="185"/>
        <v>Standard Class</v>
      </c>
      <c r="AE387" t="str">
        <f t="shared" ref="AE387:AE450" si="200">IF(AD387="Unknown","MISSING_SHIP_MODE","OK")</f>
        <v>OK</v>
      </c>
      <c r="AF387">
        <v>2</v>
      </c>
      <c r="AG387">
        <v>2349.13</v>
      </c>
      <c r="AH387">
        <v>0</v>
      </c>
      <c r="AI387">
        <f t="shared" ref="AI387:AI450" si="201">IF(RIGHT(AH387,1)="%",VALUE(SUBSTITUTE(AH387,"%",""))/100,AH387)</f>
        <v>0</v>
      </c>
      <c r="AJ387" t="str">
        <f t="shared" ref="AJ387:AJ450" si="202">IF(AH387="","Missing Discount",
IF(AH387&lt;0,"Invalid Negative Discount",
"OK"))</f>
        <v>OK</v>
      </c>
      <c r="AK387">
        <v>4698.26</v>
      </c>
      <c r="AL387">
        <v>2654.92</v>
      </c>
      <c r="AM387">
        <v>2043.34</v>
      </c>
      <c r="AN387" t="s">
        <v>33</v>
      </c>
      <c r="AO387" t="str">
        <f t="shared" si="194"/>
        <v>PAID</v>
      </c>
      <c r="AP387" t="str">
        <f t="shared" ref="AP387:AP450" si="203">IF(AO387="Failed","EXCLUDE_FROM_SALES",
IF(AO387="Refunded","REFUNDED_PAYMENT",
"OK"))</f>
        <v>OK</v>
      </c>
      <c r="AQ387" t="s">
        <v>34</v>
      </c>
      <c r="AR387" t="str">
        <f t="shared" si="195"/>
        <v>COMPLETED</v>
      </c>
      <c r="AS387" t="str">
        <f t="shared" ref="AS387:AS450" si="204">IF(AR387="Cancelled","EXCLUDE_FROM_SALES",
IF(AR387="Returned","RETURNED_ORDER",
"OK"))</f>
        <v>OK</v>
      </c>
      <c r="AT387">
        <f t="shared" ref="AT387:AT450" si="205">IF(AI387&lt;0,"INVAILD",AF387*AG387*(1-AI387))</f>
        <v>4698.26</v>
      </c>
      <c r="AU387">
        <f t="shared" ref="AU387:AU450" si="206">IF(AT387="INVAILD","INVAILD",AT387-AL387)</f>
        <v>2043.3400000000001</v>
      </c>
      <c r="AV387" s="6">
        <f t="shared" ref="AV387:AV450" si="207">IF(OR(AT387="INVALID",AU387="INVALID"),"",AU408/AT387)</f>
        <v>0.57314410015622796</v>
      </c>
      <c r="AW387" t="str">
        <f t="shared" ref="AW387:AW450" si="208">IF(OR(AJ387&lt;&gt;"OK",K387="INVALID_SHIPPING"),
"INVALID",
IF(OR(S387&lt;&gt;"OK",AE387&lt;&gt;"OK"),
"WARNING",
"CLEAN"))</f>
        <v>CLEAN</v>
      </c>
      <c r="AX387" s="10" t="str">
        <f t="shared" ref="AX387:AX450" si="209">IF(AT387="INVALID","INVALID",
IF(ROUND(AK387,2)=ROUND(AT387,2),"MATCH","MISMATCH"))</f>
        <v>MATCH</v>
      </c>
      <c r="AY387" t="str">
        <f t="shared" ref="AY387:AY450" si="210">IF(AU387="INVALID","INVALID",IF(ROUND(AM387,2)=ROUND(AU387,2),"MATCH","MISMATCH"))</f>
        <v>MATCH</v>
      </c>
    </row>
    <row r="388" spans="1:51">
      <c r="A388" t="s">
        <v>3236</v>
      </c>
      <c r="B388">
        <f t="shared" si="186"/>
        <v>1</v>
      </c>
      <c r="C388" t="s">
        <v>3237</v>
      </c>
      <c r="D388" s="3">
        <v>45570</v>
      </c>
      <c r="E388" t="str">
        <f t="shared" si="187"/>
        <v>2024/10/05</v>
      </c>
      <c r="F388" t="str">
        <f t="shared" si="196"/>
        <v>October</v>
      </c>
      <c r="G388">
        <f t="shared" si="197"/>
        <v>2024</v>
      </c>
      <c r="H388" t="s">
        <v>3238</v>
      </c>
      <c r="I388" s="4">
        <v>45571</v>
      </c>
      <c r="J388" s="8">
        <f t="shared" si="188"/>
        <v>1</v>
      </c>
      <c r="K388" s="8" t="str">
        <f t="shared" si="198"/>
        <v>OK</v>
      </c>
      <c r="L388" t="s">
        <v>3239</v>
      </c>
      <c r="M388" t="s">
        <v>179</v>
      </c>
      <c r="N388" t="str">
        <f t="shared" si="189"/>
        <v>Rohan Mehta</v>
      </c>
      <c r="O388" t="s">
        <v>40</v>
      </c>
      <c r="P388" t="str">
        <f t="shared" si="181"/>
        <v>Small Business</v>
      </c>
      <c r="Q388" t="s">
        <v>26</v>
      </c>
      <c r="R388" t="str">
        <f t="shared" si="184"/>
        <v>North</v>
      </c>
      <c r="S388" t="str">
        <f t="shared" si="199"/>
        <v>OK</v>
      </c>
      <c r="T388" t="s">
        <v>153</v>
      </c>
      <c r="U388" t="str">
        <f t="shared" si="190"/>
        <v>Punjab</v>
      </c>
      <c r="V388" t="s">
        <v>154</v>
      </c>
      <c r="W388" t="str">
        <f t="shared" si="191"/>
        <v>Ludhiana</v>
      </c>
      <c r="X388" t="str">
        <f t="shared" si="192"/>
        <v>Furniture</v>
      </c>
      <c r="Y388" t="s">
        <v>44</v>
      </c>
      <c r="Z388" t="s">
        <v>45</v>
      </c>
      <c r="AA388" t="str">
        <f t="shared" si="193"/>
        <v>Tables</v>
      </c>
      <c r="AB388" t="s">
        <v>3240</v>
      </c>
      <c r="AC388" t="s">
        <v>66</v>
      </c>
      <c r="AD388" t="str">
        <f t="shared" si="185"/>
        <v>Standard Class</v>
      </c>
      <c r="AE388" t="str">
        <f t="shared" si="200"/>
        <v>OK</v>
      </c>
      <c r="AF388">
        <v>9</v>
      </c>
      <c r="AG388">
        <v>489.58</v>
      </c>
      <c r="AH388">
        <v>0.15</v>
      </c>
      <c r="AI388">
        <f t="shared" si="201"/>
        <v>0.15</v>
      </c>
      <c r="AJ388" t="str">
        <f t="shared" si="202"/>
        <v>OK</v>
      </c>
      <c r="AK388">
        <v>3745.29</v>
      </c>
      <c r="AL388">
        <v>2302.65</v>
      </c>
      <c r="AM388">
        <v>1442.64</v>
      </c>
      <c r="AN388" t="s">
        <v>199</v>
      </c>
      <c r="AO388" t="str">
        <f t="shared" si="194"/>
        <v>FAILED</v>
      </c>
      <c r="AP388" t="str">
        <f t="shared" si="203"/>
        <v>EXCLUDE_FROM_SALES</v>
      </c>
      <c r="AQ388" t="s">
        <v>77</v>
      </c>
      <c r="AR388" t="str">
        <f t="shared" si="195"/>
        <v>CANCELLED</v>
      </c>
      <c r="AS388" t="str">
        <f t="shared" si="204"/>
        <v>EXCLUDE_FROM_SALES</v>
      </c>
      <c r="AT388">
        <f t="shared" si="205"/>
        <v>3745.2870000000003</v>
      </c>
      <c r="AU388">
        <f t="shared" si="206"/>
        <v>1442.6370000000002</v>
      </c>
      <c r="AV388" s="6">
        <f t="shared" si="207"/>
        <v>2.4284296503846026</v>
      </c>
      <c r="AW388" t="str">
        <f t="shared" si="208"/>
        <v>CLEAN</v>
      </c>
      <c r="AX388" s="10" t="str">
        <f t="shared" si="209"/>
        <v>MATCH</v>
      </c>
      <c r="AY388" t="str">
        <f t="shared" si="210"/>
        <v>MATCH</v>
      </c>
    </row>
    <row r="389" spans="1:51">
      <c r="A389" t="s">
        <v>3241</v>
      </c>
      <c r="B389">
        <f t="shared" si="186"/>
        <v>1</v>
      </c>
      <c r="C389" t="s">
        <v>876</v>
      </c>
      <c r="D389" s="3">
        <v>45605</v>
      </c>
      <c r="E389" t="str">
        <f t="shared" si="187"/>
        <v>2024/11/09</v>
      </c>
      <c r="F389" t="str">
        <f t="shared" si="196"/>
        <v>November</v>
      </c>
      <c r="G389">
        <f t="shared" si="197"/>
        <v>2024</v>
      </c>
      <c r="H389" t="s">
        <v>3242</v>
      </c>
      <c r="I389" s="4">
        <v>45550</v>
      </c>
      <c r="J389" s="8">
        <f t="shared" si="188"/>
        <v>-55</v>
      </c>
      <c r="K389" s="8" t="str">
        <f t="shared" si="198"/>
        <v>INVAILD_SHIPPING</v>
      </c>
      <c r="L389" t="s">
        <v>3243</v>
      </c>
      <c r="M389" t="s">
        <v>167</v>
      </c>
      <c r="N389" t="str">
        <f t="shared" si="189"/>
        <v>Sneha Kapoor</v>
      </c>
      <c r="O389" t="s">
        <v>107</v>
      </c>
      <c r="P389" t="str">
        <f t="shared" si="181"/>
        <v>Corporate</v>
      </c>
      <c r="Q389" t="s">
        <v>61</v>
      </c>
      <c r="R389" t="str">
        <f t="shared" si="184"/>
        <v>South</v>
      </c>
      <c r="S389" t="str">
        <f t="shared" si="199"/>
        <v>OK</v>
      </c>
      <c r="T389" t="s">
        <v>338</v>
      </c>
      <c r="U389" t="str">
        <f t="shared" si="190"/>
        <v>Tamil Nadu</v>
      </c>
      <c r="V389" t="s">
        <v>339</v>
      </c>
      <c r="W389" t="str">
        <f t="shared" si="191"/>
        <v>Chennai</v>
      </c>
      <c r="X389" t="str">
        <f t="shared" si="192"/>
        <v>Office Supplies</v>
      </c>
      <c r="Y389" t="s">
        <v>29</v>
      </c>
      <c r="Z389" t="s">
        <v>53</v>
      </c>
      <c r="AA389" t="str">
        <f t="shared" si="193"/>
        <v>Art</v>
      </c>
      <c r="AB389" t="s">
        <v>3244</v>
      </c>
      <c r="AC389" t="s">
        <v>66</v>
      </c>
      <c r="AD389" t="str">
        <f t="shared" si="185"/>
        <v>Standard Class</v>
      </c>
      <c r="AE389" t="str">
        <f t="shared" si="200"/>
        <v>OK</v>
      </c>
      <c r="AF389">
        <v>4</v>
      </c>
      <c r="AG389">
        <v>865.63</v>
      </c>
      <c r="AH389">
        <v>0</v>
      </c>
      <c r="AI389">
        <f t="shared" si="201"/>
        <v>0</v>
      </c>
      <c r="AJ389" t="str">
        <f t="shared" si="202"/>
        <v>OK</v>
      </c>
      <c r="AK389">
        <v>3462.52</v>
      </c>
      <c r="AL389">
        <v>2797.29</v>
      </c>
      <c r="AM389">
        <v>665.23</v>
      </c>
      <c r="AN389" t="s">
        <v>199</v>
      </c>
      <c r="AO389" t="str">
        <f t="shared" si="194"/>
        <v>FAILED</v>
      </c>
      <c r="AP389" t="str">
        <f t="shared" si="203"/>
        <v>EXCLUDE_FROM_SALES</v>
      </c>
      <c r="AQ389" t="s">
        <v>124</v>
      </c>
      <c r="AR389" t="str">
        <f t="shared" si="195"/>
        <v>RETURNED</v>
      </c>
      <c r="AS389" t="str">
        <f t="shared" si="204"/>
        <v>RETURNED_ORDER</v>
      </c>
      <c r="AT389">
        <f t="shared" si="205"/>
        <v>3462.52</v>
      </c>
      <c r="AU389">
        <f t="shared" si="206"/>
        <v>665.23</v>
      </c>
      <c r="AV389" s="6">
        <f t="shared" si="207"/>
        <v>0.23501293855342353</v>
      </c>
      <c r="AW389" t="str">
        <f t="shared" si="208"/>
        <v>CLEAN</v>
      </c>
      <c r="AX389" s="10" t="str">
        <f t="shared" si="209"/>
        <v>MATCH</v>
      </c>
      <c r="AY389" t="str">
        <f t="shared" si="210"/>
        <v>MATCH</v>
      </c>
    </row>
    <row r="390" spans="1:51">
      <c r="A390" t="s">
        <v>3245</v>
      </c>
      <c r="B390">
        <f t="shared" si="186"/>
        <v>1</v>
      </c>
      <c r="C390" t="s">
        <v>2460</v>
      </c>
      <c r="D390" s="3">
        <v>45641</v>
      </c>
      <c r="E390" t="str">
        <f t="shared" si="187"/>
        <v>2024/12/15</v>
      </c>
      <c r="F390" t="str">
        <f t="shared" si="196"/>
        <v>December</v>
      </c>
      <c r="G390">
        <f t="shared" si="197"/>
        <v>2024</v>
      </c>
      <c r="H390" t="s">
        <v>3246</v>
      </c>
      <c r="I390" s="4">
        <v>45642</v>
      </c>
      <c r="J390" s="8">
        <f t="shared" si="188"/>
        <v>1</v>
      </c>
      <c r="K390" s="8" t="str">
        <f t="shared" si="198"/>
        <v>OK</v>
      </c>
      <c r="L390" t="s">
        <v>3247</v>
      </c>
      <c r="M390" t="s">
        <v>179</v>
      </c>
      <c r="N390" t="str">
        <f t="shared" si="189"/>
        <v>Rohan Mehta</v>
      </c>
      <c r="O390" t="s">
        <v>25</v>
      </c>
      <c r="P390" t="str">
        <f t="shared" si="181"/>
        <v>Consumer</v>
      </c>
      <c r="Q390" t="s">
        <v>41</v>
      </c>
      <c r="R390" t="str">
        <f t="shared" si="184"/>
        <v>East</v>
      </c>
      <c r="S390" t="str">
        <f t="shared" si="199"/>
        <v>OK</v>
      </c>
      <c r="T390" t="s">
        <v>42</v>
      </c>
      <c r="U390" t="str">
        <f t="shared" si="190"/>
        <v>Odisha</v>
      </c>
      <c r="V390" t="s">
        <v>43</v>
      </c>
      <c r="W390" t="str">
        <f t="shared" si="191"/>
        <v>Bhubaneswar</v>
      </c>
      <c r="X390" t="str">
        <f t="shared" si="192"/>
        <v>Technology</v>
      </c>
      <c r="Y390" t="s">
        <v>85</v>
      </c>
      <c r="Z390" t="s">
        <v>93</v>
      </c>
      <c r="AA390" t="str">
        <f t="shared" si="193"/>
        <v>Copiers</v>
      </c>
      <c r="AB390" t="s">
        <v>3248</v>
      </c>
      <c r="AC390" t="s">
        <v>32</v>
      </c>
      <c r="AD390" t="str">
        <f t="shared" si="185"/>
        <v>Second Class</v>
      </c>
      <c r="AE390" t="str">
        <f t="shared" si="200"/>
        <v>OK</v>
      </c>
      <c r="AF390">
        <v>6</v>
      </c>
      <c r="AG390">
        <v>1538.1</v>
      </c>
      <c r="AH390">
        <v>0.05</v>
      </c>
      <c r="AI390">
        <f t="shared" si="201"/>
        <v>0.05</v>
      </c>
      <c r="AJ390" t="str">
        <f t="shared" si="202"/>
        <v>OK</v>
      </c>
      <c r="AK390">
        <v>8767.17</v>
      </c>
      <c r="AL390">
        <v>5098.2</v>
      </c>
      <c r="AM390">
        <v>3668.97</v>
      </c>
      <c r="AN390" t="s">
        <v>33</v>
      </c>
      <c r="AO390" t="str">
        <f t="shared" si="194"/>
        <v>PAID</v>
      </c>
      <c r="AP390" t="str">
        <f t="shared" si="203"/>
        <v>OK</v>
      </c>
      <c r="AQ390" t="s">
        <v>34</v>
      </c>
      <c r="AR390" t="str">
        <f t="shared" si="195"/>
        <v>COMPLETED</v>
      </c>
      <c r="AS390" t="str">
        <f t="shared" si="204"/>
        <v>OK</v>
      </c>
      <c r="AT390">
        <f t="shared" si="205"/>
        <v>8767.1699999999983</v>
      </c>
      <c r="AU390">
        <f t="shared" si="206"/>
        <v>3668.9699999999984</v>
      </c>
      <c r="AV390" s="6">
        <f t="shared" si="207"/>
        <v>0.62855037600502794</v>
      </c>
      <c r="AW390" t="str">
        <f t="shared" si="208"/>
        <v>CLEAN</v>
      </c>
      <c r="AX390" s="10" t="str">
        <f t="shared" si="209"/>
        <v>MATCH</v>
      </c>
      <c r="AY390" t="str">
        <f t="shared" si="210"/>
        <v>MATCH</v>
      </c>
    </row>
    <row r="391" spans="1:51">
      <c r="A391" t="s">
        <v>3259</v>
      </c>
      <c r="B391">
        <f t="shared" si="186"/>
        <v>1</v>
      </c>
      <c r="C391" t="s">
        <v>3260</v>
      </c>
      <c r="D391" s="3">
        <v>45298</v>
      </c>
      <c r="E391" t="str">
        <f t="shared" si="187"/>
        <v>2024/01/07</v>
      </c>
      <c r="F391" t="str">
        <f t="shared" si="196"/>
        <v>January</v>
      </c>
      <c r="G391">
        <f t="shared" si="197"/>
        <v>2024</v>
      </c>
      <c r="H391" t="s">
        <v>2104</v>
      </c>
      <c r="I391" s="4">
        <v>45298</v>
      </c>
      <c r="J391" s="8">
        <f t="shared" si="188"/>
        <v>0</v>
      </c>
      <c r="K391" s="8" t="str">
        <f t="shared" si="198"/>
        <v>OK</v>
      </c>
      <c r="L391" t="s">
        <v>3261</v>
      </c>
      <c r="M391" t="s">
        <v>161</v>
      </c>
      <c r="N391" t="str">
        <f t="shared" si="189"/>
        <v>Aarav Sharma</v>
      </c>
      <c r="O391" t="s">
        <v>25</v>
      </c>
      <c r="P391" t="str">
        <f t="shared" si="181"/>
        <v>Consumer</v>
      </c>
      <c r="Q391" t="s">
        <v>72</v>
      </c>
      <c r="R391" t="str">
        <f t="shared" si="184"/>
        <v>West</v>
      </c>
      <c r="S391" t="str">
        <f t="shared" si="199"/>
        <v>OK</v>
      </c>
      <c r="T391" t="s">
        <v>83</v>
      </c>
      <c r="U391" t="str">
        <f t="shared" si="190"/>
        <v>Madhya Pradesh</v>
      </c>
      <c r="V391" t="s">
        <v>84</v>
      </c>
      <c r="W391" t="str">
        <f t="shared" si="191"/>
        <v>Indore</v>
      </c>
      <c r="X391" t="str">
        <f t="shared" si="192"/>
        <v>Technology</v>
      </c>
      <c r="Y391" t="s">
        <v>85</v>
      </c>
      <c r="Z391" t="s">
        <v>381</v>
      </c>
      <c r="AA391" t="str">
        <f t="shared" si="193"/>
        <v>Machines</v>
      </c>
      <c r="AB391" t="s">
        <v>3262</v>
      </c>
      <c r="AC391" t="s">
        <v>66</v>
      </c>
      <c r="AD391" t="str">
        <f t="shared" si="185"/>
        <v>Standard Class</v>
      </c>
      <c r="AE391" t="str">
        <f t="shared" si="200"/>
        <v>OK</v>
      </c>
      <c r="AF391">
        <v>4</v>
      </c>
      <c r="AG391">
        <v>257.39</v>
      </c>
      <c r="AH391">
        <v>0</v>
      </c>
      <c r="AI391">
        <f t="shared" si="201"/>
        <v>0</v>
      </c>
      <c r="AJ391" t="str">
        <f t="shared" si="202"/>
        <v>OK</v>
      </c>
      <c r="AK391">
        <v>1029.56</v>
      </c>
      <c r="AL391">
        <v>626.33000000000004</v>
      </c>
      <c r="AM391">
        <v>403.23</v>
      </c>
      <c r="AN391" t="s">
        <v>33</v>
      </c>
      <c r="AO391" t="str">
        <f t="shared" si="194"/>
        <v>PAID</v>
      </c>
      <c r="AP391" t="str">
        <f t="shared" si="203"/>
        <v>OK</v>
      </c>
      <c r="AQ391" t="s">
        <v>34</v>
      </c>
      <c r="AR391" t="str">
        <f t="shared" si="195"/>
        <v>COMPLETED</v>
      </c>
      <c r="AS391" t="str">
        <f t="shared" si="204"/>
        <v>OK</v>
      </c>
      <c r="AT391">
        <f t="shared" si="205"/>
        <v>1029.56</v>
      </c>
      <c r="AU391">
        <f t="shared" si="206"/>
        <v>403.2299999999999</v>
      </c>
      <c r="AV391" s="6">
        <f t="shared" si="207"/>
        <v>6.0133746454796233</v>
      </c>
      <c r="AW391" t="str">
        <f t="shared" si="208"/>
        <v>CLEAN</v>
      </c>
      <c r="AX391" s="10" t="str">
        <f t="shared" si="209"/>
        <v>MATCH</v>
      </c>
      <c r="AY391" t="str">
        <f t="shared" si="210"/>
        <v>MATCH</v>
      </c>
    </row>
    <row r="392" spans="1:51">
      <c r="A392" t="s">
        <v>3271</v>
      </c>
      <c r="B392">
        <f t="shared" si="186"/>
        <v>1</v>
      </c>
      <c r="C392" t="s">
        <v>3272</v>
      </c>
      <c r="D392" s="3">
        <v>45549</v>
      </c>
      <c r="E392" t="str">
        <f t="shared" si="187"/>
        <v>2024/09/14</v>
      </c>
      <c r="F392" t="str">
        <f t="shared" si="196"/>
        <v>September</v>
      </c>
      <c r="G392">
        <f t="shared" si="197"/>
        <v>2024</v>
      </c>
      <c r="H392" t="s">
        <v>1740</v>
      </c>
      <c r="I392" s="4">
        <v>45549</v>
      </c>
      <c r="J392" s="8">
        <f t="shared" si="188"/>
        <v>0</v>
      </c>
      <c r="K392" s="8" t="str">
        <f t="shared" si="198"/>
        <v>OK</v>
      </c>
      <c r="L392" t="s">
        <v>3273</v>
      </c>
      <c r="M392" t="s">
        <v>39</v>
      </c>
      <c r="N392" t="str">
        <f t="shared" si="189"/>
        <v>Mira Das</v>
      </c>
      <c r="O392" t="s">
        <v>107</v>
      </c>
      <c r="P392" t="str">
        <f t="shared" si="181"/>
        <v>Corporate</v>
      </c>
      <c r="Q392" t="s">
        <v>26</v>
      </c>
      <c r="R392" t="str">
        <f t="shared" si="184"/>
        <v>North</v>
      </c>
      <c r="S392" t="str">
        <f t="shared" si="199"/>
        <v>OK</v>
      </c>
      <c r="T392" t="s">
        <v>27</v>
      </c>
      <c r="U392" t="str">
        <f t="shared" si="190"/>
        <v>Rajasthan</v>
      </c>
      <c r="V392" t="s">
        <v>28</v>
      </c>
      <c r="W392" t="str">
        <f t="shared" si="191"/>
        <v>Jaipur</v>
      </c>
      <c r="X392" t="str">
        <f t="shared" si="192"/>
        <v>Technology</v>
      </c>
      <c r="Y392" t="s">
        <v>85</v>
      </c>
      <c r="Z392" t="s">
        <v>381</v>
      </c>
      <c r="AA392" t="str">
        <f t="shared" si="193"/>
        <v>Machines</v>
      </c>
      <c r="AB392" t="s">
        <v>3274</v>
      </c>
      <c r="AC392" t="s">
        <v>66</v>
      </c>
      <c r="AD392" t="str">
        <f t="shared" si="185"/>
        <v>Standard Class</v>
      </c>
      <c r="AE392" t="str">
        <f t="shared" si="200"/>
        <v>OK</v>
      </c>
      <c r="AF392">
        <v>8</v>
      </c>
      <c r="AG392">
        <v>4081.66</v>
      </c>
      <c r="AH392">
        <v>0.15</v>
      </c>
      <c r="AI392">
        <f t="shared" si="201"/>
        <v>0.15</v>
      </c>
      <c r="AJ392" t="str">
        <f t="shared" si="202"/>
        <v>OK</v>
      </c>
      <c r="AK392">
        <v>28208.1</v>
      </c>
      <c r="AL392">
        <v>23751.91</v>
      </c>
      <c r="AM392">
        <v>4003.38</v>
      </c>
      <c r="AN392" t="s">
        <v>33</v>
      </c>
      <c r="AO392" t="str">
        <f t="shared" si="194"/>
        <v>PAID</v>
      </c>
      <c r="AP392" t="str">
        <f t="shared" si="203"/>
        <v>OK</v>
      </c>
      <c r="AQ392" t="s">
        <v>124</v>
      </c>
      <c r="AR392" t="str">
        <f t="shared" si="195"/>
        <v>RETURNED</v>
      </c>
      <c r="AS392" t="str">
        <f t="shared" si="204"/>
        <v>RETURNED_ORDER</v>
      </c>
      <c r="AT392">
        <f t="shared" si="205"/>
        <v>27755.287999999997</v>
      </c>
      <c r="AU392">
        <f t="shared" si="206"/>
        <v>4003.377999999997</v>
      </c>
      <c r="AV392" s="6">
        <f t="shared" si="207"/>
        <v>0.35466178553074285</v>
      </c>
      <c r="AW392" t="str">
        <f t="shared" si="208"/>
        <v>CLEAN</v>
      </c>
      <c r="AX392" s="10" t="str">
        <f t="shared" si="209"/>
        <v>MISMATCH</v>
      </c>
      <c r="AY392" t="str">
        <f t="shared" si="210"/>
        <v>MATCH</v>
      </c>
    </row>
    <row r="393" spans="1:51">
      <c r="A393" t="s">
        <v>3275</v>
      </c>
      <c r="B393">
        <f t="shared" si="186"/>
        <v>1</v>
      </c>
      <c r="C393" t="s">
        <v>3276</v>
      </c>
      <c r="D393" s="3">
        <v>45602</v>
      </c>
      <c r="E393" t="str">
        <f t="shared" si="187"/>
        <v>2024/11/06</v>
      </c>
      <c r="F393" t="str">
        <f t="shared" si="196"/>
        <v>November</v>
      </c>
      <c r="G393">
        <f t="shared" si="197"/>
        <v>2024</v>
      </c>
      <c r="H393" t="s">
        <v>3277</v>
      </c>
      <c r="I393" s="4">
        <v>45454</v>
      </c>
      <c r="J393" s="8">
        <f t="shared" si="188"/>
        <v>-148</v>
      </c>
      <c r="K393" s="8" t="str">
        <f t="shared" si="198"/>
        <v>INVAILD_SHIPPING</v>
      </c>
      <c r="L393" t="s">
        <v>3278</v>
      </c>
      <c r="M393" t="s">
        <v>60</v>
      </c>
      <c r="N393" t="str">
        <f t="shared" si="189"/>
        <v>Arjun Bose</v>
      </c>
      <c r="O393" t="s">
        <v>40</v>
      </c>
      <c r="P393" t="str">
        <f t="shared" ref="P393:P456" si="211">PROPER(TRIM(SUBSTITUTE(O393,CHAR(160)," ")))</f>
        <v>Small Business</v>
      </c>
      <c r="Q393" t="s">
        <v>61</v>
      </c>
      <c r="R393" t="str">
        <f t="shared" ref="R393:R424" si="212">PROPER(TRIM(SUBSTITUTE(Q393,CHAR(160)," ")))</f>
        <v>South</v>
      </c>
      <c r="S393" t="str">
        <f t="shared" si="199"/>
        <v>OK</v>
      </c>
      <c r="T393" t="s">
        <v>228</v>
      </c>
      <c r="U393" t="str">
        <f t="shared" si="190"/>
        <v>Karnataka</v>
      </c>
      <c r="V393" t="s">
        <v>229</v>
      </c>
      <c r="W393" t="str">
        <f t="shared" si="191"/>
        <v>Bengaluru</v>
      </c>
      <c r="X393" t="str">
        <f t="shared" si="192"/>
        <v>Furniture</v>
      </c>
      <c r="Y393" t="s">
        <v>44</v>
      </c>
      <c r="Z393" t="s">
        <v>203</v>
      </c>
      <c r="AA393" t="str">
        <f t="shared" si="193"/>
        <v>Bookcases</v>
      </c>
      <c r="AB393" t="s">
        <v>3279</v>
      </c>
      <c r="AC393" t="s">
        <v>66</v>
      </c>
      <c r="AD393" t="str">
        <f t="shared" si="185"/>
        <v>Standard Class</v>
      </c>
      <c r="AE393" t="str">
        <f t="shared" si="200"/>
        <v>OK</v>
      </c>
      <c r="AF393">
        <v>9</v>
      </c>
      <c r="AG393">
        <v>1400.11</v>
      </c>
      <c r="AH393">
        <v>0.25</v>
      </c>
      <c r="AI393">
        <f t="shared" si="201"/>
        <v>0.25</v>
      </c>
      <c r="AJ393" t="str">
        <f t="shared" si="202"/>
        <v>OK</v>
      </c>
      <c r="AK393">
        <v>9450.74</v>
      </c>
      <c r="AL393">
        <v>7798.56</v>
      </c>
      <c r="AM393">
        <v>1652.18</v>
      </c>
      <c r="AN393" t="s">
        <v>33</v>
      </c>
      <c r="AO393" t="str">
        <f t="shared" si="194"/>
        <v>PAID</v>
      </c>
      <c r="AP393" t="str">
        <f t="shared" si="203"/>
        <v>OK</v>
      </c>
      <c r="AQ393" t="s">
        <v>34</v>
      </c>
      <c r="AR393" t="str">
        <f t="shared" si="195"/>
        <v>COMPLETED</v>
      </c>
      <c r="AS393" t="str">
        <f t="shared" si="204"/>
        <v>OK</v>
      </c>
      <c r="AT393">
        <f t="shared" si="205"/>
        <v>9450.7425000000003</v>
      </c>
      <c r="AU393">
        <f t="shared" si="206"/>
        <v>1652.1824999999999</v>
      </c>
      <c r="AV393" s="6">
        <f t="shared" si="207"/>
        <v>0.28364776629984373</v>
      </c>
      <c r="AW393" t="str">
        <f t="shared" si="208"/>
        <v>CLEAN</v>
      </c>
      <c r="AX393" s="10" t="str">
        <f t="shared" si="209"/>
        <v>MATCH</v>
      </c>
      <c r="AY393" t="str">
        <f t="shared" si="210"/>
        <v>MATCH</v>
      </c>
    </row>
    <row r="394" spans="1:51">
      <c r="A394" t="s">
        <v>3280</v>
      </c>
      <c r="B394">
        <f t="shared" si="186"/>
        <v>1</v>
      </c>
      <c r="C394" t="s">
        <v>3281</v>
      </c>
      <c r="D394" s="3">
        <v>45553</v>
      </c>
      <c r="E394" t="str">
        <f t="shared" si="187"/>
        <v>2024/09/18</v>
      </c>
      <c r="F394" t="str">
        <f t="shared" si="196"/>
        <v>September</v>
      </c>
      <c r="G394">
        <f t="shared" si="197"/>
        <v>2024</v>
      </c>
      <c r="H394" t="s">
        <v>1133</v>
      </c>
      <c r="I394" s="4">
        <v>45556</v>
      </c>
      <c r="J394" s="8">
        <f t="shared" si="188"/>
        <v>3</v>
      </c>
      <c r="K394" s="8" t="str">
        <f t="shared" si="198"/>
        <v>OK</v>
      </c>
      <c r="L394" t="s">
        <v>3282</v>
      </c>
      <c r="M394" t="s">
        <v>92</v>
      </c>
      <c r="N394" t="str">
        <f t="shared" si="189"/>
        <v>Neha Gupta</v>
      </c>
      <c r="O394" t="s">
        <v>107</v>
      </c>
      <c r="P394" t="str">
        <f t="shared" si="211"/>
        <v>Corporate</v>
      </c>
      <c r="Q394" t="s">
        <v>41</v>
      </c>
      <c r="R394" t="str">
        <f t="shared" si="212"/>
        <v>East</v>
      </c>
      <c r="S394" t="str">
        <f t="shared" si="199"/>
        <v>OK</v>
      </c>
      <c r="T394" t="s">
        <v>120</v>
      </c>
      <c r="U394" t="str">
        <f t="shared" si="190"/>
        <v>West Bengal</v>
      </c>
      <c r="V394" t="s">
        <v>121</v>
      </c>
      <c r="W394" t="str">
        <f t="shared" si="191"/>
        <v>Kolkata</v>
      </c>
      <c r="X394" t="str">
        <f t="shared" si="192"/>
        <v>Technology</v>
      </c>
      <c r="Y394" t="s">
        <v>85</v>
      </c>
      <c r="Z394" t="s">
        <v>381</v>
      </c>
      <c r="AA394" t="str">
        <f t="shared" si="193"/>
        <v>Machines</v>
      </c>
      <c r="AB394" t="s">
        <v>3283</v>
      </c>
      <c r="AC394" t="s">
        <v>66</v>
      </c>
      <c r="AD394" t="str">
        <f t="shared" si="185"/>
        <v>Standard Class</v>
      </c>
      <c r="AE394" t="str">
        <f t="shared" si="200"/>
        <v>OK</v>
      </c>
      <c r="AF394">
        <v>3</v>
      </c>
      <c r="AG394">
        <v>3055.9</v>
      </c>
      <c r="AH394">
        <v>0.15</v>
      </c>
      <c r="AI394">
        <f t="shared" si="201"/>
        <v>0.15</v>
      </c>
      <c r="AJ394" t="str">
        <f t="shared" si="202"/>
        <v>OK</v>
      </c>
      <c r="AK394">
        <v>7792.55</v>
      </c>
      <c r="AL394">
        <v>4691.7299999999996</v>
      </c>
      <c r="AM394">
        <v>3100.82</v>
      </c>
      <c r="AN394" t="s">
        <v>33</v>
      </c>
      <c r="AO394" t="str">
        <f t="shared" si="194"/>
        <v>PAID</v>
      </c>
      <c r="AP394" t="str">
        <f t="shared" si="203"/>
        <v>OK</v>
      </c>
      <c r="AQ394" t="s">
        <v>34</v>
      </c>
      <c r="AR394" t="str">
        <f t="shared" si="195"/>
        <v>COMPLETED</v>
      </c>
      <c r="AS394" t="str">
        <f t="shared" si="204"/>
        <v>OK</v>
      </c>
      <c r="AT394">
        <f t="shared" si="205"/>
        <v>7792.5450000000001</v>
      </c>
      <c r="AU394">
        <f t="shared" si="206"/>
        <v>3100.8150000000005</v>
      </c>
      <c r="AV394" s="6">
        <f t="shared" si="207"/>
        <v>0.14410208731550481</v>
      </c>
      <c r="AW394" t="str">
        <f t="shared" si="208"/>
        <v>CLEAN</v>
      </c>
      <c r="AX394" s="10" t="str">
        <f t="shared" si="209"/>
        <v>MATCH</v>
      </c>
      <c r="AY394" t="str">
        <f t="shared" si="210"/>
        <v>MATCH</v>
      </c>
    </row>
    <row r="395" spans="1:51">
      <c r="A395" t="s">
        <v>3284</v>
      </c>
      <c r="B395">
        <f t="shared" si="186"/>
        <v>1</v>
      </c>
      <c r="C395" t="s">
        <v>1621</v>
      </c>
      <c r="D395" s="3">
        <v>45412</v>
      </c>
      <c r="E395" t="str">
        <f t="shared" si="187"/>
        <v>2024/04/30</v>
      </c>
      <c r="F395" t="str">
        <f t="shared" si="196"/>
        <v>April</v>
      </c>
      <c r="G395">
        <f t="shared" si="197"/>
        <v>2024</v>
      </c>
      <c r="H395" t="s">
        <v>1292</v>
      </c>
      <c r="I395" s="4">
        <v>45416</v>
      </c>
      <c r="J395" s="8">
        <f t="shared" si="188"/>
        <v>4</v>
      </c>
      <c r="K395" s="8" t="str">
        <f t="shared" si="198"/>
        <v>OK</v>
      </c>
      <c r="L395" t="s">
        <v>3285</v>
      </c>
      <c r="M395" t="s">
        <v>179</v>
      </c>
      <c r="N395" t="str">
        <f t="shared" si="189"/>
        <v>Rohan Mehta</v>
      </c>
      <c r="O395" t="s">
        <v>40</v>
      </c>
      <c r="P395" t="str">
        <f t="shared" si="211"/>
        <v>Small Business</v>
      </c>
      <c r="Q395" t="s">
        <v>72</v>
      </c>
      <c r="R395" t="str">
        <f t="shared" si="212"/>
        <v>West</v>
      </c>
      <c r="S395" t="str">
        <f t="shared" si="199"/>
        <v>OK</v>
      </c>
      <c r="T395" t="s">
        <v>234</v>
      </c>
      <c r="U395" t="str">
        <f t="shared" si="190"/>
        <v>Gujarat</v>
      </c>
      <c r="V395" t="s">
        <v>235</v>
      </c>
      <c r="W395" t="str">
        <f t="shared" si="191"/>
        <v>Ahmedabad</v>
      </c>
      <c r="X395" t="str">
        <f t="shared" si="192"/>
        <v>Office Supplies</v>
      </c>
      <c r="Y395" t="s">
        <v>29</v>
      </c>
      <c r="Z395" t="s">
        <v>53</v>
      </c>
      <c r="AA395" t="str">
        <f t="shared" si="193"/>
        <v>Art</v>
      </c>
      <c r="AB395" t="s">
        <v>3286</v>
      </c>
      <c r="AC395" t="s">
        <v>47</v>
      </c>
      <c r="AD395" t="str">
        <f t="shared" si="185"/>
        <v>Same Day</v>
      </c>
      <c r="AE395" t="str">
        <f t="shared" si="200"/>
        <v>OK</v>
      </c>
      <c r="AF395">
        <v>7</v>
      </c>
      <c r="AG395">
        <v>1224.94</v>
      </c>
      <c r="AH395">
        <v>0</v>
      </c>
      <c r="AI395">
        <f t="shared" si="201"/>
        <v>0</v>
      </c>
      <c r="AJ395" t="str">
        <f t="shared" si="202"/>
        <v>OK</v>
      </c>
      <c r="AK395">
        <v>8574.58</v>
      </c>
      <c r="AL395">
        <v>6685.81</v>
      </c>
      <c r="AM395">
        <v>1888.77</v>
      </c>
      <c r="AN395" t="s">
        <v>33</v>
      </c>
      <c r="AO395" t="str">
        <f t="shared" si="194"/>
        <v>PAID</v>
      </c>
      <c r="AP395" t="str">
        <f t="shared" si="203"/>
        <v>OK</v>
      </c>
      <c r="AQ395" t="s">
        <v>124</v>
      </c>
      <c r="AR395" t="str">
        <f t="shared" si="195"/>
        <v>RETURNED</v>
      </c>
      <c r="AS395" t="str">
        <f t="shared" si="204"/>
        <v>RETURNED_ORDER</v>
      </c>
      <c r="AT395">
        <f t="shared" si="205"/>
        <v>8574.58</v>
      </c>
      <c r="AU395">
        <f t="shared" si="206"/>
        <v>1888.7699999999995</v>
      </c>
      <c r="AV395" s="6">
        <f t="shared" si="207"/>
        <v>0.11721215499767922</v>
      </c>
      <c r="AW395" t="str">
        <f t="shared" si="208"/>
        <v>CLEAN</v>
      </c>
      <c r="AX395" s="10" t="str">
        <f t="shared" si="209"/>
        <v>MATCH</v>
      </c>
      <c r="AY395" t="str">
        <f t="shared" si="210"/>
        <v>MATCH</v>
      </c>
    </row>
    <row r="396" spans="1:51">
      <c r="A396" t="s">
        <v>3291</v>
      </c>
      <c r="B396">
        <f t="shared" si="186"/>
        <v>1</v>
      </c>
      <c r="C396" t="s">
        <v>3292</v>
      </c>
      <c r="D396" s="2">
        <v>45584</v>
      </c>
      <c r="E396" t="str">
        <f t="shared" si="187"/>
        <v>2024/10/19</v>
      </c>
      <c r="F396" t="str">
        <f t="shared" si="196"/>
        <v>October</v>
      </c>
      <c r="G396">
        <f t="shared" si="197"/>
        <v>2024</v>
      </c>
      <c r="H396" t="s">
        <v>2379</v>
      </c>
      <c r="I396" s="4">
        <v>45585</v>
      </c>
      <c r="J396" s="8">
        <f t="shared" si="188"/>
        <v>1</v>
      </c>
      <c r="K396" s="8" t="str">
        <f t="shared" si="198"/>
        <v>OK</v>
      </c>
      <c r="L396" t="s">
        <v>3293</v>
      </c>
      <c r="M396" t="s">
        <v>106</v>
      </c>
      <c r="N396" t="str">
        <f t="shared" si="189"/>
        <v>Aditi Sen</v>
      </c>
      <c r="O396" t="s">
        <v>107</v>
      </c>
      <c r="P396" t="str">
        <f t="shared" si="211"/>
        <v>Corporate</v>
      </c>
      <c r="Q396" t="s">
        <v>26</v>
      </c>
      <c r="R396" t="str">
        <f t="shared" si="212"/>
        <v>North</v>
      </c>
      <c r="S396" t="str">
        <f t="shared" si="199"/>
        <v>OK</v>
      </c>
      <c r="T396" t="s">
        <v>27</v>
      </c>
      <c r="U396" t="str">
        <f t="shared" si="190"/>
        <v>Rajasthan</v>
      </c>
      <c r="V396" t="s">
        <v>28</v>
      </c>
      <c r="W396" t="str">
        <f t="shared" si="191"/>
        <v>Jaipur</v>
      </c>
      <c r="X396" t="str">
        <f t="shared" si="192"/>
        <v>Furniture</v>
      </c>
      <c r="Y396" t="s">
        <v>44</v>
      </c>
      <c r="Z396" t="s">
        <v>45</v>
      </c>
      <c r="AA396" t="str">
        <f t="shared" si="193"/>
        <v>Tables</v>
      </c>
      <c r="AB396" t="s">
        <v>3294</v>
      </c>
      <c r="AC396" t="s">
        <v>55</v>
      </c>
      <c r="AD396" t="str">
        <f t="shared" si="185"/>
        <v>First Class</v>
      </c>
      <c r="AE396" t="str">
        <f t="shared" si="200"/>
        <v>OK</v>
      </c>
      <c r="AF396">
        <v>1</v>
      </c>
      <c r="AG396">
        <v>1150.03</v>
      </c>
      <c r="AH396">
        <v>0.1</v>
      </c>
      <c r="AI396">
        <f t="shared" si="201"/>
        <v>0.1</v>
      </c>
      <c r="AJ396" t="str">
        <f t="shared" si="202"/>
        <v>OK</v>
      </c>
      <c r="AK396">
        <v>1035.03</v>
      </c>
      <c r="AL396">
        <v>854.35</v>
      </c>
      <c r="AM396">
        <v>180.68</v>
      </c>
      <c r="AN396" t="s">
        <v>33</v>
      </c>
      <c r="AO396" t="str">
        <f t="shared" si="194"/>
        <v>PAID</v>
      </c>
      <c r="AP396" t="str">
        <f t="shared" si="203"/>
        <v>OK</v>
      </c>
      <c r="AQ396" t="s">
        <v>34</v>
      </c>
      <c r="AR396" t="str">
        <f t="shared" si="195"/>
        <v>COMPLETED</v>
      </c>
      <c r="AS396" t="str">
        <f t="shared" si="204"/>
        <v>OK</v>
      </c>
      <c r="AT396">
        <f t="shared" si="205"/>
        <v>1035.027</v>
      </c>
      <c r="AU396">
        <f t="shared" si="206"/>
        <v>180.67700000000002</v>
      </c>
      <c r="AV396" s="6">
        <f t="shared" si="207"/>
        <v>0.93100952922001057</v>
      </c>
      <c r="AW396" t="str">
        <f t="shared" si="208"/>
        <v>CLEAN</v>
      </c>
      <c r="AX396" s="10" t="str">
        <f t="shared" si="209"/>
        <v>MATCH</v>
      </c>
      <c r="AY396" t="str">
        <f t="shared" si="210"/>
        <v>MATCH</v>
      </c>
    </row>
    <row r="397" spans="1:51">
      <c r="A397" t="s">
        <v>3295</v>
      </c>
      <c r="B397">
        <f t="shared" si="186"/>
        <v>2</v>
      </c>
      <c r="C397" t="s">
        <v>1557</v>
      </c>
      <c r="D397" s="3">
        <v>45364</v>
      </c>
      <c r="E397" t="str">
        <f t="shared" si="187"/>
        <v>2024/03/13</v>
      </c>
      <c r="F397" t="str">
        <f t="shared" si="196"/>
        <v>March</v>
      </c>
      <c r="G397">
        <f t="shared" si="197"/>
        <v>2024</v>
      </c>
      <c r="H397" t="s">
        <v>3296</v>
      </c>
      <c r="I397" s="4">
        <v>45371</v>
      </c>
      <c r="J397" s="8">
        <f t="shared" si="188"/>
        <v>7</v>
      </c>
      <c r="K397" s="8" t="str">
        <f t="shared" si="198"/>
        <v>OK</v>
      </c>
      <c r="L397" t="s">
        <v>3297</v>
      </c>
      <c r="M397" t="s">
        <v>141</v>
      </c>
      <c r="N397" t="str">
        <f t="shared" si="189"/>
        <v>Priya Menon</v>
      </c>
      <c r="O397" t="s">
        <v>114</v>
      </c>
      <c r="P397" t="str">
        <f t="shared" si="211"/>
        <v>Home Office</v>
      </c>
      <c r="Q397" t="s">
        <v>61</v>
      </c>
      <c r="R397" t="str">
        <f t="shared" si="212"/>
        <v>South</v>
      </c>
      <c r="S397" t="str">
        <f t="shared" si="199"/>
        <v>OK</v>
      </c>
      <c r="T397" t="s">
        <v>338</v>
      </c>
      <c r="U397" t="str">
        <f t="shared" si="190"/>
        <v>Tamil Nadu</v>
      </c>
      <c r="V397" t="s">
        <v>339</v>
      </c>
      <c r="W397" t="str">
        <f t="shared" si="191"/>
        <v>Chennai</v>
      </c>
      <c r="X397" t="str">
        <f t="shared" si="192"/>
        <v>Furniture</v>
      </c>
      <c r="Y397" t="s">
        <v>44</v>
      </c>
      <c r="Z397" t="s">
        <v>203</v>
      </c>
      <c r="AA397" t="str">
        <f t="shared" si="193"/>
        <v>Bookcases</v>
      </c>
      <c r="AB397" t="s">
        <v>3298</v>
      </c>
      <c r="AD397" t="s">
        <v>4109</v>
      </c>
      <c r="AE397" t="str">
        <f t="shared" si="200"/>
        <v>MISSING_SHIP_MODE</v>
      </c>
      <c r="AF397">
        <v>1</v>
      </c>
      <c r="AG397">
        <v>2825.63</v>
      </c>
      <c r="AH397">
        <v>0.15</v>
      </c>
      <c r="AI397">
        <f t="shared" si="201"/>
        <v>0.15</v>
      </c>
      <c r="AJ397" t="str">
        <f t="shared" si="202"/>
        <v>OK</v>
      </c>
      <c r="AK397">
        <v>2401.79</v>
      </c>
      <c r="AL397">
        <v>1820.34</v>
      </c>
      <c r="AM397">
        <v>581.45000000000005</v>
      </c>
      <c r="AN397" t="s">
        <v>33</v>
      </c>
      <c r="AO397" t="str">
        <f t="shared" si="194"/>
        <v>PAID</v>
      </c>
      <c r="AP397" t="str">
        <f t="shared" si="203"/>
        <v>OK</v>
      </c>
      <c r="AQ397" t="s">
        <v>34</v>
      </c>
      <c r="AR397" t="str">
        <f t="shared" si="195"/>
        <v>COMPLETED</v>
      </c>
      <c r="AS397" t="str">
        <f t="shared" si="204"/>
        <v>OK</v>
      </c>
      <c r="AT397">
        <f t="shared" si="205"/>
        <v>2401.7855</v>
      </c>
      <c r="AU397">
        <f t="shared" si="206"/>
        <v>581.44550000000004</v>
      </c>
      <c r="AV397" s="6">
        <f t="shared" si="207"/>
        <v>1.624314494362632</v>
      </c>
      <c r="AW397" t="str">
        <f t="shared" si="208"/>
        <v>WARNING</v>
      </c>
      <c r="AX397" s="10" t="str">
        <f t="shared" si="209"/>
        <v>MATCH</v>
      </c>
      <c r="AY397" t="str">
        <f t="shared" si="210"/>
        <v>MATCH</v>
      </c>
    </row>
    <row r="398" spans="1:51">
      <c r="A398" t="s">
        <v>3295</v>
      </c>
      <c r="B398">
        <f t="shared" si="186"/>
        <v>2</v>
      </c>
      <c r="C398" t="s">
        <v>1557</v>
      </c>
      <c r="D398" s="3">
        <v>45364</v>
      </c>
      <c r="E398" t="str">
        <f t="shared" si="187"/>
        <v>2024/03/13</v>
      </c>
      <c r="F398" t="str">
        <f t="shared" si="196"/>
        <v>March</v>
      </c>
      <c r="G398">
        <f t="shared" si="197"/>
        <v>2024</v>
      </c>
      <c r="H398" t="s">
        <v>3296</v>
      </c>
      <c r="I398" s="4">
        <v>45371</v>
      </c>
      <c r="J398" s="8">
        <f t="shared" si="188"/>
        <v>7</v>
      </c>
      <c r="K398" s="8" t="str">
        <f t="shared" si="198"/>
        <v>OK</v>
      </c>
      <c r="L398" t="s">
        <v>3297</v>
      </c>
      <c r="M398" t="s">
        <v>141</v>
      </c>
      <c r="N398" t="str">
        <f t="shared" si="189"/>
        <v>Priya Menon</v>
      </c>
      <c r="O398" t="s">
        <v>114</v>
      </c>
      <c r="P398" t="str">
        <f t="shared" si="211"/>
        <v>Home Office</v>
      </c>
      <c r="Q398" t="s">
        <v>61</v>
      </c>
      <c r="R398" t="str">
        <f t="shared" si="212"/>
        <v>South</v>
      </c>
      <c r="S398" t="str">
        <f t="shared" si="199"/>
        <v>OK</v>
      </c>
      <c r="T398" t="s">
        <v>338</v>
      </c>
      <c r="U398" t="str">
        <f t="shared" si="190"/>
        <v>Tamil Nadu</v>
      </c>
      <c r="V398" t="s">
        <v>339</v>
      </c>
      <c r="W398" t="str">
        <f t="shared" si="191"/>
        <v>Chennai</v>
      </c>
      <c r="X398" t="str">
        <f t="shared" si="192"/>
        <v>Furniture</v>
      </c>
      <c r="Y398" t="s">
        <v>44</v>
      </c>
      <c r="Z398" t="s">
        <v>203</v>
      </c>
      <c r="AA398" t="str">
        <f t="shared" si="193"/>
        <v>Bookcases</v>
      </c>
      <c r="AB398" t="s">
        <v>3298</v>
      </c>
      <c r="AD398" t="s">
        <v>4109</v>
      </c>
      <c r="AE398" t="str">
        <f t="shared" si="200"/>
        <v>MISSING_SHIP_MODE</v>
      </c>
      <c r="AF398">
        <v>1</v>
      </c>
      <c r="AG398">
        <v>2825.63</v>
      </c>
      <c r="AH398">
        <v>0.15</v>
      </c>
      <c r="AI398">
        <f t="shared" si="201"/>
        <v>0.15</v>
      </c>
      <c r="AJ398" t="str">
        <f t="shared" si="202"/>
        <v>OK</v>
      </c>
      <c r="AK398">
        <v>2401.79</v>
      </c>
      <c r="AL398">
        <v>1820.34</v>
      </c>
      <c r="AM398">
        <v>581.45000000000005</v>
      </c>
      <c r="AN398" t="s">
        <v>33</v>
      </c>
      <c r="AO398" t="str">
        <f t="shared" si="194"/>
        <v>PAID</v>
      </c>
      <c r="AP398" t="str">
        <f t="shared" si="203"/>
        <v>OK</v>
      </c>
      <c r="AQ398" t="s">
        <v>34</v>
      </c>
      <c r="AR398" t="str">
        <f t="shared" si="195"/>
        <v>COMPLETED</v>
      </c>
      <c r="AS398" t="str">
        <f t="shared" si="204"/>
        <v>OK</v>
      </c>
      <c r="AT398">
        <f t="shared" si="205"/>
        <v>2401.7855</v>
      </c>
      <c r="AU398">
        <f t="shared" si="206"/>
        <v>581.44550000000004</v>
      </c>
      <c r="AV398" s="6">
        <f t="shared" si="207"/>
        <v>1.1451064218682314</v>
      </c>
      <c r="AW398" t="str">
        <f t="shared" si="208"/>
        <v>WARNING</v>
      </c>
      <c r="AX398" s="10" t="str">
        <f t="shared" si="209"/>
        <v>MATCH</v>
      </c>
      <c r="AY398" t="str">
        <f t="shared" si="210"/>
        <v>MATCH</v>
      </c>
    </row>
    <row r="399" spans="1:51">
      <c r="A399" t="s">
        <v>3299</v>
      </c>
      <c r="B399">
        <f t="shared" si="186"/>
        <v>1</v>
      </c>
      <c r="C399" t="s">
        <v>3300</v>
      </c>
      <c r="D399" s="2">
        <v>45513</v>
      </c>
      <c r="E399" t="str">
        <f t="shared" si="187"/>
        <v>2024/08/09</v>
      </c>
      <c r="F399" t="str">
        <f t="shared" si="196"/>
        <v>August</v>
      </c>
      <c r="G399">
        <f t="shared" si="197"/>
        <v>2024</v>
      </c>
      <c r="H399" t="s">
        <v>3301</v>
      </c>
      <c r="I399" s="4">
        <v>45549</v>
      </c>
      <c r="J399" s="8">
        <f t="shared" si="188"/>
        <v>36</v>
      </c>
      <c r="K399" s="8" t="str">
        <f t="shared" si="198"/>
        <v>OK</v>
      </c>
      <c r="L399" t="s">
        <v>3302</v>
      </c>
      <c r="M399" t="s">
        <v>179</v>
      </c>
      <c r="N399" t="str">
        <f t="shared" si="189"/>
        <v>Rohan Mehta</v>
      </c>
      <c r="O399" t="s">
        <v>25</v>
      </c>
      <c r="P399" t="str">
        <f t="shared" si="211"/>
        <v>Consumer</v>
      </c>
      <c r="Q399" t="s">
        <v>26</v>
      </c>
      <c r="R399" t="str">
        <f t="shared" si="212"/>
        <v>North</v>
      </c>
      <c r="S399" t="str">
        <f t="shared" si="199"/>
        <v>OK</v>
      </c>
      <c r="T399" t="s">
        <v>27</v>
      </c>
      <c r="U399" t="str">
        <f t="shared" si="190"/>
        <v>Rajasthan</v>
      </c>
      <c r="V399" t="s">
        <v>28</v>
      </c>
      <c r="W399" t="str">
        <f t="shared" si="191"/>
        <v>Jaipur</v>
      </c>
      <c r="X399" t="str">
        <f t="shared" si="192"/>
        <v>Office Supplies</v>
      </c>
      <c r="Y399" t="s">
        <v>29</v>
      </c>
      <c r="Z399" t="s">
        <v>197</v>
      </c>
      <c r="AA399" t="str">
        <f t="shared" si="193"/>
        <v>Binders</v>
      </c>
      <c r="AB399" t="s">
        <v>3303</v>
      </c>
      <c r="AC399" t="s">
        <v>66</v>
      </c>
      <c r="AD399" t="str">
        <f t="shared" ref="AD399:AD430" si="213">PROPER(TRIM(SUBSTITUTE(AC399,CHAR(160)," ")))</f>
        <v>Standard Class</v>
      </c>
      <c r="AE399" t="str">
        <f t="shared" si="200"/>
        <v>OK</v>
      </c>
      <c r="AF399">
        <v>5</v>
      </c>
      <c r="AG399">
        <v>3371.75</v>
      </c>
      <c r="AH399">
        <v>0.05</v>
      </c>
      <c r="AI399">
        <f t="shared" si="201"/>
        <v>0.05</v>
      </c>
      <c r="AJ399" t="str">
        <f t="shared" si="202"/>
        <v>OK</v>
      </c>
      <c r="AK399">
        <v>16015.81</v>
      </c>
      <c r="AL399">
        <v>11352.38</v>
      </c>
      <c r="AM399">
        <v>4663.43</v>
      </c>
      <c r="AN399" t="s">
        <v>33</v>
      </c>
      <c r="AO399" t="str">
        <f t="shared" si="194"/>
        <v>PAID</v>
      </c>
      <c r="AP399" t="str">
        <f t="shared" si="203"/>
        <v>OK</v>
      </c>
      <c r="AQ399" t="s">
        <v>34</v>
      </c>
      <c r="AR399" t="str">
        <f t="shared" si="195"/>
        <v>COMPLETED</v>
      </c>
      <c r="AS399" t="str">
        <f t="shared" si="204"/>
        <v>OK</v>
      </c>
      <c r="AT399">
        <f t="shared" si="205"/>
        <v>16015.8125</v>
      </c>
      <c r="AU399">
        <f t="shared" si="206"/>
        <v>4663.4325000000008</v>
      </c>
      <c r="AV399" s="6">
        <f t="shared" si="207"/>
        <v>0.19545808244196161</v>
      </c>
      <c r="AW399" t="str">
        <f t="shared" si="208"/>
        <v>CLEAN</v>
      </c>
      <c r="AX399" s="10" t="str">
        <f t="shared" si="209"/>
        <v>MATCH</v>
      </c>
      <c r="AY399" t="str">
        <f t="shared" si="210"/>
        <v>MATCH</v>
      </c>
    </row>
    <row r="400" spans="1:51">
      <c r="A400" t="s">
        <v>3304</v>
      </c>
      <c r="B400">
        <f t="shared" si="186"/>
        <v>1</v>
      </c>
      <c r="C400" t="s">
        <v>3305</v>
      </c>
      <c r="D400" s="3">
        <v>45467</v>
      </c>
      <c r="E400" t="str">
        <f t="shared" si="187"/>
        <v>2024/06/24</v>
      </c>
      <c r="F400" t="str">
        <f t="shared" si="196"/>
        <v>June</v>
      </c>
      <c r="G400">
        <f t="shared" si="197"/>
        <v>2024</v>
      </c>
      <c r="H400" t="s">
        <v>1042</v>
      </c>
      <c r="I400" s="4">
        <v>45471</v>
      </c>
      <c r="J400" s="8">
        <f t="shared" si="188"/>
        <v>4</v>
      </c>
      <c r="K400" s="8" t="str">
        <f t="shared" si="198"/>
        <v>OK</v>
      </c>
      <c r="L400" t="s">
        <v>3306</v>
      </c>
      <c r="M400" t="s">
        <v>52</v>
      </c>
      <c r="N400" t="str">
        <f t="shared" si="189"/>
        <v>Isha Nair</v>
      </c>
      <c r="O400" t="s">
        <v>40</v>
      </c>
      <c r="P400" t="str">
        <f t="shared" si="211"/>
        <v>Small Business</v>
      </c>
      <c r="Q400" t="s">
        <v>41</v>
      </c>
      <c r="R400" t="str">
        <f t="shared" si="212"/>
        <v>East</v>
      </c>
      <c r="S400" t="str">
        <f t="shared" si="199"/>
        <v>OK</v>
      </c>
      <c r="T400" t="s">
        <v>42</v>
      </c>
      <c r="U400" t="str">
        <f t="shared" si="190"/>
        <v>Odisha</v>
      </c>
      <c r="V400" t="s">
        <v>43</v>
      </c>
      <c r="W400" t="str">
        <f t="shared" si="191"/>
        <v>Bhubaneswar</v>
      </c>
      <c r="X400" t="str">
        <f t="shared" si="192"/>
        <v>Office Supplies</v>
      </c>
      <c r="Y400" t="s">
        <v>29</v>
      </c>
      <c r="Z400" t="s">
        <v>30</v>
      </c>
      <c r="AA400" t="str">
        <f t="shared" si="193"/>
        <v>Paper</v>
      </c>
      <c r="AB400" t="s">
        <v>3307</v>
      </c>
      <c r="AC400" t="s">
        <v>47</v>
      </c>
      <c r="AD400" t="str">
        <f t="shared" si="213"/>
        <v>Same Day</v>
      </c>
      <c r="AE400" t="str">
        <f t="shared" si="200"/>
        <v>OK</v>
      </c>
      <c r="AF400">
        <v>1</v>
      </c>
      <c r="AG400">
        <v>2112.75</v>
      </c>
      <c r="AH400">
        <v>0.1</v>
      </c>
      <c r="AI400">
        <f t="shared" si="201"/>
        <v>0.1</v>
      </c>
      <c r="AJ400" t="str">
        <f t="shared" si="202"/>
        <v>OK</v>
      </c>
      <c r="AK400">
        <v>1901.48</v>
      </c>
      <c r="AL400">
        <v>1354.28</v>
      </c>
      <c r="AM400">
        <v>547.20000000000005</v>
      </c>
      <c r="AN400" t="s">
        <v>33</v>
      </c>
      <c r="AO400" t="str">
        <f t="shared" si="194"/>
        <v>PAID</v>
      </c>
      <c r="AP400" t="str">
        <f t="shared" si="203"/>
        <v>OK</v>
      </c>
      <c r="AQ400" t="s">
        <v>34</v>
      </c>
      <c r="AR400" t="str">
        <f t="shared" si="195"/>
        <v>COMPLETED</v>
      </c>
      <c r="AS400" t="str">
        <f t="shared" si="204"/>
        <v>OK</v>
      </c>
      <c r="AT400">
        <f t="shared" si="205"/>
        <v>1901.4750000000001</v>
      </c>
      <c r="AU400">
        <f t="shared" si="206"/>
        <v>547.19500000000016</v>
      </c>
      <c r="AV400" s="6">
        <f t="shared" si="207"/>
        <v>0.35608987759502492</v>
      </c>
      <c r="AW400" t="str">
        <f t="shared" si="208"/>
        <v>CLEAN</v>
      </c>
      <c r="AX400" s="10" t="str">
        <f t="shared" si="209"/>
        <v>MATCH</v>
      </c>
      <c r="AY400" t="str">
        <f t="shared" si="210"/>
        <v>MATCH</v>
      </c>
    </row>
    <row r="401" spans="1:51">
      <c r="A401" t="s">
        <v>3320</v>
      </c>
      <c r="B401">
        <f t="shared" si="186"/>
        <v>1</v>
      </c>
      <c r="C401" t="s">
        <v>3321</v>
      </c>
      <c r="D401" s="3">
        <v>45633</v>
      </c>
      <c r="E401" t="str">
        <f t="shared" si="187"/>
        <v>2024/12/07</v>
      </c>
      <c r="F401" t="str">
        <f t="shared" si="196"/>
        <v>December</v>
      </c>
      <c r="G401">
        <f t="shared" si="197"/>
        <v>2024</v>
      </c>
      <c r="H401" t="s">
        <v>3322</v>
      </c>
      <c r="I401" s="4">
        <v>45492</v>
      </c>
      <c r="J401" s="8">
        <f t="shared" si="188"/>
        <v>-141</v>
      </c>
      <c r="K401" s="8" t="str">
        <f t="shared" si="198"/>
        <v>INVAILD_SHIPPING</v>
      </c>
      <c r="L401" t="s">
        <v>3323</v>
      </c>
      <c r="M401" t="s">
        <v>82</v>
      </c>
      <c r="N401" t="str">
        <f t="shared" si="189"/>
        <v>Vikram Iyer</v>
      </c>
      <c r="O401" t="s">
        <v>107</v>
      </c>
      <c r="P401" t="str">
        <f t="shared" si="211"/>
        <v>Corporate</v>
      </c>
      <c r="Q401" t="s">
        <v>26</v>
      </c>
      <c r="R401" t="str">
        <f t="shared" si="212"/>
        <v>North</v>
      </c>
      <c r="S401" t="str">
        <f t="shared" si="199"/>
        <v>OK</v>
      </c>
      <c r="T401" t="s">
        <v>153</v>
      </c>
      <c r="U401" t="str">
        <f t="shared" si="190"/>
        <v>Punjab</v>
      </c>
      <c r="V401" t="s">
        <v>154</v>
      </c>
      <c r="W401" t="str">
        <f t="shared" si="191"/>
        <v>Ludhiana</v>
      </c>
      <c r="X401" t="str">
        <f t="shared" si="192"/>
        <v>Office Supplies</v>
      </c>
      <c r="Y401" t="s">
        <v>29</v>
      </c>
      <c r="Z401" t="s">
        <v>53</v>
      </c>
      <c r="AA401" t="str">
        <f t="shared" si="193"/>
        <v>Art</v>
      </c>
      <c r="AB401" t="s">
        <v>3324</v>
      </c>
      <c r="AC401" t="s">
        <v>32</v>
      </c>
      <c r="AD401" t="str">
        <f t="shared" si="213"/>
        <v>Second Class</v>
      </c>
      <c r="AE401" t="str">
        <f t="shared" si="200"/>
        <v>OK</v>
      </c>
      <c r="AF401">
        <v>5</v>
      </c>
      <c r="AG401">
        <v>1559.16</v>
      </c>
      <c r="AH401">
        <v>0.05</v>
      </c>
      <c r="AI401">
        <f t="shared" si="201"/>
        <v>0.05</v>
      </c>
      <c r="AJ401" t="str">
        <f t="shared" si="202"/>
        <v>OK</v>
      </c>
      <c r="AK401">
        <v>7406.01</v>
      </c>
      <c r="AL401">
        <v>5941.74</v>
      </c>
      <c r="AM401">
        <v>1464.27</v>
      </c>
      <c r="AN401" t="s">
        <v>33</v>
      </c>
      <c r="AO401" t="str">
        <f t="shared" si="194"/>
        <v>PAID</v>
      </c>
      <c r="AP401" t="str">
        <f t="shared" si="203"/>
        <v>OK</v>
      </c>
      <c r="AQ401" t="s">
        <v>34</v>
      </c>
      <c r="AR401" t="str">
        <f t="shared" si="195"/>
        <v>COMPLETED</v>
      </c>
      <c r="AS401" t="str">
        <f t="shared" si="204"/>
        <v>OK</v>
      </c>
      <c r="AT401">
        <f t="shared" si="205"/>
        <v>7406.01</v>
      </c>
      <c r="AU401">
        <f t="shared" si="206"/>
        <v>1464.2700000000004</v>
      </c>
      <c r="AV401" s="6">
        <f t="shared" si="207"/>
        <v>0.60019686713898579</v>
      </c>
      <c r="AW401" t="str">
        <f t="shared" si="208"/>
        <v>CLEAN</v>
      </c>
      <c r="AX401" s="10" t="str">
        <f t="shared" si="209"/>
        <v>MATCH</v>
      </c>
      <c r="AY401" t="str">
        <f t="shared" si="210"/>
        <v>MATCH</v>
      </c>
    </row>
    <row r="402" spans="1:51">
      <c r="A402" t="s">
        <v>3329</v>
      </c>
      <c r="B402">
        <f t="shared" si="186"/>
        <v>2</v>
      </c>
      <c r="C402" t="s">
        <v>2128</v>
      </c>
      <c r="D402" s="2">
        <v>45567</v>
      </c>
      <c r="E402" t="str">
        <f t="shared" si="187"/>
        <v>2024/10/02</v>
      </c>
      <c r="F402" t="str">
        <f t="shared" si="196"/>
        <v>October</v>
      </c>
      <c r="G402">
        <f t="shared" si="197"/>
        <v>2024</v>
      </c>
      <c r="H402" t="s">
        <v>3330</v>
      </c>
      <c r="I402" s="4">
        <v>45340</v>
      </c>
      <c r="J402" s="8">
        <f t="shared" si="188"/>
        <v>-227</v>
      </c>
      <c r="K402" s="8" t="str">
        <f t="shared" si="198"/>
        <v>INVAILD_SHIPPING</v>
      </c>
      <c r="L402" t="s">
        <v>3331</v>
      </c>
      <c r="M402" t="s">
        <v>52</v>
      </c>
      <c r="N402" t="str">
        <f t="shared" si="189"/>
        <v>Isha Nair</v>
      </c>
      <c r="O402" t="s">
        <v>114</v>
      </c>
      <c r="P402" t="str">
        <f t="shared" si="211"/>
        <v>Home Office</v>
      </c>
      <c r="Q402" t="s">
        <v>72</v>
      </c>
      <c r="R402" t="str">
        <f t="shared" si="212"/>
        <v>West</v>
      </c>
      <c r="S402" t="str">
        <f t="shared" si="199"/>
        <v>OK</v>
      </c>
      <c r="T402" t="s">
        <v>83</v>
      </c>
      <c r="U402" t="str">
        <f t="shared" si="190"/>
        <v>Madhya Pradesh</v>
      </c>
      <c r="V402" t="s">
        <v>84</v>
      </c>
      <c r="W402" t="str">
        <f t="shared" si="191"/>
        <v>Indore</v>
      </c>
      <c r="X402" t="str">
        <f t="shared" si="192"/>
        <v>Furniture</v>
      </c>
      <c r="Y402" t="s">
        <v>44</v>
      </c>
      <c r="Z402" t="s">
        <v>75</v>
      </c>
      <c r="AA402" t="str">
        <f t="shared" si="193"/>
        <v>Chairs</v>
      </c>
      <c r="AB402" t="s">
        <v>3332</v>
      </c>
      <c r="AC402" t="s">
        <v>55</v>
      </c>
      <c r="AD402" t="str">
        <f t="shared" si="213"/>
        <v>First Class</v>
      </c>
      <c r="AE402" t="str">
        <f t="shared" si="200"/>
        <v>OK</v>
      </c>
      <c r="AF402">
        <v>7</v>
      </c>
      <c r="AG402">
        <v>1382.86</v>
      </c>
      <c r="AH402">
        <v>0</v>
      </c>
      <c r="AI402">
        <f t="shared" si="201"/>
        <v>0</v>
      </c>
      <c r="AJ402" t="str">
        <f t="shared" si="202"/>
        <v>OK</v>
      </c>
      <c r="AK402">
        <v>9680.02</v>
      </c>
      <c r="AL402">
        <v>6876.66</v>
      </c>
      <c r="AM402">
        <v>2803.36</v>
      </c>
      <c r="AN402" t="s">
        <v>33</v>
      </c>
      <c r="AO402" t="str">
        <f t="shared" si="194"/>
        <v>PAID</v>
      </c>
      <c r="AP402" t="str">
        <f t="shared" si="203"/>
        <v>OK</v>
      </c>
      <c r="AQ402" t="s">
        <v>34</v>
      </c>
      <c r="AR402" t="str">
        <f t="shared" si="195"/>
        <v>COMPLETED</v>
      </c>
      <c r="AS402" t="str">
        <f t="shared" si="204"/>
        <v>OK</v>
      </c>
      <c r="AT402">
        <f t="shared" si="205"/>
        <v>9680.0199999999986</v>
      </c>
      <c r="AU402">
        <f t="shared" si="206"/>
        <v>2803.3599999999988</v>
      </c>
      <c r="AV402" s="6">
        <f t="shared" si="207"/>
        <v>8.4834535465835803E-2</v>
      </c>
      <c r="AW402" t="str">
        <f t="shared" si="208"/>
        <v>CLEAN</v>
      </c>
      <c r="AX402" s="10" t="str">
        <f t="shared" si="209"/>
        <v>MATCH</v>
      </c>
      <c r="AY402" t="str">
        <f t="shared" si="210"/>
        <v>MATCH</v>
      </c>
    </row>
    <row r="403" spans="1:51">
      <c r="A403" t="s">
        <v>3329</v>
      </c>
      <c r="B403">
        <f t="shared" si="186"/>
        <v>2</v>
      </c>
      <c r="C403" t="s">
        <v>2128</v>
      </c>
      <c r="D403" s="2">
        <v>45567</v>
      </c>
      <c r="E403" t="str">
        <f t="shared" si="187"/>
        <v>2024/10/02</v>
      </c>
      <c r="F403" t="str">
        <f t="shared" si="196"/>
        <v>October</v>
      </c>
      <c r="G403">
        <f t="shared" si="197"/>
        <v>2024</v>
      </c>
      <c r="H403" t="s">
        <v>3330</v>
      </c>
      <c r="I403" s="4">
        <v>45340</v>
      </c>
      <c r="J403" s="8">
        <f t="shared" si="188"/>
        <v>-227</v>
      </c>
      <c r="K403" s="8" t="str">
        <f t="shared" si="198"/>
        <v>INVAILD_SHIPPING</v>
      </c>
      <c r="L403" t="s">
        <v>3331</v>
      </c>
      <c r="M403" t="s">
        <v>52</v>
      </c>
      <c r="N403" t="str">
        <f t="shared" si="189"/>
        <v>Isha Nair</v>
      </c>
      <c r="O403" t="s">
        <v>114</v>
      </c>
      <c r="P403" t="str">
        <f t="shared" si="211"/>
        <v>Home Office</v>
      </c>
      <c r="Q403" t="s">
        <v>72</v>
      </c>
      <c r="R403" t="str">
        <f t="shared" si="212"/>
        <v>West</v>
      </c>
      <c r="S403" t="str">
        <f t="shared" si="199"/>
        <v>OK</v>
      </c>
      <c r="T403" t="s">
        <v>83</v>
      </c>
      <c r="U403" t="str">
        <f t="shared" si="190"/>
        <v>Madhya Pradesh</v>
      </c>
      <c r="V403" t="s">
        <v>84</v>
      </c>
      <c r="W403" t="str">
        <f t="shared" si="191"/>
        <v>Indore</v>
      </c>
      <c r="X403" t="str">
        <f t="shared" si="192"/>
        <v>Furniture</v>
      </c>
      <c r="Y403" t="s">
        <v>44</v>
      </c>
      <c r="Z403" t="s">
        <v>75</v>
      </c>
      <c r="AA403" t="str">
        <f t="shared" si="193"/>
        <v>Chairs</v>
      </c>
      <c r="AB403" t="s">
        <v>3332</v>
      </c>
      <c r="AC403" t="s">
        <v>55</v>
      </c>
      <c r="AD403" t="str">
        <f t="shared" si="213"/>
        <v>First Class</v>
      </c>
      <c r="AE403" t="str">
        <f t="shared" si="200"/>
        <v>OK</v>
      </c>
      <c r="AF403">
        <v>7</v>
      </c>
      <c r="AG403">
        <v>1382.86</v>
      </c>
      <c r="AH403">
        <v>0</v>
      </c>
      <c r="AI403">
        <f t="shared" si="201"/>
        <v>0</v>
      </c>
      <c r="AJ403" t="str">
        <f t="shared" si="202"/>
        <v>OK</v>
      </c>
      <c r="AK403">
        <v>9680.02</v>
      </c>
      <c r="AL403">
        <v>6876.66</v>
      </c>
      <c r="AM403">
        <v>2803.36</v>
      </c>
      <c r="AN403" t="s">
        <v>33</v>
      </c>
      <c r="AO403" t="str">
        <f t="shared" si="194"/>
        <v>PAID</v>
      </c>
      <c r="AP403" t="str">
        <f t="shared" si="203"/>
        <v>OK</v>
      </c>
      <c r="AQ403" t="s">
        <v>34</v>
      </c>
      <c r="AR403" t="str">
        <f t="shared" si="195"/>
        <v>COMPLETED</v>
      </c>
      <c r="AS403" t="str">
        <f t="shared" si="204"/>
        <v>OK</v>
      </c>
      <c r="AT403">
        <f t="shared" si="205"/>
        <v>9680.0199999999986</v>
      </c>
      <c r="AU403">
        <f t="shared" si="206"/>
        <v>2803.3599999999988</v>
      </c>
      <c r="AV403" s="6">
        <f t="shared" si="207"/>
        <v>4.1673984144660864E-2</v>
      </c>
      <c r="AW403" t="str">
        <f t="shared" si="208"/>
        <v>CLEAN</v>
      </c>
      <c r="AX403" s="10" t="str">
        <f t="shared" si="209"/>
        <v>MATCH</v>
      </c>
      <c r="AY403" t="str">
        <f t="shared" si="210"/>
        <v>MATCH</v>
      </c>
    </row>
    <row r="404" spans="1:51">
      <c r="A404" t="s">
        <v>3350</v>
      </c>
      <c r="B404">
        <f t="shared" si="186"/>
        <v>1</v>
      </c>
      <c r="C404" t="s">
        <v>3351</v>
      </c>
      <c r="D404" s="2">
        <v>45452</v>
      </c>
      <c r="E404" t="str">
        <f t="shared" si="187"/>
        <v>2024/06/09</v>
      </c>
      <c r="F404" t="str">
        <f t="shared" si="196"/>
        <v>June</v>
      </c>
      <c r="G404">
        <f t="shared" si="197"/>
        <v>2024</v>
      </c>
      <c r="H404" t="s">
        <v>875</v>
      </c>
      <c r="I404" s="4">
        <v>45544</v>
      </c>
      <c r="J404" s="8">
        <f t="shared" si="188"/>
        <v>92</v>
      </c>
      <c r="K404" s="8" t="str">
        <f t="shared" si="198"/>
        <v>OK</v>
      </c>
      <c r="L404" t="s">
        <v>3352</v>
      </c>
      <c r="M404" t="s">
        <v>39</v>
      </c>
      <c r="N404" t="str">
        <f t="shared" si="189"/>
        <v>Mira Das</v>
      </c>
      <c r="O404" t="s">
        <v>25</v>
      </c>
      <c r="P404" t="str">
        <f t="shared" si="211"/>
        <v>Consumer</v>
      </c>
      <c r="Q404" t="s">
        <v>72</v>
      </c>
      <c r="R404" t="str">
        <f t="shared" si="212"/>
        <v>West</v>
      </c>
      <c r="S404" t="str">
        <f t="shared" si="199"/>
        <v>OK</v>
      </c>
      <c r="T404" t="s">
        <v>73</v>
      </c>
      <c r="U404" t="str">
        <f t="shared" si="190"/>
        <v>Maharashtra</v>
      </c>
      <c r="V404" t="s">
        <v>74</v>
      </c>
      <c r="W404" t="str">
        <f t="shared" si="191"/>
        <v>Mumbai</v>
      </c>
      <c r="X404" t="str">
        <f t="shared" si="192"/>
        <v>Office Supplies</v>
      </c>
      <c r="Y404" t="s">
        <v>29</v>
      </c>
      <c r="Z404" t="s">
        <v>53</v>
      </c>
      <c r="AA404" t="str">
        <f t="shared" si="193"/>
        <v>Art</v>
      </c>
      <c r="AB404" t="s">
        <v>3353</v>
      </c>
      <c r="AC404" t="s">
        <v>47</v>
      </c>
      <c r="AD404" t="str">
        <f t="shared" si="213"/>
        <v>Same Day</v>
      </c>
      <c r="AE404" t="str">
        <f t="shared" si="200"/>
        <v>OK</v>
      </c>
      <c r="AF404">
        <v>3</v>
      </c>
      <c r="AG404">
        <v>1972.27</v>
      </c>
      <c r="AH404">
        <v>0.2</v>
      </c>
      <c r="AI404">
        <f t="shared" si="201"/>
        <v>0.2</v>
      </c>
      <c r="AJ404" t="str">
        <f t="shared" si="202"/>
        <v>OK</v>
      </c>
      <c r="AK404">
        <v>4733.45</v>
      </c>
      <c r="AL404">
        <v>3672.32</v>
      </c>
      <c r="AM404">
        <v>1061.1300000000001</v>
      </c>
      <c r="AN404" t="s">
        <v>33</v>
      </c>
      <c r="AO404" t="str">
        <f t="shared" si="194"/>
        <v>PAID</v>
      </c>
      <c r="AP404" t="str">
        <f t="shared" si="203"/>
        <v>OK</v>
      </c>
      <c r="AQ404" t="s">
        <v>34</v>
      </c>
      <c r="AR404" t="str">
        <f t="shared" si="195"/>
        <v>COMPLETED</v>
      </c>
      <c r="AS404" t="str">
        <f t="shared" si="204"/>
        <v>OK</v>
      </c>
      <c r="AT404">
        <f t="shared" si="205"/>
        <v>4733.4479999999994</v>
      </c>
      <c r="AU404">
        <f t="shared" si="206"/>
        <v>1061.1279999999992</v>
      </c>
      <c r="AV404" s="6">
        <f t="shared" si="207"/>
        <v>0.70508960909679319</v>
      </c>
      <c r="AW404" t="str">
        <f t="shared" si="208"/>
        <v>CLEAN</v>
      </c>
      <c r="AX404" s="10" t="str">
        <f t="shared" si="209"/>
        <v>MATCH</v>
      </c>
      <c r="AY404" t="str">
        <f t="shared" si="210"/>
        <v>MATCH</v>
      </c>
    </row>
    <row r="405" spans="1:51">
      <c r="A405" t="s">
        <v>3356</v>
      </c>
      <c r="B405">
        <f t="shared" si="186"/>
        <v>1</v>
      </c>
      <c r="C405" t="s">
        <v>1108</v>
      </c>
      <c r="D405" s="3">
        <v>45489</v>
      </c>
      <c r="E405" t="str">
        <f t="shared" si="187"/>
        <v>2024/07/16</v>
      </c>
      <c r="F405" t="str">
        <f t="shared" si="196"/>
        <v>July</v>
      </c>
      <c r="G405">
        <f t="shared" si="197"/>
        <v>2024</v>
      </c>
      <c r="H405" t="s">
        <v>3357</v>
      </c>
      <c r="I405" s="4">
        <v>45489</v>
      </c>
      <c r="J405" s="8">
        <f t="shared" si="188"/>
        <v>0</v>
      </c>
      <c r="K405" s="8" t="str">
        <f t="shared" si="198"/>
        <v>OK</v>
      </c>
      <c r="L405" t="s">
        <v>3358</v>
      </c>
      <c r="M405" t="s">
        <v>106</v>
      </c>
      <c r="N405" t="str">
        <f t="shared" si="189"/>
        <v>Aditi Sen</v>
      </c>
      <c r="O405" t="s">
        <v>114</v>
      </c>
      <c r="P405" t="str">
        <f t="shared" si="211"/>
        <v>Home Office</v>
      </c>
      <c r="Q405" t="s">
        <v>72</v>
      </c>
      <c r="R405" t="str">
        <f t="shared" si="212"/>
        <v>West</v>
      </c>
      <c r="S405" t="str">
        <f t="shared" si="199"/>
        <v>OK</v>
      </c>
      <c r="T405" t="s">
        <v>83</v>
      </c>
      <c r="U405" t="str">
        <f t="shared" si="190"/>
        <v>Madhya Pradesh</v>
      </c>
      <c r="V405" t="s">
        <v>84</v>
      </c>
      <c r="W405" t="str">
        <f t="shared" si="191"/>
        <v>Indore</v>
      </c>
      <c r="X405" t="str">
        <f t="shared" si="192"/>
        <v>Technology</v>
      </c>
      <c r="Y405" t="s">
        <v>85</v>
      </c>
      <c r="Z405" t="s">
        <v>93</v>
      </c>
      <c r="AA405" t="str">
        <f t="shared" si="193"/>
        <v>Copiers</v>
      </c>
      <c r="AB405" t="s">
        <v>3359</v>
      </c>
      <c r="AC405" t="s">
        <v>47</v>
      </c>
      <c r="AD405" t="str">
        <f t="shared" si="213"/>
        <v>Same Day</v>
      </c>
      <c r="AE405" t="str">
        <f t="shared" si="200"/>
        <v>OK</v>
      </c>
      <c r="AF405">
        <v>4</v>
      </c>
      <c r="AG405">
        <v>4479.92</v>
      </c>
      <c r="AH405">
        <v>0.15</v>
      </c>
      <c r="AI405">
        <f t="shared" si="201"/>
        <v>0.15</v>
      </c>
      <c r="AJ405" t="str">
        <f t="shared" si="202"/>
        <v>OK</v>
      </c>
      <c r="AK405">
        <v>15231.73</v>
      </c>
      <c r="AL405">
        <v>12451.46</v>
      </c>
      <c r="AM405">
        <v>2780.27</v>
      </c>
      <c r="AN405" t="s">
        <v>33</v>
      </c>
      <c r="AO405" t="str">
        <f t="shared" si="194"/>
        <v>PAID</v>
      </c>
      <c r="AP405" t="str">
        <f t="shared" si="203"/>
        <v>OK</v>
      </c>
      <c r="AQ405" t="s">
        <v>34</v>
      </c>
      <c r="AR405" t="str">
        <f t="shared" si="195"/>
        <v>COMPLETED</v>
      </c>
      <c r="AS405" t="str">
        <f t="shared" si="204"/>
        <v>OK</v>
      </c>
      <c r="AT405">
        <f t="shared" si="205"/>
        <v>15231.727999999999</v>
      </c>
      <c r="AU405">
        <f t="shared" si="206"/>
        <v>2780.268</v>
      </c>
      <c r="AV405" s="6">
        <f t="shared" si="207"/>
        <v>4.8939358686026932E-2</v>
      </c>
      <c r="AW405" t="str">
        <f t="shared" si="208"/>
        <v>CLEAN</v>
      </c>
      <c r="AX405" s="10" t="str">
        <f t="shared" si="209"/>
        <v>MATCH</v>
      </c>
      <c r="AY405" t="str">
        <f t="shared" si="210"/>
        <v>MATCH</v>
      </c>
    </row>
    <row r="406" spans="1:51">
      <c r="A406" t="s">
        <v>3364</v>
      </c>
      <c r="B406">
        <f t="shared" si="186"/>
        <v>1</v>
      </c>
      <c r="C406" t="s">
        <v>2556</v>
      </c>
      <c r="D406" s="3">
        <v>45483</v>
      </c>
      <c r="E406" t="str">
        <f t="shared" si="187"/>
        <v>2024/07/10</v>
      </c>
      <c r="F406" t="str">
        <f t="shared" si="196"/>
        <v>July</v>
      </c>
      <c r="G406">
        <f t="shared" si="197"/>
        <v>2024</v>
      </c>
      <c r="H406" t="s">
        <v>3365</v>
      </c>
      <c r="I406" s="4">
        <v>45575</v>
      </c>
      <c r="J406" s="8">
        <f t="shared" si="188"/>
        <v>92</v>
      </c>
      <c r="K406" s="8" t="str">
        <f t="shared" si="198"/>
        <v>OK</v>
      </c>
      <c r="L406" t="s">
        <v>3366</v>
      </c>
      <c r="M406" t="s">
        <v>82</v>
      </c>
      <c r="N406" t="str">
        <f t="shared" si="189"/>
        <v>Vikram Iyer</v>
      </c>
      <c r="O406" t="s">
        <v>25</v>
      </c>
      <c r="P406" t="str">
        <f t="shared" si="211"/>
        <v>Consumer</v>
      </c>
      <c r="Q406" t="s">
        <v>41</v>
      </c>
      <c r="R406" t="str">
        <f t="shared" si="212"/>
        <v>East</v>
      </c>
      <c r="S406" t="str">
        <f t="shared" si="199"/>
        <v>OK</v>
      </c>
      <c r="T406" t="s">
        <v>120</v>
      </c>
      <c r="U406" t="str">
        <f t="shared" si="190"/>
        <v>West Bengal</v>
      </c>
      <c r="V406" t="s">
        <v>121</v>
      </c>
      <c r="W406" t="str">
        <f t="shared" si="191"/>
        <v>Kolkata</v>
      </c>
      <c r="X406" t="str">
        <f t="shared" si="192"/>
        <v>Furniture</v>
      </c>
      <c r="Y406" t="s">
        <v>44</v>
      </c>
      <c r="Z406" t="s">
        <v>75</v>
      </c>
      <c r="AA406" t="str">
        <f t="shared" si="193"/>
        <v>Chairs</v>
      </c>
      <c r="AB406" t="s">
        <v>3367</v>
      </c>
      <c r="AC406" t="s">
        <v>32</v>
      </c>
      <c r="AD406" t="str">
        <f t="shared" si="213"/>
        <v>Second Class</v>
      </c>
      <c r="AE406" t="str">
        <f t="shared" si="200"/>
        <v>OK</v>
      </c>
      <c r="AF406">
        <v>9</v>
      </c>
      <c r="AG406">
        <v>481.51</v>
      </c>
      <c r="AI406">
        <f t="shared" si="201"/>
        <v>0</v>
      </c>
      <c r="AJ406" t="str">
        <f t="shared" si="202"/>
        <v>Missing Discount</v>
      </c>
      <c r="AK406">
        <v>4333.59</v>
      </c>
      <c r="AL406">
        <v>2533.59</v>
      </c>
      <c r="AM406">
        <v>1800</v>
      </c>
      <c r="AN406" t="s">
        <v>123</v>
      </c>
      <c r="AO406" t="str">
        <f t="shared" si="194"/>
        <v>REFUNDED</v>
      </c>
      <c r="AP406" t="str">
        <f t="shared" si="203"/>
        <v>REFUNDED_PAYMENT</v>
      </c>
      <c r="AQ406" t="s">
        <v>77</v>
      </c>
      <c r="AR406" t="str">
        <f t="shared" si="195"/>
        <v>CANCELLED</v>
      </c>
      <c r="AS406" t="str">
        <f t="shared" si="204"/>
        <v>EXCLUDE_FROM_SALES</v>
      </c>
      <c r="AT406">
        <f t="shared" si="205"/>
        <v>4333.59</v>
      </c>
      <c r="AU406">
        <f t="shared" si="206"/>
        <v>1800</v>
      </c>
      <c r="AV406" s="6">
        <f t="shared" si="207"/>
        <v>0.40019245013949184</v>
      </c>
      <c r="AW406" t="str">
        <f t="shared" si="208"/>
        <v>INVALID</v>
      </c>
      <c r="AX406" s="10" t="str">
        <f t="shared" si="209"/>
        <v>MATCH</v>
      </c>
      <c r="AY406" t="str">
        <f t="shared" si="210"/>
        <v>MATCH</v>
      </c>
    </row>
    <row r="407" spans="1:51">
      <c r="A407" t="s">
        <v>3372</v>
      </c>
      <c r="B407">
        <f t="shared" si="186"/>
        <v>1</v>
      </c>
      <c r="C407" t="s">
        <v>3373</v>
      </c>
      <c r="D407" s="3">
        <v>45567</v>
      </c>
      <c r="E407" t="str">
        <f t="shared" si="187"/>
        <v>2024/10/02</v>
      </c>
      <c r="F407" t="str">
        <f t="shared" si="196"/>
        <v>October</v>
      </c>
      <c r="G407">
        <f t="shared" si="197"/>
        <v>2024</v>
      </c>
      <c r="H407" t="s">
        <v>1610</v>
      </c>
      <c r="I407" s="4">
        <v>45338</v>
      </c>
      <c r="J407" s="8">
        <f t="shared" si="188"/>
        <v>-229</v>
      </c>
      <c r="K407" s="8" t="str">
        <f t="shared" si="198"/>
        <v>INVAILD_SHIPPING</v>
      </c>
      <c r="L407" t="s">
        <v>3374</v>
      </c>
      <c r="M407" t="s">
        <v>24</v>
      </c>
      <c r="N407" t="str">
        <f t="shared" si="189"/>
        <v>Karan Malhotra</v>
      </c>
      <c r="O407" t="s">
        <v>25</v>
      </c>
      <c r="P407" t="str">
        <f t="shared" si="211"/>
        <v>Consumer</v>
      </c>
      <c r="Q407" t="s">
        <v>72</v>
      </c>
      <c r="R407" t="str">
        <f t="shared" si="212"/>
        <v>West</v>
      </c>
      <c r="S407" t="str">
        <f t="shared" si="199"/>
        <v>OK</v>
      </c>
      <c r="T407" t="s">
        <v>248</v>
      </c>
      <c r="U407" t="str">
        <f t="shared" si="190"/>
        <v>Goa</v>
      </c>
      <c r="V407" t="s">
        <v>249</v>
      </c>
      <c r="W407" t="str">
        <f t="shared" si="191"/>
        <v>Panaji</v>
      </c>
      <c r="X407" t="str">
        <f t="shared" si="192"/>
        <v>Furniture</v>
      </c>
      <c r="Y407" t="s">
        <v>44</v>
      </c>
      <c r="Z407" t="s">
        <v>64</v>
      </c>
      <c r="AA407" t="str">
        <f t="shared" si="193"/>
        <v>Furnishings</v>
      </c>
      <c r="AB407" t="s">
        <v>3375</v>
      </c>
      <c r="AC407" t="s">
        <v>32</v>
      </c>
      <c r="AD407" t="str">
        <f t="shared" si="213"/>
        <v>Second Class</v>
      </c>
      <c r="AE407" t="str">
        <f t="shared" si="200"/>
        <v>OK</v>
      </c>
      <c r="AF407">
        <v>3</v>
      </c>
      <c r="AG407">
        <v>253.43</v>
      </c>
      <c r="AH407">
        <v>0</v>
      </c>
      <c r="AI407">
        <f t="shared" si="201"/>
        <v>0</v>
      </c>
      <c r="AJ407" t="str">
        <f t="shared" si="202"/>
        <v>OK</v>
      </c>
      <c r="AK407">
        <v>760.29</v>
      </c>
      <c r="AL407">
        <v>497.77</v>
      </c>
      <c r="AM407">
        <v>262.52</v>
      </c>
      <c r="AN407" t="s">
        <v>33</v>
      </c>
      <c r="AO407" t="str">
        <f t="shared" si="194"/>
        <v>PAID</v>
      </c>
      <c r="AP407" t="str">
        <f t="shared" si="203"/>
        <v>OK</v>
      </c>
      <c r="AQ407" t="s">
        <v>34</v>
      </c>
      <c r="AR407" t="str">
        <f t="shared" si="195"/>
        <v>COMPLETED</v>
      </c>
      <c r="AS407" t="str">
        <f t="shared" si="204"/>
        <v>OK</v>
      </c>
      <c r="AT407">
        <f t="shared" si="205"/>
        <v>760.29</v>
      </c>
      <c r="AU407">
        <f t="shared" si="206"/>
        <v>262.52</v>
      </c>
      <c r="AV407" s="6">
        <f t="shared" si="207"/>
        <v>0.99209512159833724</v>
      </c>
      <c r="AW407" t="str">
        <f t="shared" si="208"/>
        <v>CLEAN</v>
      </c>
      <c r="AX407" s="10" t="str">
        <f t="shared" si="209"/>
        <v>MATCH</v>
      </c>
      <c r="AY407" t="str">
        <f t="shared" si="210"/>
        <v>MATCH</v>
      </c>
    </row>
    <row r="408" spans="1:51">
      <c r="A408" t="s">
        <v>3380</v>
      </c>
      <c r="B408">
        <f t="shared" si="186"/>
        <v>1</v>
      </c>
      <c r="C408" t="s">
        <v>3381</v>
      </c>
      <c r="D408" s="3">
        <v>45308</v>
      </c>
      <c r="E408" t="str">
        <f t="shared" si="187"/>
        <v>2024/01/17</v>
      </c>
      <c r="F408" t="str">
        <f t="shared" si="196"/>
        <v>January</v>
      </c>
      <c r="G408">
        <f t="shared" si="197"/>
        <v>2024</v>
      </c>
      <c r="H408" t="s">
        <v>3382</v>
      </c>
      <c r="I408" s="4">
        <v>45314</v>
      </c>
      <c r="J408" s="8">
        <f t="shared" si="188"/>
        <v>6</v>
      </c>
      <c r="K408" s="8" t="str">
        <f t="shared" si="198"/>
        <v>OK</v>
      </c>
      <c r="L408" t="s">
        <v>3383</v>
      </c>
      <c r="M408" t="s">
        <v>365</v>
      </c>
      <c r="N408" t="str">
        <f t="shared" si="189"/>
        <v>Kabir Singh</v>
      </c>
      <c r="O408" t="s">
        <v>114</v>
      </c>
      <c r="P408" t="str">
        <f t="shared" si="211"/>
        <v>Home Office</v>
      </c>
      <c r="Q408" t="s">
        <v>72</v>
      </c>
      <c r="R408" t="str">
        <f t="shared" si="212"/>
        <v>West</v>
      </c>
      <c r="S408" t="str">
        <f t="shared" si="199"/>
        <v>OK</v>
      </c>
      <c r="T408" t="s">
        <v>234</v>
      </c>
      <c r="U408" t="str">
        <f t="shared" si="190"/>
        <v>Gujarat</v>
      </c>
      <c r="V408" t="s">
        <v>235</v>
      </c>
      <c r="W408" t="str">
        <f t="shared" si="191"/>
        <v>Ahmedabad</v>
      </c>
      <c r="X408" t="str">
        <f t="shared" si="192"/>
        <v>Technology</v>
      </c>
      <c r="Y408" t="s">
        <v>85</v>
      </c>
      <c r="Z408" t="s">
        <v>222</v>
      </c>
      <c r="AA408" t="str">
        <f t="shared" si="193"/>
        <v>Phones</v>
      </c>
      <c r="AB408" t="s">
        <v>3384</v>
      </c>
      <c r="AC408" t="s">
        <v>66</v>
      </c>
      <c r="AD408" t="str">
        <f t="shared" si="213"/>
        <v>Standard Class</v>
      </c>
      <c r="AE408" t="str">
        <f t="shared" si="200"/>
        <v>OK</v>
      </c>
      <c r="AF408">
        <v>5</v>
      </c>
      <c r="AG408">
        <v>2018</v>
      </c>
      <c r="AH408">
        <v>0.2</v>
      </c>
      <c r="AI408">
        <f t="shared" si="201"/>
        <v>0.2</v>
      </c>
      <c r="AJ408" t="str">
        <f t="shared" si="202"/>
        <v>OK</v>
      </c>
      <c r="AK408">
        <v>8072</v>
      </c>
      <c r="AL408">
        <v>5379.22</v>
      </c>
      <c r="AM408">
        <v>2692.78</v>
      </c>
      <c r="AN408" t="s">
        <v>136</v>
      </c>
      <c r="AO408" t="str">
        <f t="shared" si="194"/>
        <v>PENDING</v>
      </c>
      <c r="AP408" t="str">
        <f t="shared" si="203"/>
        <v>OK</v>
      </c>
      <c r="AQ408" t="s">
        <v>124</v>
      </c>
      <c r="AR408" t="str">
        <f t="shared" si="195"/>
        <v>RETURNED</v>
      </c>
      <c r="AS408" t="str">
        <f t="shared" si="204"/>
        <v>RETURNED_ORDER</v>
      </c>
      <c r="AT408">
        <f t="shared" si="205"/>
        <v>8072</v>
      </c>
      <c r="AU408">
        <f t="shared" si="206"/>
        <v>2692.7799999999997</v>
      </c>
      <c r="AV408" s="6">
        <f t="shared" si="207"/>
        <v>0.68249225718533235</v>
      </c>
      <c r="AW408" t="str">
        <f t="shared" si="208"/>
        <v>CLEAN</v>
      </c>
      <c r="AX408" s="10" t="str">
        <f t="shared" si="209"/>
        <v>MATCH</v>
      </c>
      <c r="AY408" t="str">
        <f t="shared" si="210"/>
        <v>MATCH</v>
      </c>
    </row>
    <row r="409" spans="1:51">
      <c r="A409" t="s">
        <v>3385</v>
      </c>
      <c r="B409">
        <f t="shared" si="186"/>
        <v>1</v>
      </c>
      <c r="C409" t="s">
        <v>3386</v>
      </c>
      <c r="D409" s="2">
        <v>45578</v>
      </c>
      <c r="E409" t="str">
        <f t="shared" si="187"/>
        <v>2024/10/13</v>
      </c>
      <c r="F409" t="str">
        <f t="shared" si="196"/>
        <v>October</v>
      </c>
      <c r="G409">
        <f t="shared" si="197"/>
        <v>2024</v>
      </c>
      <c r="H409" t="s">
        <v>3386</v>
      </c>
      <c r="I409" s="4">
        <v>45578</v>
      </c>
      <c r="J409" s="8">
        <f t="shared" si="188"/>
        <v>0</v>
      </c>
      <c r="K409" s="8" t="str">
        <f t="shared" si="198"/>
        <v>OK</v>
      </c>
      <c r="L409" t="s">
        <v>3387</v>
      </c>
      <c r="M409" t="s">
        <v>161</v>
      </c>
      <c r="N409" t="str">
        <f t="shared" si="189"/>
        <v>Aarav Sharma</v>
      </c>
      <c r="O409" t="s">
        <v>40</v>
      </c>
      <c r="P409" t="str">
        <f t="shared" si="211"/>
        <v>Small Business</v>
      </c>
      <c r="Q409" t="s">
        <v>41</v>
      </c>
      <c r="R409" t="str">
        <f t="shared" si="212"/>
        <v>East</v>
      </c>
      <c r="S409" t="str">
        <f t="shared" si="199"/>
        <v>OK</v>
      </c>
      <c r="T409" t="s">
        <v>215</v>
      </c>
      <c r="U409" t="str">
        <f t="shared" si="190"/>
        <v>Assam</v>
      </c>
      <c r="V409" t="s">
        <v>216</v>
      </c>
      <c r="W409" t="str">
        <f t="shared" si="191"/>
        <v>Guwahati</v>
      </c>
      <c r="X409" t="str">
        <f t="shared" si="192"/>
        <v>Technology</v>
      </c>
      <c r="Y409" t="s">
        <v>85</v>
      </c>
      <c r="Z409" t="s">
        <v>86</v>
      </c>
      <c r="AA409" t="str">
        <f t="shared" si="193"/>
        <v>Accessories</v>
      </c>
      <c r="AB409" t="s">
        <v>3388</v>
      </c>
      <c r="AC409" t="s">
        <v>32</v>
      </c>
      <c r="AD409" t="str">
        <f t="shared" si="213"/>
        <v>Second Class</v>
      </c>
      <c r="AE409" t="str">
        <f t="shared" si="200"/>
        <v>OK</v>
      </c>
      <c r="AF409">
        <v>8</v>
      </c>
      <c r="AG409">
        <v>3730.66</v>
      </c>
      <c r="AH409">
        <v>0.05</v>
      </c>
      <c r="AI409">
        <f t="shared" si="201"/>
        <v>0.05</v>
      </c>
      <c r="AJ409" t="str">
        <f t="shared" si="202"/>
        <v>OK</v>
      </c>
      <c r="AK409">
        <v>28353.02</v>
      </c>
      <c r="AL409">
        <v>19257.849999999999</v>
      </c>
      <c r="AM409">
        <v>9095.17</v>
      </c>
      <c r="AN409" t="s">
        <v>33</v>
      </c>
      <c r="AO409" t="str">
        <f t="shared" si="194"/>
        <v>PAID</v>
      </c>
      <c r="AP409" t="str">
        <f t="shared" si="203"/>
        <v>OK</v>
      </c>
      <c r="AQ409" t="s">
        <v>34</v>
      </c>
      <c r="AR409" t="str">
        <f t="shared" si="195"/>
        <v>COMPLETED</v>
      </c>
      <c r="AS409" t="str">
        <f t="shared" si="204"/>
        <v>OK</v>
      </c>
      <c r="AT409">
        <f t="shared" si="205"/>
        <v>28353.015999999996</v>
      </c>
      <c r="AU409">
        <f t="shared" si="206"/>
        <v>9095.1659999999974</v>
      </c>
      <c r="AV409" s="6">
        <f t="shared" si="207"/>
        <v>0.20673250422459472</v>
      </c>
      <c r="AW409" t="str">
        <f t="shared" si="208"/>
        <v>CLEAN</v>
      </c>
      <c r="AX409" s="10" t="str">
        <f t="shared" si="209"/>
        <v>MATCH</v>
      </c>
      <c r="AY409" t="str">
        <f t="shared" si="210"/>
        <v>MATCH</v>
      </c>
    </row>
    <row r="410" spans="1:51">
      <c r="A410" t="s">
        <v>3389</v>
      </c>
      <c r="B410">
        <f t="shared" si="186"/>
        <v>1</v>
      </c>
      <c r="C410" t="s">
        <v>3051</v>
      </c>
      <c r="D410" s="3">
        <v>45383</v>
      </c>
      <c r="E410" t="str">
        <f t="shared" si="187"/>
        <v>2024/04/01</v>
      </c>
      <c r="F410" t="str">
        <f t="shared" si="196"/>
        <v>April</v>
      </c>
      <c r="G410">
        <f t="shared" si="197"/>
        <v>2024</v>
      </c>
      <c r="H410" t="s">
        <v>1761</v>
      </c>
      <c r="I410" s="4">
        <v>45474</v>
      </c>
      <c r="J410" s="8">
        <f t="shared" si="188"/>
        <v>91</v>
      </c>
      <c r="K410" s="8" t="str">
        <f t="shared" si="198"/>
        <v>OK</v>
      </c>
      <c r="L410" t="s">
        <v>3390</v>
      </c>
      <c r="M410" t="s">
        <v>167</v>
      </c>
      <c r="N410" t="str">
        <f t="shared" si="189"/>
        <v>Sneha Kapoor</v>
      </c>
      <c r="O410" t="s">
        <v>40</v>
      </c>
      <c r="P410" t="str">
        <f t="shared" si="211"/>
        <v>Small Business</v>
      </c>
      <c r="Q410" t="s">
        <v>61</v>
      </c>
      <c r="R410" t="str">
        <f t="shared" si="212"/>
        <v>South</v>
      </c>
      <c r="S410" t="str">
        <f t="shared" si="199"/>
        <v>OK</v>
      </c>
      <c r="T410" t="s">
        <v>228</v>
      </c>
      <c r="U410" t="str">
        <f t="shared" si="190"/>
        <v>Karnataka</v>
      </c>
      <c r="V410" t="s">
        <v>229</v>
      </c>
      <c r="W410" t="str">
        <f t="shared" si="191"/>
        <v>Bengaluru</v>
      </c>
      <c r="X410" t="str">
        <f t="shared" si="192"/>
        <v>Technology</v>
      </c>
      <c r="Y410" t="s">
        <v>85</v>
      </c>
      <c r="Z410" t="s">
        <v>381</v>
      </c>
      <c r="AA410" t="str">
        <f t="shared" si="193"/>
        <v>Machines</v>
      </c>
      <c r="AB410" t="s">
        <v>3391</v>
      </c>
      <c r="AC410" t="s">
        <v>55</v>
      </c>
      <c r="AD410" t="str">
        <f t="shared" si="213"/>
        <v>First Class</v>
      </c>
      <c r="AE410" t="str">
        <f t="shared" si="200"/>
        <v>OK</v>
      </c>
      <c r="AF410">
        <v>1</v>
      </c>
      <c r="AG410">
        <v>2363.02</v>
      </c>
      <c r="AH410">
        <v>0.15</v>
      </c>
      <c r="AI410">
        <f t="shared" si="201"/>
        <v>0.15</v>
      </c>
      <c r="AJ410" t="str">
        <f t="shared" si="202"/>
        <v>OK</v>
      </c>
      <c r="AK410">
        <v>2008.57</v>
      </c>
      <c r="AL410">
        <v>1194.83</v>
      </c>
      <c r="AM410">
        <v>813.74</v>
      </c>
      <c r="AN410" t="s">
        <v>33</v>
      </c>
      <c r="AO410" t="str">
        <f t="shared" si="194"/>
        <v>PAID</v>
      </c>
      <c r="AP410" t="str">
        <f t="shared" si="203"/>
        <v>OK</v>
      </c>
      <c r="AQ410" t="s">
        <v>34</v>
      </c>
      <c r="AR410" t="str">
        <f t="shared" si="195"/>
        <v>COMPLETED</v>
      </c>
      <c r="AS410" t="str">
        <f t="shared" si="204"/>
        <v>OK</v>
      </c>
      <c r="AT410">
        <f t="shared" si="205"/>
        <v>2008.567</v>
      </c>
      <c r="AU410">
        <f t="shared" si="206"/>
        <v>813.73700000000008</v>
      </c>
      <c r="AV410" s="6">
        <f t="shared" si="207"/>
        <v>0.56515515788121629</v>
      </c>
      <c r="AW410" t="str">
        <f t="shared" si="208"/>
        <v>CLEAN</v>
      </c>
      <c r="AX410" s="10" t="str">
        <f t="shared" si="209"/>
        <v>MATCH</v>
      </c>
      <c r="AY410" t="str">
        <f t="shared" si="210"/>
        <v>MATCH</v>
      </c>
    </row>
    <row r="411" spans="1:51">
      <c r="A411" t="s">
        <v>3401</v>
      </c>
      <c r="B411">
        <f t="shared" si="186"/>
        <v>1</v>
      </c>
      <c r="C411" t="s">
        <v>3402</v>
      </c>
      <c r="D411" s="3">
        <v>45368</v>
      </c>
      <c r="E411" t="str">
        <f t="shared" si="187"/>
        <v>2024/03/17</v>
      </c>
      <c r="F411" t="str">
        <f t="shared" si="196"/>
        <v>March</v>
      </c>
      <c r="G411">
        <f t="shared" si="197"/>
        <v>2024</v>
      </c>
      <c r="H411" t="s">
        <v>3403</v>
      </c>
      <c r="I411" s="4">
        <v>45370</v>
      </c>
      <c r="J411" s="8">
        <f t="shared" si="188"/>
        <v>2</v>
      </c>
      <c r="K411" s="8" t="str">
        <f t="shared" si="198"/>
        <v>OK</v>
      </c>
      <c r="L411" t="s">
        <v>3404</v>
      </c>
      <c r="M411" t="s">
        <v>71</v>
      </c>
      <c r="N411" t="str">
        <f t="shared" si="189"/>
        <v>Ananya Rao</v>
      </c>
      <c r="O411" t="s">
        <v>107</v>
      </c>
      <c r="P411" t="str">
        <f t="shared" si="211"/>
        <v>Corporate</v>
      </c>
      <c r="Q411" t="s">
        <v>41</v>
      </c>
      <c r="R411" t="str">
        <f t="shared" si="212"/>
        <v>East</v>
      </c>
      <c r="S411" t="str">
        <f t="shared" si="199"/>
        <v>OK</v>
      </c>
      <c r="T411" t="s">
        <v>42</v>
      </c>
      <c r="U411" t="str">
        <f t="shared" si="190"/>
        <v>Odisha</v>
      </c>
      <c r="V411" t="s">
        <v>43</v>
      </c>
      <c r="W411" t="str">
        <f t="shared" si="191"/>
        <v>Bhubaneswar</v>
      </c>
      <c r="X411" t="str">
        <f t="shared" si="192"/>
        <v>Office Supplies</v>
      </c>
      <c r="Y411" t="s">
        <v>29</v>
      </c>
      <c r="Z411" t="s">
        <v>197</v>
      </c>
      <c r="AA411" t="str">
        <f t="shared" si="193"/>
        <v>Binders</v>
      </c>
      <c r="AB411" t="s">
        <v>3405</v>
      </c>
      <c r="AC411" t="s">
        <v>55</v>
      </c>
      <c r="AD411" t="str">
        <f t="shared" si="213"/>
        <v>First Class</v>
      </c>
      <c r="AE411" t="str">
        <f t="shared" si="200"/>
        <v>OK</v>
      </c>
      <c r="AF411">
        <v>4</v>
      </c>
      <c r="AG411">
        <v>4376.68</v>
      </c>
      <c r="AH411">
        <v>0.1</v>
      </c>
      <c r="AI411">
        <f t="shared" si="201"/>
        <v>0.1</v>
      </c>
      <c r="AJ411" t="str">
        <f t="shared" si="202"/>
        <v>OK</v>
      </c>
      <c r="AK411">
        <v>15756.05</v>
      </c>
      <c r="AL411">
        <v>10245.44</v>
      </c>
      <c r="AM411">
        <v>5510.61</v>
      </c>
      <c r="AN411" t="s">
        <v>33</v>
      </c>
      <c r="AO411" t="str">
        <f t="shared" si="194"/>
        <v>PAID</v>
      </c>
      <c r="AP411" t="str">
        <f t="shared" si="203"/>
        <v>OK</v>
      </c>
      <c r="AQ411" t="s">
        <v>34</v>
      </c>
      <c r="AR411" t="str">
        <f t="shared" si="195"/>
        <v>COMPLETED</v>
      </c>
      <c r="AS411" t="str">
        <f t="shared" si="204"/>
        <v>OK</v>
      </c>
      <c r="AT411">
        <f t="shared" si="205"/>
        <v>15756.048000000001</v>
      </c>
      <c r="AU411">
        <f t="shared" si="206"/>
        <v>5510.6080000000002</v>
      </c>
      <c r="AV411" s="6">
        <f t="shared" si="207"/>
        <v>0.47103067977452223</v>
      </c>
      <c r="AW411" t="str">
        <f t="shared" si="208"/>
        <v>CLEAN</v>
      </c>
      <c r="AX411" s="10" t="str">
        <f t="shared" si="209"/>
        <v>MATCH</v>
      </c>
      <c r="AY411" t="str">
        <f t="shared" si="210"/>
        <v>MATCH</v>
      </c>
    </row>
    <row r="412" spans="1:51">
      <c r="A412" t="s">
        <v>3406</v>
      </c>
      <c r="B412">
        <f t="shared" si="186"/>
        <v>1</v>
      </c>
      <c r="C412" t="s">
        <v>3407</v>
      </c>
      <c r="D412" s="3">
        <v>45624</v>
      </c>
      <c r="E412" t="str">
        <f t="shared" si="187"/>
        <v>2024/11/28</v>
      </c>
      <c r="F412" t="str">
        <f t="shared" si="196"/>
        <v>November</v>
      </c>
      <c r="G412">
        <f t="shared" si="197"/>
        <v>2024</v>
      </c>
      <c r="H412" t="s">
        <v>2820</v>
      </c>
      <c r="I412" s="4">
        <v>45632</v>
      </c>
      <c r="J412" s="8">
        <f t="shared" si="188"/>
        <v>8</v>
      </c>
      <c r="K412" s="8" t="str">
        <f t="shared" si="198"/>
        <v>OK</v>
      </c>
      <c r="L412" t="s">
        <v>3408</v>
      </c>
      <c r="M412" t="s">
        <v>60</v>
      </c>
      <c r="N412" t="str">
        <f t="shared" si="189"/>
        <v>Arjun Bose</v>
      </c>
      <c r="O412" t="s">
        <v>40</v>
      </c>
      <c r="P412" t="str">
        <f t="shared" si="211"/>
        <v>Small Business</v>
      </c>
      <c r="Q412" t="s">
        <v>26</v>
      </c>
      <c r="R412" t="str">
        <f t="shared" si="212"/>
        <v>North</v>
      </c>
      <c r="S412" t="str">
        <f t="shared" si="199"/>
        <v>OK</v>
      </c>
      <c r="T412" t="s">
        <v>153</v>
      </c>
      <c r="U412" t="str">
        <f t="shared" si="190"/>
        <v>Punjab</v>
      </c>
      <c r="V412" t="s">
        <v>154</v>
      </c>
      <c r="W412" t="str">
        <f t="shared" si="191"/>
        <v>Ludhiana</v>
      </c>
      <c r="X412" t="str">
        <f t="shared" si="192"/>
        <v>Technology</v>
      </c>
      <c r="Y412" t="s">
        <v>85</v>
      </c>
      <c r="Z412" t="s">
        <v>222</v>
      </c>
      <c r="AA412" t="str">
        <f t="shared" si="193"/>
        <v>Phones</v>
      </c>
      <c r="AB412" t="s">
        <v>3409</v>
      </c>
      <c r="AC412" t="s">
        <v>66</v>
      </c>
      <c r="AD412" t="str">
        <f t="shared" si="213"/>
        <v>Standard Class</v>
      </c>
      <c r="AE412" t="str">
        <f t="shared" si="200"/>
        <v>OK</v>
      </c>
      <c r="AF412">
        <v>6</v>
      </c>
      <c r="AG412">
        <v>2464.63</v>
      </c>
      <c r="AH412">
        <v>0</v>
      </c>
      <c r="AI412">
        <f t="shared" si="201"/>
        <v>0</v>
      </c>
      <c r="AJ412" t="str">
        <f t="shared" si="202"/>
        <v>OK</v>
      </c>
      <c r="AK412">
        <v>14787.78</v>
      </c>
      <c r="AL412">
        <v>8596.65</v>
      </c>
      <c r="AM412">
        <v>6191.13</v>
      </c>
      <c r="AN412" t="s">
        <v>33</v>
      </c>
      <c r="AO412" t="str">
        <f t="shared" si="194"/>
        <v>PAID</v>
      </c>
      <c r="AP412" t="str">
        <f t="shared" si="203"/>
        <v>OK</v>
      </c>
      <c r="AQ412" t="s">
        <v>34</v>
      </c>
      <c r="AR412" t="str">
        <f t="shared" si="195"/>
        <v>COMPLETED</v>
      </c>
      <c r="AS412" t="str">
        <f t="shared" si="204"/>
        <v>OK</v>
      </c>
      <c r="AT412">
        <f t="shared" si="205"/>
        <v>14787.78</v>
      </c>
      <c r="AU412">
        <f t="shared" si="206"/>
        <v>6191.130000000001</v>
      </c>
      <c r="AV412" s="6">
        <f t="shared" si="207"/>
        <v>2.369152097204583E-2</v>
      </c>
      <c r="AW412" t="str">
        <f t="shared" si="208"/>
        <v>CLEAN</v>
      </c>
      <c r="AX412" s="10" t="str">
        <f t="shared" si="209"/>
        <v>MATCH</v>
      </c>
      <c r="AY412" t="str">
        <f t="shared" si="210"/>
        <v>MATCH</v>
      </c>
    </row>
    <row r="413" spans="1:51">
      <c r="A413" t="s">
        <v>3410</v>
      </c>
      <c r="B413">
        <f t="shared" si="186"/>
        <v>1</v>
      </c>
      <c r="C413" t="s">
        <v>1831</v>
      </c>
      <c r="D413" s="3">
        <v>45464</v>
      </c>
      <c r="E413" t="str">
        <f t="shared" si="187"/>
        <v>2024/06/21</v>
      </c>
      <c r="F413" t="str">
        <f t="shared" si="196"/>
        <v>June</v>
      </c>
      <c r="G413">
        <f t="shared" si="197"/>
        <v>2024</v>
      </c>
      <c r="H413" t="s">
        <v>3411</v>
      </c>
      <c r="I413" s="4">
        <v>45471</v>
      </c>
      <c r="J413" s="8">
        <f t="shared" si="188"/>
        <v>7</v>
      </c>
      <c r="K413" s="8" t="str">
        <f t="shared" si="198"/>
        <v>OK</v>
      </c>
      <c r="L413" t="s">
        <v>3412</v>
      </c>
      <c r="M413" t="s">
        <v>161</v>
      </c>
      <c r="N413" t="str">
        <f t="shared" si="189"/>
        <v>Aarav Sharma</v>
      </c>
      <c r="O413" t="s">
        <v>114</v>
      </c>
      <c r="P413" t="str">
        <f t="shared" si="211"/>
        <v>Home Office</v>
      </c>
      <c r="Q413" t="s">
        <v>26</v>
      </c>
      <c r="R413" t="str">
        <f t="shared" si="212"/>
        <v>North</v>
      </c>
      <c r="S413" t="str">
        <f t="shared" si="199"/>
        <v>OK</v>
      </c>
      <c r="T413" t="s">
        <v>27</v>
      </c>
      <c r="U413" t="str">
        <f t="shared" si="190"/>
        <v>Rajasthan</v>
      </c>
      <c r="V413" t="s">
        <v>28</v>
      </c>
      <c r="W413" t="str">
        <f t="shared" si="191"/>
        <v>Jaipur</v>
      </c>
      <c r="X413" t="str">
        <f t="shared" si="192"/>
        <v>Furniture</v>
      </c>
      <c r="Y413" t="s">
        <v>44</v>
      </c>
      <c r="Z413" t="s">
        <v>64</v>
      </c>
      <c r="AA413" t="str">
        <f t="shared" si="193"/>
        <v>Furnishings</v>
      </c>
      <c r="AB413" t="s">
        <v>3413</v>
      </c>
      <c r="AC413" t="s">
        <v>55</v>
      </c>
      <c r="AD413" t="str">
        <f t="shared" si="213"/>
        <v>First Class</v>
      </c>
      <c r="AE413" t="str">
        <f t="shared" si="200"/>
        <v>OK</v>
      </c>
      <c r="AF413">
        <v>9</v>
      </c>
      <c r="AG413">
        <v>2797.96</v>
      </c>
      <c r="AH413">
        <v>0</v>
      </c>
      <c r="AI413">
        <f t="shared" si="201"/>
        <v>0</v>
      </c>
      <c r="AJ413" t="str">
        <f t="shared" si="202"/>
        <v>OK</v>
      </c>
      <c r="AK413">
        <v>25181.64</v>
      </c>
      <c r="AL413">
        <v>15337.9</v>
      </c>
      <c r="AM413">
        <v>9843.74</v>
      </c>
      <c r="AN413" t="s">
        <v>33</v>
      </c>
      <c r="AO413" t="str">
        <f t="shared" si="194"/>
        <v>PAID</v>
      </c>
      <c r="AP413" t="str">
        <f t="shared" si="203"/>
        <v>OK</v>
      </c>
      <c r="AQ413" t="s">
        <v>34</v>
      </c>
      <c r="AR413" t="str">
        <f t="shared" si="195"/>
        <v>COMPLETED</v>
      </c>
      <c r="AS413" t="str">
        <f t="shared" si="204"/>
        <v>OK</v>
      </c>
      <c r="AT413">
        <f t="shared" si="205"/>
        <v>25181.64</v>
      </c>
      <c r="AU413">
        <f t="shared" si="206"/>
        <v>9843.74</v>
      </c>
      <c r="AV413" s="6">
        <f t="shared" si="207"/>
        <v>0.12139906296809899</v>
      </c>
      <c r="AW413" t="str">
        <f t="shared" si="208"/>
        <v>CLEAN</v>
      </c>
      <c r="AX413" s="10" t="str">
        <f t="shared" si="209"/>
        <v>MATCH</v>
      </c>
      <c r="AY413" t="str">
        <f t="shared" si="210"/>
        <v>MATCH</v>
      </c>
    </row>
    <row r="414" spans="1:51">
      <c r="A414" t="s">
        <v>3414</v>
      </c>
      <c r="B414">
        <f t="shared" si="186"/>
        <v>1</v>
      </c>
      <c r="C414" t="s">
        <v>3415</v>
      </c>
      <c r="D414" s="3">
        <v>45528</v>
      </c>
      <c r="E414" t="str">
        <f t="shared" si="187"/>
        <v>2024/08/24</v>
      </c>
      <c r="F414" t="str">
        <f t="shared" si="196"/>
        <v>August</v>
      </c>
      <c r="G414">
        <f t="shared" si="197"/>
        <v>2024</v>
      </c>
      <c r="H414" t="s">
        <v>3415</v>
      </c>
      <c r="I414" s="4">
        <v>45528</v>
      </c>
      <c r="J414" s="8">
        <f t="shared" si="188"/>
        <v>0</v>
      </c>
      <c r="K414" s="8" t="str">
        <f t="shared" si="198"/>
        <v>OK</v>
      </c>
      <c r="L414" t="s">
        <v>3416</v>
      </c>
      <c r="M414" t="s">
        <v>71</v>
      </c>
      <c r="N414" t="str">
        <f t="shared" si="189"/>
        <v>Ananya Rao</v>
      </c>
      <c r="O414" t="s">
        <v>40</v>
      </c>
      <c r="P414" t="str">
        <f t="shared" si="211"/>
        <v>Small Business</v>
      </c>
      <c r="Q414" t="s">
        <v>26</v>
      </c>
      <c r="R414" t="str">
        <f t="shared" si="212"/>
        <v>North</v>
      </c>
      <c r="S414" t="str">
        <f t="shared" si="199"/>
        <v>OK</v>
      </c>
      <c r="T414" t="s">
        <v>27</v>
      </c>
      <c r="U414" t="str">
        <f t="shared" si="190"/>
        <v>Rajasthan</v>
      </c>
      <c r="V414" t="s">
        <v>28</v>
      </c>
      <c r="W414" t="str">
        <f t="shared" si="191"/>
        <v>Jaipur</v>
      </c>
      <c r="X414" t="str">
        <f t="shared" si="192"/>
        <v>Technology</v>
      </c>
      <c r="Y414" t="s">
        <v>85</v>
      </c>
      <c r="Z414" t="s">
        <v>86</v>
      </c>
      <c r="AA414" t="str">
        <f t="shared" si="193"/>
        <v>Accessories</v>
      </c>
      <c r="AB414" t="s">
        <v>3417</v>
      </c>
      <c r="AC414" t="s">
        <v>55</v>
      </c>
      <c r="AD414" t="str">
        <f t="shared" si="213"/>
        <v>First Class</v>
      </c>
      <c r="AE414" t="str">
        <f t="shared" si="200"/>
        <v>OK</v>
      </c>
      <c r="AF414">
        <v>4</v>
      </c>
      <c r="AG414">
        <v>2761.86</v>
      </c>
      <c r="AH414">
        <v>0.2</v>
      </c>
      <c r="AI414">
        <f t="shared" si="201"/>
        <v>0.2</v>
      </c>
      <c r="AJ414" t="str">
        <f t="shared" si="202"/>
        <v>OK</v>
      </c>
      <c r="AK414">
        <v>8837.9500000000007</v>
      </c>
      <c r="AL414">
        <v>6157.27</v>
      </c>
      <c r="AM414">
        <v>2680.68</v>
      </c>
      <c r="AN414" t="s">
        <v>33</v>
      </c>
      <c r="AO414" t="str">
        <f t="shared" si="194"/>
        <v>PAID</v>
      </c>
      <c r="AP414" t="str">
        <f t="shared" si="203"/>
        <v>OK</v>
      </c>
      <c r="AQ414" t="s">
        <v>34</v>
      </c>
      <c r="AR414" t="str">
        <f t="shared" si="195"/>
        <v>COMPLETED</v>
      </c>
      <c r="AS414" t="str">
        <f t="shared" si="204"/>
        <v>OK</v>
      </c>
      <c r="AT414">
        <f t="shared" si="205"/>
        <v>8837.9520000000011</v>
      </c>
      <c r="AU414">
        <f t="shared" si="206"/>
        <v>2680.6820000000007</v>
      </c>
      <c r="AV414" s="6">
        <f t="shared" si="207"/>
        <v>0.12167751080793378</v>
      </c>
      <c r="AW414" t="str">
        <f t="shared" si="208"/>
        <v>CLEAN</v>
      </c>
      <c r="AX414" s="10" t="str">
        <f t="shared" si="209"/>
        <v>MATCH</v>
      </c>
      <c r="AY414" t="str">
        <f t="shared" si="210"/>
        <v>MATCH</v>
      </c>
    </row>
    <row r="415" spans="1:51">
      <c r="A415" t="s">
        <v>3418</v>
      </c>
      <c r="B415">
        <f t="shared" si="186"/>
        <v>1</v>
      </c>
      <c r="C415" t="s">
        <v>3419</v>
      </c>
      <c r="D415" s="3">
        <v>45604</v>
      </c>
      <c r="E415" t="str">
        <f t="shared" si="187"/>
        <v>2024/11/08</v>
      </c>
      <c r="F415" t="str">
        <f t="shared" si="196"/>
        <v>November</v>
      </c>
      <c r="G415">
        <f t="shared" si="197"/>
        <v>2024</v>
      </c>
      <c r="H415" t="s">
        <v>2860</v>
      </c>
      <c r="I415" s="4">
        <v>45523</v>
      </c>
      <c r="J415" s="8">
        <f t="shared" si="188"/>
        <v>-81</v>
      </c>
      <c r="K415" s="8" t="str">
        <f t="shared" si="198"/>
        <v>INVAILD_SHIPPING</v>
      </c>
      <c r="L415" t="s">
        <v>3420</v>
      </c>
      <c r="M415" t="s">
        <v>39</v>
      </c>
      <c r="N415" t="str">
        <f t="shared" si="189"/>
        <v>Mira Das</v>
      </c>
      <c r="O415" t="s">
        <v>25</v>
      </c>
      <c r="P415" t="str">
        <f t="shared" si="211"/>
        <v>Consumer</v>
      </c>
      <c r="Q415" t="s">
        <v>72</v>
      </c>
      <c r="R415" t="str">
        <f t="shared" si="212"/>
        <v>West</v>
      </c>
      <c r="S415" t="str">
        <f t="shared" si="199"/>
        <v>OK</v>
      </c>
      <c r="T415" t="s">
        <v>73</v>
      </c>
      <c r="U415" t="str">
        <f t="shared" si="190"/>
        <v>Maharashtra</v>
      </c>
      <c r="V415" t="s">
        <v>74</v>
      </c>
      <c r="W415" t="str">
        <f t="shared" si="191"/>
        <v>Mumbai</v>
      </c>
      <c r="X415" t="str">
        <f t="shared" si="192"/>
        <v>Furniture</v>
      </c>
      <c r="Y415" t="s">
        <v>44</v>
      </c>
      <c r="Z415" t="s">
        <v>45</v>
      </c>
      <c r="AA415" t="str">
        <f t="shared" si="193"/>
        <v>Tables</v>
      </c>
      <c r="AB415" t="s">
        <v>3421</v>
      </c>
      <c r="AC415" t="s">
        <v>66</v>
      </c>
      <c r="AD415" t="str">
        <f t="shared" si="213"/>
        <v>Standard Class</v>
      </c>
      <c r="AE415" t="str">
        <f t="shared" si="200"/>
        <v>OK</v>
      </c>
      <c r="AF415">
        <v>6</v>
      </c>
      <c r="AG415">
        <v>1515.79</v>
      </c>
      <c r="AH415">
        <v>0.2</v>
      </c>
      <c r="AI415">
        <f t="shared" si="201"/>
        <v>0.2</v>
      </c>
      <c r="AJ415" t="str">
        <f t="shared" si="202"/>
        <v>OK</v>
      </c>
      <c r="AK415">
        <v>7275.79</v>
      </c>
      <c r="AL415">
        <v>6152.87</v>
      </c>
      <c r="AM415">
        <v>1122.92</v>
      </c>
      <c r="AN415" t="s">
        <v>33</v>
      </c>
      <c r="AO415" t="str">
        <f t="shared" si="194"/>
        <v>PAID</v>
      </c>
      <c r="AP415" t="str">
        <f t="shared" si="203"/>
        <v>OK</v>
      </c>
      <c r="AQ415" t="s">
        <v>34</v>
      </c>
      <c r="AR415" t="str">
        <f t="shared" si="195"/>
        <v>COMPLETED</v>
      </c>
      <c r="AS415" t="str">
        <f t="shared" si="204"/>
        <v>OK</v>
      </c>
      <c r="AT415">
        <f t="shared" si="205"/>
        <v>7275.7920000000004</v>
      </c>
      <c r="AU415">
        <f t="shared" si="206"/>
        <v>1122.9220000000005</v>
      </c>
      <c r="AV415" s="6">
        <f t="shared" si="207"/>
        <v>0.68789074783886051</v>
      </c>
      <c r="AW415" t="str">
        <f t="shared" si="208"/>
        <v>CLEAN</v>
      </c>
      <c r="AX415" s="10" t="str">
        <f t="shared" si="209"/>
        <v>MATCH</v>
      </c>
      <c r="AY415" t="str">
        <f t="shared" si="210"/>
        <v>MATCH</v>
      </c>
    </row>
    <row r="416" spans="1:51">
      <c r="A416" t="s">
        <v>3422</v>
      </c>
      <c r="B416">
        <f t="shared" si="186"/>
        <v>1</v>
      </c>
      <c r="C416" t="s">
        <v>2820</v>
      </c>
      <c r="D416" s="2">
        <v>45455</v>
      </c>
      <c r="E416" t="str">
        <f t="shared" si="187"/>
        <v>2024/06/12</v>
      </c>
      <c r="F416" t="str">
        <f t="shared" si="196"/>
        <v>June</v>
      </c>
      <c r="G416">
        <f t="shared" si="197"/>
        <v>2024</v>
      </c>
      <c r="H416" t="s">
        <v>3423</v>
      </c>
      <c r="I416" s="4">
        <v>45547</v>
      </c>
      <c r="J416" s="8">
        <f t="shared" si="188"/>
        <v>92</v>
      </c>
      <c r="K416" s="8" t="str">
        <f t="shared" si="198"/>
        <v>OK</v>
      </c>
      <c r="L416" t="s">
        <v>3424</v>
      </c>
      <c r="M416" t="s">
        <v>106</v>
      </c>
      <c r="N416" t="str">
        <f t="shared" si="189"/>
        <v>Aditi Sen</v>
      </c>
      <c r="O416" t="s">
        <v>25</v>
      </c>
      <c r="P416" t="str">
        <f t="shared" si="211"/>
        <v>Consumer</v>
      </c>
      <c r="Q416" t="s">
        <v>72</v>
      </c>
      <c r="R416" t="str">
        <f t="shared" si="212"/>
        <v>West</v>
      </c>
      <c r="S416" t="str">
        <f t="shared" si="199"/>
        <v>OK</v>
      </c>
      <c r="T416" t="s">
        <v>73</v>
      </c>
      <c r="U416" t="str">
        <f t="shared" si="190"/>
        <v>Maharashtra</v>
      </c>
      <c r="V416" t="s">
        <v>74</v>
      </c>
      <c r="W416" t="str">
        <f t="shared" si="191"/>
        <v>Mumbai</v>
      </c>
      <c r="X416" t="str">
        <f t="shared" si="192"/>
        <v>Furniture</v>
      </c>
      <c r="Y416" t="s">
        <v>44</v>
      </c>
      <c r="Z416" t="s">
        <v>75</v>
      </c>
      <c r="AA416" t="str">
        <f t="shared" si="193"/>
        <v>Chairs</v>
      </c>
      <c r="AB416" t="s">
        <v>3425</v>
      </c>
      <c r="AC416" t="s">
        <v>32</v>
      </c>
      <c r="AD416" t="str">
        <f t="shared" si="213"/>
        <v>Second Class</v>
      </c>
      <c r="AE416" t="str">
        <f t="shared" si="200"/>
        <v>OK</v>
      </c>
      <c r="AF416">
        <v>9</v>
      </c>
      <c r="AG416">
        <v>290.75</v>
      </c>
      <c r="AH416">
        <v>0.1</v>
      </c>
      <c r="AI416">
        <f t="shared" si="201"/>
        <v>0.1</v>
      </c>
      <c r="AJ416" t="str">
        <f t="shared" si="202"/>
        <v>OK</v>
      </c>
      <c r="AK416">
        <v>2355.08</v>
      </c>
      <c r="AL416">
        <v>1350.03</v>
      </c>
      <c r="AM416">
        <v>1005.05</v>
      </c>
      <c r="AN416" t="s">
        <v>33</v>
      </c>
      <c r="AO416" t="str">
        <f t="shared" si="194"/>
        <v>PAID</v>
      </c>
      <c r="AP416" t="str">
        <f t="shared" si="203"/>
        <v>OK</v>
      </c>
      <c r="AQ416" t="s">
        <v>34</v>
      </c>
      <c r="AR416" t="str">
        <f t="shared" si="195"/>
        <v>COMPLETED</v>
      </c>
      <c r="AS416" t="str">
        <f t="shared" si="204"/>
        <v>OK</v>
      </c>
      <c r="AT416">
        <f t="shared" si="205"/>
        <v>2355.0750000000003</v>
      </c>
      <c r="AU416">
        <f t="shared" si="206"/>
        <v>1005.0450000000003</v>
      </c>
      <c r="AV416" s="6">
        <f t="shared" si="207"/>
        <v>4.1806821438807686</v>
      </c>
      <c r="AW416" t="str">
        <f t="shared" si="208"/>
        <v>CLEAN</v>
      </c>
      <c r="AX416" s="10" t="str">
        <f t="shared" si="209"/>
        <v>MATCH</v>
      </c>
      <c r="AY416" t="str">
        <f t="shared" si="210"/>
        <v>MATCH</v>
      </c>
    </row>
    <row r="417" spans="1:51">
      <c r="A417" t="s">
        <v>3426</v>
      </c>
      <c r="B417">
        <f t="shared" si="186"/>
        <v>1</v>
      </c>
      <c r="C417" t="s">
        <v>2248</v>
      </c>
      <c r="D417" s="3">
        <v>45567</v>
      </c>
      <c r="E417" t="str">
        <f t="shared" si="187"/>
        <v>2024/10/02</v>
      </c>
      <c r="F417" t="str">
        <f t="shared" si="196"/>
        <v>October</v>
      </c>
      <c r="G417">
        <f t="shared" si="197"/>
        <v>2024</v>
      </c>
      <c r="H417" t="s">
        <v>2128</v>
      </c>
      <c r="I417" s="4">
        <v>45332</v>
      </c>
      <c r="J417" s="8">
        <f t="shared" si="188"/>
        <v>-235</v>
      </c>
      <c r="K417" s="8" t="str">
        <f t="shared" si="198"/>
        <v>INVAILD_SHIPPING</v>
      </c>
      <c r="L417" t="s">
        <v>3427</v>
      </c>
      <c r="M417" t="s">
        <v>52</v>
      </c>
      <c r="N417" t="str">
        <f t="shared" si="189"/>
        <v>Isha Nair</v>
      </c>
      <c r="O417" t="s">
        <v>114</v>
      </c>
      <c r="P417" t="str">
        <f t="shared" si="211"/>
        <v>Home Office</v>
      </c>
      <c r="Q417" t="s">
        <v>72</v>
      </c>
      <c r="R417" t="str">
        <f t="shared" si="212"/>
        <v>West</v>
      </c>
      <c r="S417" t="str">
        <f t="shared" si="199"/>
        <v>OK</v>
      </c>
      <c r="T417" t="s">
        <v>73</v>
      </c>
      <c r="U417" t="str">
        <f t="shared" si="190"/>
        <v>Maharashtra</v>
      </c>
      <c r="V417" t="s">
        <v>74</v>
      </c>
      <c r="W417" t="str">
        <f t="shared" si="191"/>
        <v>Mumbai</v>
      </c>
      <c r="X417" t="str">
        <f t="shared" si="192"/>
        <v>Furniture</v>
      </c>
      <c r="Y417" t="s">
        <v>44</v>
      </c>
      <c r="Z417" t="s">
        <v>75</v>
      </c>
      <c r="AA417" t="str">
        <f t="shared" si="193"/>
        <v>Chairs</v>
      </c>
      <c r="AB417" t="s">
        <v>3428</v>
      </c>
      <c r="AC417" t="s">
        <v>47</v>
      </c>
      <c r="AD417" t="str">
        <f t="shared" si="213"/>
        <v>Same Day</v>
      </c>
      <c r="AE417" t="str">
        <f t="shared" si="200"/>
        <v>OK</v>
      </c>
      <c r="AF417">
        <v>6</v>
      </c>
      <c r="AG417">
        <v>601.52</v>
      </c>
      <c r="AH417">
        <v>0</v>
      </c>
      <c r="AI417">
        <f t="shared" si="201"/>
        <v>0</v>
      </c>
      <c r="AJ417" t="str">
        <f t="shared" si="202"/>
        <v>OK</v>
      </c>
      <c r="AK417">
        <v>3609.12</v>
      </c>
      <c r="AL417">
        <v>2645.5</v>
      </c>
      <c r="AM417">
        <v>963.62</v>
      </c>
      <c r="AN417" t="s">
        <v>33</v>
      </c>
      <c r="AO417" t="str">
        <f t="shared" si="194"/>
        <v>PAID</v>
      </c>
      <c r="AP417" t="str">
        <f t="shared" si="203"/>
        <v>OK</v>
      </c>
      <c r="AQ417" t="s">
        <v>34</v>
      </c>
      <c r="AR417" t="str">
        <f t="shared" si="195"/>
        <v>COMPLETED</v>
      </c>
      <c r="AS417" t="str">
        <f t="shared" si="204"/>
        <v>OK</v>
      </c>
      <c r="AT417">
        <f t="shared" si="205"/>
        <v>3609.12</v>
      </c>
      <c r="AU417">
        <f t="shared" si="206"/>
        <v>963.61999999999989</v>
      </c>
      <c r="AV417" s="6">
        <f t="shared" si="207"/>
        <v>0.42531032495455962</v>
      </c>
      <c r="AW417" t="str">
        <f t="shared" si="208"/>
        <v>CLEAN</v>
      </c>
      <c r="AX417" s="10" t="str">
        <f t="shared" si="209"/>
        <v>MATCH</v>
      </c>
      <c r="AY417" t="str">
        <f t="shared" si="210"/>
        <v>MATCH</v>
      </c>
    </row>
    <row r="418" spans="1:51">
      <c r="A418" t="s">
        <v>3433</v>
      </c>
      <c r="B418">
        <f t="shared" si="186"/>
        <v>1</v>
      </c>
      <c r="C418" t="s">
        <v>3434</v>
      </c>
      <c r="D418" s="2">
        <v>45363</v>
      </c>
      <c r="E418" t="str">
        <f t="shared" si="187"/>
        <v>2024/03/12</v>
      </c>
      <c r="F418" t="str">
        <f t="shared" si="196"/>
        <v>March</v>
      </c>
      <c r="G418">
        <f t="shared" si="197"/>
        <v>2024</v>
      </c>
      <c r="H418" t="s">
        <v>3435</v>
      </c>
      <c r="I418" s="4">
        <v>45636</v>
      </c>
      <c r="J418" s="8">
        <f t="shared" si="188"/>
        <v>273</v>
      </c>
      <c r="K418" s="8" t="str">
        <f t="shared" si="198"/>
        <v>OK</v>
      </c>
      <c r="L418" t="s">
        <v>3436</v>
      </c>
      <c r="M418" t="s">
        <v>92</v>
      </c>
      <c r="N418" t="str">
        <f t="shared" si="189"/>
        <v>Neha Gupta</v>
      </c>
      <c r="O418" t="s">
        <v>107</v>
      </c>
      <c r="P418" t="str">
        <f t="shared" si="211"/>
        <v>Corporate</v>
      </c>
      <c r="Q418" t="s">
        <v>26</v>
      </c>
      <c r="R418" t="str">
        <f t="shared" si="212"/>
        <v>North</v>
      </c>
      <c r="S418" t="str">
        <f t="shared" si="199"/>
        <v>OK</v>
      </c>
      <c r="T418" t="s">
        <v>27</v>
      </c>
      <c r="U418" t="str">
        <f t="shared" si="190"/>
        <v>Rajasthan</v>
      </c>
      <c r="V418" t="s">
        <v>28</v>
      </c>
      <c r="W418" t="str">
        <f t="shared" si="191"/>
        <v>Jaipur</v>
      </c>
      <c r="X418" t="str">
        <f t="shared" si="192"/>
        <v>Technology</v>
      </c>
      <c r="Y418" t="s">
        <v>85</v>
      </c>
      <c r="Z418" t="s">
        <v>222</v>
      </c>
      <c r="AA418" t="str">
        <f t="shared" si="193"/>
        <v>Phones</v>
      </c>
      <c r="AB418" t="s">
        <v>3437</v>
      </c>
      <c r="AC418" t="s">
        <v>66</v>
      </c>
      <c r="AD418" t="str">
        <f t="shared" si="213"/>
        <v>Standard Class</v>
      </c>
      <c r="AE418" t="str">
        <f t="shared" si="200"/>
        <v>OK</v>
      </c>
      <c r="AF418">
        <v>5</v>
      </c>
      <c r="AG418">
        <v>2393.86</v>
      </c>
      <c r="AH418">
        <v>0.05</v>
      </c>
      <c r="AI418">
        <f t="shared" si="201"/>
        <v>0.05</v>
      </c>
      <c r="AJ418" t="str">
        <f t="shared" si="202"/>
        <v>OK</v>
      </c>
      <c r="AK418">
        <v>11370.84</v>
      </c>
      <c r="AL418">
        <v>7469.58</v>
      </c>
      <c r="AM418">
        <v>3901.26</v>
      </c>
      <c r="AN418" t="s">
        <v>33</v>
      </c>
      <c r="AO418" t="str">
        <f t="shared" si="194"/>
        <v>PAID</v>
      </c>
      <c r="AP418" t="str">
        <f t="shared" si="203"/>
        <v>OK</v>
      </c>
      <c r="AQ418" t="s">
        <v>34</v>
      </c>
      <c r="AR418" t="str">
        <f t="shared" si="195"/>
        <v>COMPLETED</v>
      </c>
      <c r="AS418" t="str">
        <f t="shared" si="204"/>
        <v>OK</v>
      </c>
      <c r="AT418">
        <f t="shared" si="205"/>
        <v>11370.835000000001</v>
      </c>
      <c r="AU418">
        <f t="shared" si="206"/>
        <v>3901.255000000001</v>
      </c>
      <c r="AV418" s="6">
        <f t="shared" si="207"/>
        <v>9.101794195413096E-2</v>
      </c>
      <c r="AW418" t="str">
        <f t="shared" si="208"/>
        <v>CLEAN</v>
      </c>
      <c r="AX418" s="10" t="str">
        <f t="shared" si="209"/>
        <v>MATCH</v>
      </c>
      <c r="AY418" t="str">
        <f t="shared" si="210"/>
        <v>MATCH</v>
      </c>
    </row>
    <row r="419" spans="1:51">
      <c r="A419" t="s">
        <v>3438</v>
      </c>
      <c r="B419">
        <f t="shared" si="186"/>
        <v>1</v>
      </c>
      <c r="C419" t="s">
        <v>3439</v>
      </c>
      <c r="D419" s="2">
        <v>45326</v>
      </c>
      <c r="E419" t="str">
        <f t="shared" si="187"/>
        <v>2024/02/04</v>
      </c>
      <c r="F419" t="str">
        <f t="shared" si="196"/>
        <v>February</v>
      </c>
      <c r="G419">
        <f t="shared" si="197"/>
        <v>2024</v>
      </c>
      <c r="H419" t="s">
        <v>2169</v>
      </c>
      <c r="I419" s="4">
        <v>45384</v>
      </c>
      <c r="J419" s="8">
        <f t="shared" si="188"/>
        <v>58</v>
      </c>
      <c r="K419" s="8" t="str">
        <f t="shared" si="198"/>
        <v>OK</v>
      </c>
      <c r="L419" t="s">
        <v>777</v>
      </c>
      <c r="M419" t="s">
        <v>167</v>
      </c>
      <c r="N419" t="str">
        <f t="shared" si="189"/>
        <v>Sneha Kapoor</v>
      </c>
      <c r="O419" t="s">
        <v>40</v>
      </c>
      <c r="P419" t="str">
        <f t="shared" si="211"/>
        <v>Small Business</v>
      </c>
      <c r="Q419" t="s">
        <v>72</v>
      </c>
      <c r="R419" t="str">
        <f t="shared" si="212"/>
        <v>West</v>
      </c>
      <c r="S419" t="str">
        <f t="shared" si="199"/>
        <v>OK</v>
      </c>
      <c r="T419" t="s">
        <v>73</v>
      </c>
      <c r="U419" t="str">
        <f t="shared" si="190"/>
        <v>Maharashtra</v>
      </c>
      <c r="V419" t="s">
        <v>74</v>
      </c>
      <c r="W419" t="str">
        <f t="shared" si="191"/>
        <v>Mumbai</v>
      </c>
      <c r="X419" t="str">
        <f t="shared" si="192"/>
        <v>Furniture</v>
      </c>
      <c r="Y419" t="s">
        <v>44</v>
      </c>
      <c r="Z419" t="s">
        <v>75</v>
      </c>
      <c r="AA419" t="str">
        <f t="shared" si="193"/>
        <v>Chairs</v>
      </c>
      <c r="AB419" t="s">
        <v>3440</v>
      </c>
      <c r="AC419" t="s">
        <v>55</v>
      </c>
      <c r="AD419" t="str">
        <f t="shared" si="213"/>
        <v>First Class</v>
      </c>
      <c r="AE419" t="str">
        <f t="shared" si="200"/>
        <v>OK</v>
      </c>
      <c r="AF419">
        <v>4</v>
      </c>
      <c r="AG419">
        <v>2583</v>
      </c>
      <c r="AH419">
        <v>0.1</v>
      </c>
      <c r="AI419">
        <f t="shared" si="201"/>
        <v>0.1</v>
      </c>
      <c r="AJ419" t="str">
        <f t="shared" si="202"/>
        <v>OK</v>
      </c>
      <c r="AK419">
        <v>9298.7999999999993</v>
      </c>
      <c r="AL419">
        <v>6548.5</v>
      </c>
      <c r="AM419">
        <v>2750.3</v>
      </c>
      <c r="AN419" t="s">
        <v>33</v>
      </c>
      <c r="AO419" t="str">
        <f t="shared" si="194"/>
        <v>PAID</v>
      </c>
      <c r="AP419" t="str">
        <f t="shared" si="203"/>
        <v>OK</v>
      </c>
      <c r="AQ419" t="s">
        <v>34</v>
      </c>
      <c r="AR419" t="str">
        <f t="shared" si="195"/>
        <v>COMPLETED</v>
      </c>
      <c r="AS419" t="str">
        <f t="shared" si="204"/>
        <v>OK</v>
      </c>
      <c r="AT419">
        <f t="shared" si="205"/>
        <v>9298.8000000000011</v>
      </c>
      <c r="AU419">
        <f t="shared" si="206"/>
        <v>2750.3000000000011</v>
      </c>
      <c r="AV419" s="6">
        <f t="shared" si="207"/>
        <v>0.36677334709855025</v>
      </c>
      <c r="AW419" t="str">
        <f t="shared" si="208"/>
        <v>CLEAN</v>
      </c>
      <c r="AX419" s="10" t="str">
        <f t="shared" si="209"/>
        <v>MATCH</v>
      </c>
      <c r="AY419" t="str">
        <f t="shared" si="210"/>
        <v>MATCH</v>
      </c>
    </row>
    <row r="420" spans="1:51">
      <c r="A420" t="s">
        <v>3446</v>
      </c>
      <c r="B420">
        <f t="shared" si="186"/>
        <v>1</v>
      </c>
      <c r="C420" t="s">
        <v>3447</v>
      </c>
      <c r="D420" s="3">
        <v>45580</v>
      </c>
      <c r="E420" t="str">
        <f t="shared" si="187"/>
        <v>2024/10/15</v>
      </c>
      <c r="F420" t="str">
        <f t="shared" si="196"/>
        <v>October</v>
      </c>
      <c r="G420">
        <f t="shared" si="197"/>
        <v>2024</v>
      </c>
      <c r="H420" t="s">
        <v>3448</v>
      </c>
      <c r="I420" s="4">
        <v>45587</v>
      </c>
      <c r="J420" s="8">
        <f t="shared" si="188"/>
        <v>7</v>
      </c>
      <c r="K420" s="8" t="str">
        <f t="shared" si="198"/>
        <v>OK</v>
      </c>
      <c r="L420" t="s">
        <v>3449</v>
      </c>
      <c r="M420" t="s">
        <v>24</v>
      </c>
      <c r="N420" t="str">
        <f t="shared" si="189"/>
        <v>Karan Malhotra</v>
      </c>
      <c r="O420" t="s">
        <v>107</v>
      </c>
      <c r="P420" t="str">
        <f t="shared" si="211"/>
        <v>Corporate</v>
      </c>
      <c r="Q420" t="s">
        <v>3450</v>
      </c>
      <c r="R420" t="str">
        <f t="shared" si="212"/>
        <v>East</v>
      </c>
      <c r="S420" t="str">
        <f t="shared" si="199"/>
        <v>OK</v>
      </c>
      <c r="T420" t="s">
        <v>42</v>
      </c>
      <c r="U420" t="str">
        <f t="shared" si="190"/>
        <v>Odisha</v>
      </c>
      <c r="V420" t="s">
        <v>43</v>
      </c>
      <c r="W420" t="str">
        <f t="shared" si="191"/>
        <v>Bhubaneswar</v>
      </c>
      <c r="X420" t="str">
        <f t="shared" si="192"/>
        <v>Office Supplies</v>
      </c>
      <c r="Y420" t="s">
        <v>29</v>
      </c>
      <c r="Z420" t="s">
        <v>30</v>
      </c>
      <c r="AA420" t="str">
        <f t="shared" si="193"/>
        <v>Paper</v>
      </c>
      <c r="AB420" t="s">
        <v>3451</v>
      </c>
      <c r="AC420" t="s">
        <v>66</v>
      </c>
      <c r="AD420" t="str">
        <f t="shared" si="213"/>
        <v>Standard Class</v>
      </c>
      <c r="AE420" t="str">
        <f t="shared" si="200"/>
        <v>OK</v>
      </c>
      <c r="AF420">
        <v>4</v>
      </c>
      <c r="AG420">
        <v>2260.9499999999998</v>
      </c>
      <c r="AH420">
        <v>0</v>
      </c>
      <c r="AI420">
        <f t="shared" si="201"/>
        <v>0</v>
      </c>
      <c r="AJ420" t="str">
        <f t="shared" si="202"/>
        <v>OK</v>
      </c>
      <c r="AK420">
        <v>9043.7999999999993</v>
      </c>
      <c r="AL420">
        <v>5913.38</v>
      </c>
      <c r="AM420">
        <v>3130.42</v>
      </c>
      <c r="AN420" t="s">
        <v>33</v>
      </c>
      <c r="AO420" t="str">
        <f t="shared" si="194"/>
        <v>PAID</v>
      </c>
      <c r="AP420" t="str">
        <f t="shared" si="203"/>
        <v>OK</v>
      </c>
      <c r="AQ420" t="s">
        <v>34</v>
      </c>
      <c r="AR420" t="str">
        <f t="shared" si="195"/>
        <v>COMPLETED</v>
      </c>
      <c r="AS420" t="str">
        <f t="shared" si="204"/>
        <v>OK</v>
      </c>
      <c r="AT420">
        <f t="shared" si="205"/>
        <v>9043.7999999999993</v>
      </c>
      <c r="AU420">
        <f t="shared" si="206"/>
        <v>3130.4199999999992</v>
      </c>
      <c r="AV420" s="6">
        <f t="shared" si="207"/>
        <v>4.272717220637344E-2</v>
      </c>
      <c r="AW420" t="str">
        <f t="shared" si="208"/>
        <v>CLEAN</v>
      </c>
      <c r="AX420" s="10" t="str">
        <f t="shared" si="209"/>
        <v>MATCH</v>
      </c>
      <c r="AY420" t="str">
        <f t="shared" si="210"/>
        <v>MATCH</v>
      </c>
    </row>
    <row r="421" spans="1:51">
      <c r="A421" t="s">
        <v>3459</v>
      </c>
      <c r="B421">
        <f t="shared" si="186"/>
        <v>1</v>
      </c>
      <c r="C421" t="s">
        <v>3460</v>
      </c>
      <c r="D421" s="2">
        <v>45589</v>
      </c>
      <c r="E421" t="str">
        <f t="shared" si="187"/>
        <v>2024/10/24</v>
      </c>
      <c r="F421" t="str">
        <f t="shared" si="196"/>
        <v>October</v>
      </c>
      <c r="G421">
        <f t="shared" si="197"/>
        <v>2024</v>
      </c>
      <c r="H421" t="s">
        <v>3461</v>
      </c>
      <c r="I421" s="4">
        <v>45593</v>
      </c>
      <c r="J421" s="8">
        <f t="shared" si="188"/>
        <v>4</v>
      </c>
      <c r="K421" s="8" t="str">
        <f t="shared" si="198"/>
        <v>OK</v>
      </c>
      <c r="L421" t="s">
        <v>3462</v>
      </c>
      <c r="M421" t="s">
        <v>39</v>
      </c>
      <c r="N421" t="str">
        <f t="shared" si="189"/>
        <v>Mira Das</v>
      </c>
      <c r="O421" t="s">
        <v>40</v>
      </c>
      <c r="P421" t="str">
        <f t="shared" si="211"/>
        <v>Small Business</v>
      </c>
      <c r="Q421" t="s">
        <v>41</v>
      </c>
      <c r="R421" t="str">
        <f t="shared" si="212"/>
        <v>East</v>
      </c>
      <c r="S421" t="str">
        <f t="shared" si="199"/>
        <v>OK</v>
      </c>
      <c r="T421" t="s">
        <v>215</v>
      </c>
      <c r="U421" t="str">
        <f t="shared" si="190"/>
        <v>Assam</v>
      </c>
      <c r="V421" t="s">
        <v>216</v>
      </c>
      <c r="W421" t="str">
        <f t="shared" si="191"/>
        <v>Guwahati</v>
      </c>
      <c r="X421" t="str">
        <f t="shared" si="192"/>
        <v>Technology</v>
      </c>
      <c r="Y421" t="s">
        <v>85</v>
      </c>
      <c r="Z421" t="s">
        <v>93</v>
      </c>
      <c r="AA421" t="str">
        <f t="shared" si="193"/>
        <v>Copiers</v>
      </c>
      <c r="AB421" t="s">
        <v>3463</v>
      </c>
      <c r="AC421" t="s">
        <v>66</v>
      </c>
      <c r="AD421" t="str">
        <f t="shared" si="213"/>
        <v>Standard Class</v>
      </c>
      <c r="AE421" t="str">
        <f t="shared" si="200"/>
        <v>OK</v>
      </c>
      <c r="AF421">
        <v>3</v>
      </c>
      <c r="AG421">
        <v>723.59</v>
      </c>
      <c r="AH421">
        <v>0.2</v>
      </c>
      <c r="AI421">
        <f t="shared" si="201"/>
        <v>0.2</v>
      </c>
      <c r="AJ421" t="str">
        <f t="shared" si="202"/>
        <v>OK</v>
      </c>
      <c r="AK421">
        <v>1736.62</v>
      </c>
      <c r="AL421">
        <v>1059.52</v>
      </c>
      <c r="AM421">
        <v>677.1</v>
      </c>
      <c r="AN421" t="s">
        <v>33</v>
      </c>
      <c r="AO421" t="str">
        <f t="shared" si="194"/>
        <v>PAID</v>
      </c>
      <c r="AP421" t="str">
        <f t="shared" si="203"/>
        <v>OK</v>
      </c>
      <c r="AQ421" t="s">
        <v>34</v>
      </c>
      <c r="AR421" t="str">
        <f t="shared" si="195"/>
        <v>COMPLETED</v>
      </c>
      <c r="AS421" t="str">
        <f t="shared" si="204"/>
        <v>OK</v>
      </c>
      <c r="AT421">
        <f t="shared" si="205"/>
        <v>1736.616</v>
      </c>
      <c r="AU421">
        <f t="shared" si="206"/>
        <v>677.096</v>
      </c>
      <c r="AV421" s="6">
        <f t="shared" si="207"/>
        <v>0.14909456091617251</v>
      </c>
      <c r="AW421" t="str">
        <f t="shared" si="208"/>
        <v>CLEAN</v>
      </c>
      <c r="AX421" s="10" t="str">
        <f t="shared" si="209"/>
        <v>MATCH</v>
      </c>
      <c r="AY421" t="str">
        <f t="shared" si="210"/>
        <v>MATCH</v>
      </c>
    </row>
    <row r="422" spans="1:51">
      <c r="A422" t="s">
        <v>3467</v>
      </c>
      <c r="B422">
        <f t="shared" si="186"/>
        <v>1</v>
      </c>
      <c r="C422" t="s">
        <v>3468</v>
      </c>
      <c r="D422" s="3">
        <v>45296</v>
      </c>
      <c r="E422" t="str">
        <f t="shared" si="187"/>
        <v>2024/01/05</v>
      </c>
      <c r="F422" t="str">
        <f t="shared" si="196"/>
        <v>January</v>
      </c>
      <c r="G422">
        <f t="shared" si="197"/>
        <v>2024</v>
      </c>
      <c r="H422" t="s">
        <v>3469</v>
      </c>
      <c r="I422" s="4">
        <v>45419</v>
      </c>
      <c r="J422" s="8">
        <f t="shared" si="188"/>
        <v>123</v>
      </c>
      <c r="K422" s="8" t="str">
        <f t="shared" si="198"/>
        <v>OK</v>
      </c>
      <c r="L422" t="s">
        <v>3470</v>
      </c>
      <c r="M422" t="s">
        <v>52</v>
      </c>
      <c r="N422" t="str">
        <f t="shared" si="189"/>
        <v>Isha Nair</v>
      </c>
      <c r="O422" t="s">
        <v>114</v>
      </c>
      <c r="P422" t="str">
        <f t="shared" si="211"/>
        <v>Home Office</v>
      </c>
      <c r="Q422" t="s">
        <v>41</v>
      </c>
      <c r="R422" t="str">
        <f t="shared" si="212"/>
        <v>East</v>
      </c>
      <c r="S422" t="str">
        <f t="shared" si="199"/>
        <v>OK</v>
      </c>
      <c r="T422" t="s">
        <v>42</v>
      </c>
      <c r="U422" t="str">
        <f t="shared" si="190"/>
        <v>Odisha</v>
      </c>
      <c r="V422" t="s">
        <v>43</v>
      </c>
      <c r="W422" t="str">
        <f t="shared" si="191"/>
        <v>Bhubaneswar</v>
      </c>
      <c r="X422" t="str">
        <f t="shared" si="192"/>
        <v>Office Supplies</v>
      </c>
      <c r="Y422" t="s">
        <v>29</v>
      </c>
      <c r="Z422" t="s">
        <v>30</v>
      </c>
      <c r="AA422" t="str">
        <f t="shared" si="193"/>
        <v>Paper</v>
      </c>
      <c r="AB422" t="s">
        <v>3471</v>
      </c>
      <c r="AC422" t="s">
        <v>47</v>
      </c>
      <c r="AD422" t="str">
        <f t="shared" si="213"/>
        <v>Same Day</v>
      </c>
      <c r="AE422" t="str">
        <f t="shared" si="200"/>
        <v>OK</v>
      </c>
      <c r="AF422">
        <v>8</v>
      </c>
      <c r="AG422">
        <v>1473.83</v>
      </c>
      <c r="AH422">
        <v>0.15</v>
      </c>
      <c r="AI422">
        <f t="shared" si="201"/>
        <v>0.15</v>
      </c>
      <c r="AJ422" t="str">
        <f t="shared" si="202"/>
        <v>OK</v>
      </c>
      <c r="AK422">
        <v>10022.040000000001</v>
      </c>
      <c r="AL422">
        <v>5576.98</v>
      </c>
      <c r="AM422">
        <v>4445.0600000000004</v>
      </c>
      <c r="AN422" t="s">
        <v>33</v>
      </c>
      <c r="AO422" t="str">
        <f t="shared" si="194"/>
        <v>PAID</v>
      </c>
      <c r="AP422" t="str">
        <f t="shared" si="203"/>
        <v>OK</v>
      </c>
      <c r="AQ422" t="s">
        <v>34</v>
      </c>
      <c r="AR422" t="str">
        <f t="shared" si="195"/>
        <v>COMPLETED</v>
      </c>
      <c r="AS422" t="str">
        <f t="shared" si="204"/>
        <v>OK</v>
      </c>
      <c r="AT422">
        <f t="shared" si="205"/>
        <v>10022.044</v>
      </c>
      <c r="AU422">
        <f t="shared" si="206"/>
        <v>4445.0640000000003</v>
      </c>
      <c r="AV422" s="6">
        <f t="shared" si="207"/>
        <v>5.4493225134513448E-2</v>
      </c>
      <c r="AW422" t="str">
        <f t="shared" si="208"/>
        <v>CLEAN</v>
      </c>
      <c r="AX422" s="10" t="str">
        <f t="shared" si="209"/>
        <v>MATCH</v>
      </c>
      <c r="AY422" t="str">
        <f t="shared" si="210"/>
        <v>MATCH</v>
      </c>
    </row>
    <row r="423" spans="1:51">
      <c r="A423" t="s">
        <v>3472</v>
      </c>
      <c r="B423">
        <f t="shared" si="186"/>
        <v>1</v>
      </c>
      <c r="C423" t="s">
        <v>3473</v>
      </c>
      <c r="D423" s="3">
        <v>45442</v>
      </c>
      <c r="E423" t="str">
        <f t="shared" si="187"/>
        <v>2024/05/30</v>
      </c>
      <c r="F423" t="str">
        <f t="shared" si="196"/>
        <v>May</v>
      </c>
      <c r="G423">
        <f t="shared" si="197"/>
        <v>2024</v>
      </c>
      <c r="H423" t="s">
        <v>3474</v>
      </c>
      <c r="I423" s="4">
        <v>45442</v>
      </c>
      <c r="J423" s="8">
        <f t="shared" si="188"/>
        <v>0</v>
      </c>
      <c r="K423" s="8" t="str">
        <f t="shared" si="198"/>
        <v>OK</v>
      </c>
      <c r="L423" t="s">
        <v>3475</v>
      </c>
      <c r="M423" t="s">
        <v>209</v>
      </c>
      <c r="N423" t="str">
        <f t="shared" si="189"/>
        <v>Diya Patel</v>
      </c>
      <c r="O423" t="s">
        <v>114</v>
      </c>
      <c r="P423" t="str">
        <f t="shared" si="211"/>
        <v>Home Office</v>
      </c>
      <c r="Q423" t="s">
        <v>26</v>
      </c>
      <c r="R423" t="str">
        <f t="shared" si="212"/>
        <v>North</v>
      </c>
      <c r="S423" t="str">
        <f t="shared" si="199"/>
        <v>OK</v>
      </c>
      <c r="T423" t="s">
        <v>322</v>
      </c>
      <c r="U423" t="str">
        <f t="shared" si="190"/>
        <v>Haryana</v>
      </c>
      <c r="V423" t="s">
        <v>323</v>
      </c>
      <c r="W423" t="str">
        <f t="shared" si="191"/>
        <v>Gurugram</v>
      </c>
      <c r="X423" t="str">
        <f t="shared" si="192"/>
        <v>Technology</v>
      </c>
      <c r="Y423" t="s">
        <v>85</v>
      </c>
      <c r="Z423" t="s">
        <v>222</v>
      </c>
      <c r="AA423" t="str">
        <f t="shared" si="193"/>
        <v>Phones</v>
      </c>
      <c r="AB423" t="s">
        <v>3476</v>
      </c>
      <c r="AC423" t="s">
        <v>32</v>
      </c>
      <c r="AD423" t="str">
        <f t="shared" si="213"/>
        <v>Second Class</v>
      </c>
      <c r="AE423" t="str">
        <f t="shared" si="200"/>
        <v>OK</v>
      </c>
      <c r="AF423">
        <v>1</v>
      </c>
      <c r="AG423">
        <v>3848.04</v>
      </c>
      <c r="AH423">
        <v>0.25</v>
      </c>
      <c r="AI423">
        <f t="shared" si="201"/>
        <v>0.25</v>
      </c>
      <c r="AJ423" t="str">
        <f t="shared" si="202"/>
        <v>OK</v>
      </c>
      <c r="AK423">
        <v>2886.03</v>
      </c>
      <c r="AL423">
        <v>2064.83</v>
      </c>
      <c r="AM423">
        <v>821.2</v>
      </c>
      <c r="AN423" t="s">
        <v>33</v>
      </c>
      <c r="AO423" t="str">
        <f t="shared" si="194"/>
        <v>PAID</v>
      </c>
      <c r="AP423" t="str">
        <f t="shared" si="203"/>
        <v>OK</v>
      </c>
      <c r="AQ423" t="s">
        <v>34</v>
      </c>
      <c r="AR423" t="str">
        <f t="shared" si="195"/>
        <v>COMPLETED</v>
      </c>
      <c r="AS423" t="str">
        <f t="shared" si="204"/>
        <v>OK</v>
      </c>
      <c r="AT423">
        <f t="shared" si="205"/>
        <v>2886.0299999999997</v>
      </c>
      <c r="AU423">
        <f t="shared" si="206"/>
        <v>821.19999999999982</v>
      </c>
      <c r="AV423" s="6">
        <f t="shared" si="207"/>
        <v>0.35178082001919597</v>
      </c>
      <c r="AW423" t="str">
        <f t="shared" si="208"/>
        <v>CLEAN</v>
      </c>
      <c r="AX423" s="10" t="str">
        <f t="shared" si="209"/>
        <v>MATCH</v>
      </c>
      <c r="AY423" t="str">
        <f t="shared" si="210"/>
        <v>MATCH</v>
      </c>
    </row>
    <row r="424" spans="1:51">
      <c r="A424" t="s">
        <v>3477</v>
      </c>
      <c r="B424">
        <f t="shared" si="186"/>
        <v>1</v>
      </c>
      <c r="C424" t="s">
        <v>3478</v>
      </c>
      <c r="D424" s="2">
        <v>45372</v>
      </c>
      <c r="E424" t="str">
        <f t="shared" si="187"/>
        <v>2024/03/21</v>
      </c>
      <c r="F424" t="str">
        <f t="shared" si="196"/>
        <v>March</v>
      </c>
      <c r="G424">
        <f t="shared" si="197"/>
        <v>2024</v>
      </c>
      <c r="H424" t="s">
        <v>3479</v>
      </c>
      <c r="I424" s="4">
        <v>45376</v>
      </c>
      <c r="J424" s="8">
        <f t="shared" si="188"/>
        <v>4</v>
      </c>
      <c r="K424" s="8" t="str">
        <f t="shared" si="198"/>
        <v>OK</v>
      </c>
      <c r="L424" t="s">
        <v>3480</v>
      </c>
      <c r="M424" t="s">
        <v>106</v>
      </c>
      <c r="N424" t="str">
        <f t="shared" si="189"/>
        <v>Aditi Sen</v>
      </c>
      <c r="O424" t="s">
        <v>114</v>
      </c>
      <c r="P424" t="str">
        <f t="shared" si="211"/>
        <v>Home Office</v>
      </c>
      <c r="Q424" t="s">
        <v>41</v>
      </c>
      <c r="R424" t="str">
        <f t="shared" si="212"/>
        <v>East</v>
      </c>
      <c r="S424" t="str">
        <f t="shared" si="199"/>
        <v>OK</v>
      </c>
      <c r="T424" t="s">
        <v>215</v>
      </c>
      <c r="U424" t="str">
        <f t="shared" si="190"/>
        <v>Assam</v>
      </c>
      <c r="V424" t="s">
        <v>216</v>
      </c>
      <c r="W424" t="str">
        <f t="shared" si="191"/>
        <v>Guwahati</v>
      </c>
      <c r="X424" t="str">
        <f t="shared" si="192"/>
        <v>Technology</v>
      </c>
      <c r="Y424" t="s">
        <v>85</v>
      </c>
      <c r="Z424" t="s">
        <v>381</v>
      </c>
      <c r="AA424" t="str">
        <f t="shared" si="193"/>
        <v>Machines</v>
      </c>
      <c r="AB424" t="s">
        <v>3481</v>
      </c>
      <c r="AC424" t="s">
        <v>66</v>
      </c>
      <c r="AD424" t="str">
        <f t="shared" si="213"/>
        <v>Standard Class</v>
      </c>
      <c r="AE424" t="str">
        <f t="shared" si="200"/>
        <v>OK</v>
      </c>
      <c r="AF424">
        <v>1</v>
      </c>
      <c r="AG424">
        <v>1716.7</v>
      </c>
      <c r="AH424">
        <v>0.15</v>
      </c>
      <c r="AI424">
        <f t="shared" si="201"/>
        <v>0.15</v>
      </c>
      <c r="AJ424" t="str">
        <f t="shared" si="202"/>
        <v>OK</v>
      </c>
      <c r="AK424">
        <v>1459.19</v>
      </c>
      <c r="AL424">
        <v>1055.79</v>
      </c>
      <c r="AM424">
        <v>403.4</v>
      </c>
      <c r="AN424" t="s">
        <v>33</v>
      </c>
      <c r="AO424" t="str">
        <f t="shared" si="194"/>
        <v>PAID</v>
      </c>
      <c r="AP424" t="str">
        <f t="shared" si="203"/>
        <v>OK</v>
      </c>
      <c r="AQ424" t="s">
        <v>34</v>
      </c>
      <c r="AR424" t="str">
        <f t="shared" si="195"/>
        <v>COMPLETED</v>
      </c>
      <c r="AS424" t="str">
        <f t="shared" si="204"/>
        <v>OK</v>
      </c>
      <c r="AT424">
        <f t="shared" si="205"/>
        <v>1459.1949999999999</v>
      </c>
      <c r="AU424">
        <f t="shared" si="206"/>
        <v>403.40499999999997</v>
      </c>
      <c r="AV424" s="6">
        <f t="shared" si="207"/>
        <v>1.4736844630087131</v>
      </c>
      <c r="AW424" t="str">
        <f t="shared" si="208"/>
        <v>CLEAN</v>
      </c>
      <c r="AX424" s="10" t="str">
        <f t="shared" si="209"/>
        <v>MISMATCH</v>
      </c>
      <c r="AY424" t="str">
        <f t="shared" si="210"/>
        <v>MISMATCH</v>
      </c>
    </row>
    <row r="425" spans="1:51">
      <c r="A425" t="s">
        <v>3490</v>
      </c>
      <c r="B425">
        <f t="shared" si="186"/>
        <v>1</v>
      </c>
      <c r="C425" t="s">
        <v>2216</v>
      </c>
      <c r="D425" s="3">
        <v>45375</v>
      </c>
      <c r="E425" t="str">
        <f t="shared" si="187"/>
        <v>2024/03/24</v>
      </c>
      <c r="F425" t="str">
        <f t="shared" si="196"/>
        <v>March</v>
      </c>
      <c r="G425">
        <f t="shared" si="197"/>
        <v>2024</v>
      </c>
      <c r="H425" t="s">
        <v>3161</v>
      </c>
      <c r="I425" s="4">
        <v>45378</v>
      </c>
      <c r="J425" s="8">
        <f t="shared" si="188"/>
        <v>3</v>
      </c>
      <c r="K425" s="8" t="str">
        <f t="shared" si="198"/>
        <v>OK</v>
      </c>
      <c r="L425" t="s">
        <v>3491</v>
      </c>
      <c r="M425" t="s">
        <v>106</v>
      </c>
      <c r="N425" t="str">
        <f t="shared" si="189"/>
        <v>Aditi Sen</v>
      </c>
      <c r="O425" t="s">
        <v>107</v>
      </c>
      <c r="P425" t="str">
        <f t="shared" si="211"/>
        <v>Corporate</v>
      </c>
      <c r="Q425" t="s">
        <v>72</v>
      </c>
      <c r="R425" t="str">
        <f t="shared" ref="R425:R454" si="214">PROPER(TRIM(SUBSTITUTE(Q425,CHAR(160)," ")))</f>
        <v>West</v>
      </c>
      <c r="S425" t="str">
        <f t="shared" si="199"/>
        <v>OK</v>
      </c>
      <c r="T425" t="s">
        <v>234</v>
      </c>
      <c r="U425" t="str">
        <f t="shared" si="190"/>
        <v>Gujarat</v>
      </c>
      <c r="V425" t="s">
        <v>235</v>
      </c>
      <c r="W425" t="str">
        <f t="shared" si="191"/>
        <v>Ahmedabad</v>
      </c>
      <c r="X425" t="str">
        <f t="shared" si="192"/>
        <v>Office Supplies</v>
      </c>
      <c r="Y425" t="s">
        <v>29</v>
      </c>
      <c r="Z425" t="s">
        <v>155</v>
      </c>
      <c r="AA425" t="str">
        <f t="shared" si="193"/>
        <v>Storage</v>
      </c>
      <c r="AB425" t="s">
        <v>3492</v>
      </c>
      <c r="AC425" t="s">
        <v>55</v>
      </c>
      <c r="AD425" t="str">
        <f t="shared" si="213"/>
        <v>First Class</v>
      </c>
      <c r="AE425" t="str">
        <f t="shared" si="200"/>
        <v>OK</v>
      </c>
      <c r="AF425">
        <v>5</v>
      </c>
      <c r="AG425">
        <v>2465.2199999999998</v>
      </c>
      <c r="AH425">
        <v>0.05</v>
      </c>
      <c r="AI425">
        <f t="shared" si="201"/>
        <v>0.05</v>
      </c>
      <c r="AJ425" t="str">
        <f t="shared" si="202"/>
        <v>OK</v>
      </c>
      <c r="AK425">
        <v>11709.79</v>
      </c>
      <c r="AL425">
        <v>8372.2900000000009</v>
      </c>
      <c r="AM425">
        <v>3337.5</v>
      </c>
      <c r="AN425" t="s">
        <v>33</v>
      </c>
      <c r="AO425" t="str">
        <f t="shared" si="194"/>
        <v>PAID</v>
      </c>
      <c r="AP425" t="str">
        <f t="shared" si="203"/>
        <v>OK</v>
      </c>
      <c r="AQ425" t="s">
        <v>34</v>
      </c>
      <c r="AR425" t="str">
        <f t="shared" si="195"/>
        <v>COMPLETED</v>
      </c>
      <c r="AS425" t="str">
        <f t="shared" si="204"/>
        <v>OK</v>
      </c>
      <c r="AT425">
        <f t="shared" si="205"/>
        <v>11709.794999999998</v>
      </c>
      <c r="AU425">
        <f t="shared" si="206"/>
        <v>3337.5049999999974</v>
      </c>
      <c r="AV425" s="6">
        <f t="shared" si="207"/>
        <v>0.54355844829051236</v>
      </c>
      <c r="AW425" t="str">
        <f t="shared" si="208"/>
        <v>CLEAN</v>
      </c>
      <c r="AX425" s="10" t="str">
        <f t="shared" si="209"/>
        <v>MISMATCH</v>
      </c>
      <c r="AY425" t="str">
        <f t="shared" si="210"/>
        <v>MISMATCH</v>
      </c>
    </row>
    <row r="426" spans="1:51">
      <c r="A426" t="s">
        <v>3493</v>
      </c>
      <c r="B426">
        <f t="shared" si="186"/>
        <v>1</v>
      </c>
      <c r="C426" t="s">
        <v>2437</v>
      </c>
      <c r="D426" s="2">
        <v>45604</v>
      </c>
      <c r="E426" t="str">
        <f t="shared" si="187"/>
        <v>2024/11/08</v>
      </c>
      <c r="F426" t="str">
        <f t="shared" si="196"/>
        <v>November</v>
      </c>
      <c r="G426">
        <f t="shared" si="197"/>
        <v>2024</v>
      </c>
      <c r="H426" t="s">
        <v>2797</v>
      </c>
      <c r="I426" s="4">
        <v>45573</v>
      </c>
      <c r="J426" s="8">
        <f t="shared" si="188"/>
        <v>-31</v>
      </c>
      <c r="K426" s="8" t="str">
        <f t="shared" si="198"/>
        <v>INVAILD_SHIPPING</v>
      </c>
      <c r="L426" t="s">
        <v>3494</v>
      </c>
      <c r="M426" t="s">
        <v>106</v>
      </c>
      <c r="N426" t="str">
        <f t="shared" si="189"/>
        <v>Aditi Sen</v>
      </c>
      <c r="O426" t="s">
        <v>107</v>
      </c>
      <c r="P426" t="str">
        <f t="shared" si="211"/>
        <v>Corporate</v>
      </c>
      <c r="Q426" t="s">
        <v>26</v>
      </c>
      <c r="R426" t="str">
        <f t="shared" si="214"/>
        <v>North</v>
      </c>
      <c r="S426" t="str">
        <f t="shared" si="199"/>
        <v>OK</v>
      </c>
      <c r="T426" t="s">
        <v>505</v>
      </c>
      <c r="U426" t="str">
        <f t="shared" si="190"/>
        <v>Delhi</v>
      </c>
      <c r="V426" t="s">
        <v>506</v>
      </c>
      <c r="W426" t="str">
        <f t="shared" si="191"/>
        <v>New Delhi</v>
      </c>
      <c r="X426" t="str">
        <f t="shared" si="192"/>
        <v>Furniture</v>
      </c>
      <c r="Y426" t="s">
        <v>44</v>
      </c>
      <c r="Z426" t="s">
        <v>64</v>
      </c>
      <c r="AA426" t="str">
        <f t="shared" si="193"/>
        <v>Furnishings</v>
      </c>
      <c r="AB426" t="s">
        <v>3495</v>
      </c>
      <c r="AC426" t="s">
        <v>32</v>
      </c>
      <c r="AD426" t="str">
        <f t="shared" si="213"/>
        <v>Second Class</v>
      </c>
      <c r="AE426" t="str">
        <f t="shared" si="200"/>
        <v>OK</v>
      </c>
      <c r="AF426">
        <v>3</v>
      </c>
      <c r="AG426">
        <v>1017.22</v>
      </c>
      <c r="AH426">
        <v>0.15</v>
      </c>
      <c r="AI426">
        <f t="shared" si="201"/>
        <v>0.15</v>
      </c>
      <c r="AJ426" t="str">
        <f t="shared" si="202"/>
        <v>OK</v>
      </c>
      <c r="AK426">
        <v>2593.91</v>
      </c>
      <c r="AL426">
        <v>1848.48</v>
      </c>
      <c r="AM426">
        <v>745.43</v>
      </c>
      <c r="AN426" t="s">
        <v>199</v>
      </c>
      <c r="AO426" t="str">
        <f t="shared" si="194"/>
        <v>FAILED</v>
      </c>
      <c r="AP426" t="str">
        <f t="shared" si="203"/>
        <v>EXCLUDE_FROM_SALES</v>
      </c>
      <c r="AQ426" t="s">
        <v>124</v>
      </c>
      <c r="AR426" t="str">
        <f t="shared" si="195"/>
        <v>RETURNED</v>
      </c>
      <c r="AS426" t="str">
        <f t="shared" si="204"/>
        <v>RETURNED_ORDER</v>
      </c>
      <c r="AT426">
        <f t="shared" si="205"/>
        <v>2593.9109999999996</v>
      </c>
      <c r="AU426">
        <f t="shared" si="206"/>
        <v>745.43099999999959</v>
      </c>
      <c r="AV426" s="6">
        <f t="shared" si="207"/>
        <v>0.36379659903520212</v>
      </c>
      <c r="AW426" t="str">
        <f t="shared" si="208"/>
        <v>CLEAN</v>
      </c>
      <c r="AX426" s="10" t="str">
        <f t="shared" si="209"/>
        <v>MATCH</v>
      </c>
      <c r="AY426" t="str">
        <f t="shared" si="210"/>
        <v>MATCH</v>
      </c>
    </row>
    <row r="427" spans="1:51">
      <c r="A427" t="s">
        <v>3503</v>
      </c>
      <c r="B427">
        <f t="shared" si="186"/>
        <v>1</v>
      </c>
      <c r="C427" t="s">
        <v>3504</v>
      </c>
      <c r="D427" s="3">
        <v>45592</v>
      </c>
      <c r="E427" t="str">
        <f t="shared" si="187"/>
        <v>2024/10/27</v>
      </c>
      <c r="F427" t="str">
        <f t="shared" si="196"/>
        <v>October</v>
      </c>
      <c r="G427">
        <f t="shared" si="197"/>
        <v>2024</v>
      </c>
      <c r="H427" t="s">
        <v>3505</v>
      </c>
      <c r="I427" s="4">
        <v>45597</v>
      </c>
      <c r="J427" s="8">
        <f t="shared" si="188"/>
        <v>5</v>
      </c>
      <c r="K427" s="8" t="str">
        <f t="shared" si="198"/>
        <v>OK</v>
      </c>
      <c r="L427" t="s">
        <v>3506</v>
      </c>
      <c r="M427" t="s">
        <v>179</v>
      </c>
      <c r="N427" t="str">
        <f t="shared" si="189"/>
        <v>Rohan Mehta</v>
      </c>
      <c r="O427" t="s">
        <v>25</v>
      </c>
      <c r="P427" t="str">
        <f t="shared" si="211"/>
        <v>Consumer</v>
      </c>
      <c r="Q427" t="s">
        <v>26</v>
      </c>
      <c r="R427" t="str">
        <f t="shared" si="214"/>
        <v>North</v>
      </c>
      <c r="S427" t="str">
        <f t="shared" si="199"/>
        <v>OK</v>
      </c>
      <c r="T427" t="s">
        <v>27</v>
      </c>
      <c r="U427" t="str">
        <f t="shared" si="190"/>
        <v>Rajasthan</v>
      </c>
      <c r="V427" t="s">
        <v>28</v>
      </c>
      <c r="W427" t="str">
        <f t="shared" si="191"/>
        <v>Jaipur</v>
      </c>
      <c r="X427" t="str">
        <f t="shared" si="192"/>
        <v>Technology</v>
      </c>
      <c r="Y427" t="s">
        <v>85</v>
      </c>
      <c r="Z427" t="s">
        <v>86</v>
      </c>
      <c r="AA427" t="str">
        <f t="shared" si="193"/>
        <v>Accessories</v>
      </c>
      <c r="AB427" t="s">
        <v>3507</v>
      </c>
      <c r="AC427" t="s">
        <v>47</v>
      </c>
      <c r="AD427" t="str">
        <f t="shared" si="213"/>
        <v>Same Day</v>
      </c>
      <c r="AE427" t="str">
        <f t="shared" si="200"/>
        <v>OK</v>
      </c>
      <c r="AF427">
        <v>7</v>
      </c>
      <c r="AG427">
        <v>2177.1</v>
      </c>
      <c r="AH427">
        <v>0.2</v>
      </c>
      <c r="AI427">
        <f t="shared" si="201"/>
        <v>0.2</v>
      </c>
      <c r="AJ427" t="str">
        <f t="shared" si="202"/>
        <v>OK</v>
      </c>
      <c r="AK427">
        <v>12191.76</v>
      </c>
      <c r="AL427">
        <v>10457.49</v>
      </c>
      <c r="AM427">
        <v>1734.27</v>
      </c>
      <c r="AN427" t="s">
        <v>33</v>
      </c>
      <c r="AO427" t="str">
        <f t="shared" si="194"/>
        <v>PAID</v>
      </c>
      <c r="AP427" t="str">
        <f t="shared" si="203"/>
        <v>OK</v>
      </c>
      <c r="AQ427" t="s">
        <v>124</v>
      </c>
      <c r="AR427" t="str">
        <f t="shared" si="195"/>
        <v>RETURNED</v>
      </c>
      <c r="AS427" t="str">
        <f t="shared" si="204"/>
        <v>RETURNED_ORDER</v>
      </c>
      <c r="AT427">
        <f t="shared" si="205"/>
        <v>12191.76</v>
      </c>
      <c r="AU427">
        <f t="shared" si="206"/>
        <v>1734.2700000000004</v>
      </c>
      <c r="AV427" s="6">
        <f t="shared" si="207"/>
        <v>0.33491554951869124</v>
      </c>
      <c r="AW427" t="str">
        <f t="shared" si="208"/>
        <v>CLEAN</v>
      </c>
      <c r="AX427" s="10" t="str">
        <f t="shared" si="209"/>
        <v>MATCH</v>
      </c>
      <c r="AY427" t="str">
        <f t="shared" si="210"/>
        <v>MATCH</v>
      </c>
    </row>
    <row r="428" spans="1:51">
      <c r="A428" t="s">
        <v>3513</v>
      </c>
      <c r="B428">
        <f t="shared" si="186"/>
        <v>1</v>
      </c>
      <c r="C428" t="s">
        <v>3514</v>
      </c>
      <c r="D428" s="2">
        <v>45327</v>
      </c>
      <c r="E428" t="str">
        <f t="shared" si="187"/>
        <v>2024/02/05</v>
      </c>
      <c r="F428" t="str">
        <f t="shared" si="196"/>
        <v>February</v>
      </c>
      <c r="G428">
        <f t="shared" si="197"/>
        <v>2024</v>
      </c>
      <c r="H428" t="s">
        <v>2703</v>
      </c>
      <c r="I428" s="4">
        <v>45422</v>
      </c>
      <c r="J428" s="8">
        <f t="shared" si="188"/>
        <v>95</v>
      </c>
      <c r="K428" s="8" t="str">
        <f t="shared" si="198"/>
        <v>OK</v>
      </c>
      <c r="L428" t="s">
        <v>3515</v>
      </c>
      <c r="M428" t="s">
        <v>161</v>
      </c>
      <c r="N428" t="str">
        <f t="shared" si="189"/>
        <v>Aarav Sharma</v>
      </c>
      <c r="O428" t="s">
        <v>40</v>
      </c>
      <c r="P428" t="str">
        <f t="shared" si="211"/>
        <v>Small Business</v>
      </c>
      <c r="Q428" t="s">
        <v>61</v>
      </c>
      <c r="R428" t="str">
        <f t="shared" si="214"/>
        <v>South</v>
      </c>
      <c r="S428" t="str">
        <f t="shared" si="199"/>
        <v>OK</v>
      </c>
      <c r="T428" t="s">
        <v>228</v>
      </c>
      <c r="U428" t="str">
        <f t="shared" si="190"/>
        <v>Karnataka</v>
      </c>
      <c r="V428" t="s">
        <v>229</v>
      </c>
      <c r="W428" t="str">
        <f t="shared" si="191"/>
        <v>Bengaluru</v>
      </c>
      <c r="X428" t="str">
        <f t="shared" si="192"/>
        <v>Furniture</v>
      </c>
      <c r="Y428" t="s">
        <v>44</v>
      </c>
      <c r="Z428" t="s">
        <v>75</v>
      </c>
      <c r="AA428" t="str">
        <f t="shared" si="193"/>
        <v>Chairs</v>
      </c>
      <c r="AB428" t="s">
        <v>3516</v>
      </c>
      <c r="AC428" t="s">
        <v>66</v>
      </c>
      <c r="AD428" t="str">
        <f t="shared" si="213"/>
        <v>Standard Class</v>
      </c>
      <c r="AE428" t="str">
        <f t="shared" si="200"/>
        <v>OK</v>
      </c>
      <c r="AF428">
        <v>1</v>
      </c>
      <c r="AG428">
        <v>4166.91</v>
      </c>
      <c r="AH428">
        <v>0</v>
      </c>
      <c r="AI428">
        <f t="shared" si="201"/>
        <v>0</v>
      </c>
      <c r="AJ428" t="str">
        <f t="shared" si="202"/>
        <v>OK</v>
      </c>
      <c r="AK428">
        <v>4166.91</v>
      </c>
      <c r="AL428">
        <v>3412.63</v>
      </c>
      <c r="AM428">
        <v>754.28</v>
      </c>
      <c r="AN428" t="s">
        <v>33</v>
      </c>
      <c r="AO428" t="str">
        <f t="shared" si="194"/>
        <v>PAID</v>
      </c>
      <c r="AP428" t="str">
        <f t="shared" si="203"/>
        <v>OK</v>
      </c>
      <c r="AQ428" t="s">
        <v>34</v>
      </c>
      <c r="AR428" t="str">
        <f t="shared" si="195"/>
        <v>COMPLETED</v>
      </c>
      <c r="AS428" t="str">
        <f t="shared" si="204"/>
        <v>OK</v>
      </c>
      <c r="AT428">
        <f t="shared" si="205"/>
        <v>4166.91</v>
      </c>
      <c r="AU428">
        <f t="shared" si="206"/>
        <v>754.27999999999975</v>
      </c>
      <c r="AV428" s="6">
        <f t="shared" si="207"/>
        <v>1.46466566352525</v>
      </c>
      <c r="AW428" t="str">
        <f t="shared" si="208"/>
        <v>CLEAN</v>
      </c>
      <c r="AX428" s="10" t="str">
        <f t="shared" si="209"/>
        <v>MATCH</v>
      </c>
      <c r="AY428" t="str">
        <f t="shared" si="210"/>
        <v>MATCH</v>
      </c>
    </row>
    <row r="429" spans="1:51">
      <c r="A429" t="s">
        <v>3517</v>
      </c>
      <c r="B429">
        <f t="shared" si="186"/>
        <v>1</v>
      </c>
      <c r="C429" t="s">
        <v>405</v>
      </c>
      <c r="D429" s="3">
        <v>45492</v>
      </c>
      <c r="E429" t="str">
        <f t="shared" si="187"/>
        <v>2024/07/19</v>
      </c>
      <c r="F429" t="str">
        <f t="shared" si="196"/>
        <v>July</v>
      </c>
      <c r="G429">
        <f t="shared" si="197"/>
        <v>2024</v>
      </c>
      <c r="H429" t="s">
        <v>3518</v>
      </c>
      <c r="I429" s="4">
        <v>45499</v>
      </c>
      <c r="J429" s="8">
        <f t="shared" si="188"/>
        <v>7</v>
      </c>
      <c r="K429" s="8" t="str">
        <f t="shared" si="198"/>
        <v>OK</v>
      </c>
      <c r="L429" t="s">
        <v>3519</v>
      </c>
      <c r="M429" t="s">
        <v>60</v>
      </c>
      <c r="N429" t="str">
        <f t="shared" si="189"/>
        <v>Arjun Bose</v>
      </c>
      <c r="O429" t="s">
        <v>114</v>
      </c>
      <c r="P429" t="str">
        <f t="shared" si="211"/>
        <v>Home Office</v>
      </c>
      <c r="Q429" t="s">
        <v>61</v>
      </c>
      <c r="R429" t="str">
        <f t="shared" si="214"/>
        <v>South</v>
      </c>
      <c r="S429" t="str">
        <f t="shared" si="199"/>
        <v>OK</v>
      </c>
      <c r="T429" t="s">
        <v>228</v>
      </c>
      <c r="U429" t="str">
        <f t="shared" si="190"/>
        <v>Karnataka</v>
      </c>
      <c r="V429" t="s">
        <v>229</v>
      </c>
      <c r="W429" t="str">
        <f t="shared" si="191"/>
        <v>Bengaluru</v>
      </c>
      <c r="X429" t="str">
        <f t="shared" si="192"/>
        <v>Furniture</v>
      </c>
      <c r="Y429" t="s">
        <v>44</v>
      </c>
      <c r="Z429" t="s">
        <v>45</v>
      </c>
      <c r="AA429" t="str">
        <f t="shared" si="193"/>
        <v>Tables</v>
      </c>
      <c r="AB429" t="s">
        <v>3520</v>
      </c>
      <c r="AC429" t="s">
        <v>32</v>
      </c>
      <c r="AD429" t="str">
        <f t="shared" si="213"/>
        <v>Second Class</v>
      </c>
      <c r="AE429" t="str">
        <f t="shared" si="200"/>
        <v>OK</v>
      </c>
      <c r="AF429">
        <v>5</v>
      </c>
      <c r="AG429">
        <v>3986.01</v>
      </c>
      <c r="AH429">
        <v>0.25</v>
      </c>
      <c r="AI429">
        <f t="shared" si="201"/>
        <v>0.25</v>
      </c>
      <c r="AJ429" t="str">
        <f t="shared" si="202"/>
        <v>OK</v>
      </c>
      <c r="AK429">
        <v>14947.54</v>
      </c>
      <c r="AL429">
        <v>9438.4599999999991</v>
      </c>
      <c r="AM429">
        <v>5509.08</v>
      </c>
      <c r="AN429" t="s">
        <v>33</v>
      </c>
      <c r="AO429" t="str">
        <f t="shared" si="194"/>
        <v>PAID</v>
      </c>
      <c r="AP429" t="str">
        <f t="shared" si="203"/>
        <v>OK</v>
      </c>
      <c r="AQ429" t="s">
        <v>34</v>
      </c>
      <c r="AR429" t="str">
        <f t="shared" si="195"/>
        <v>COMPLETED</v>
      </c>
      <c r="AS429" t="str">
        <f t="shared" si="204"/>
        <v>OK</v>
      </c>
      <c r="AT429">
        <f t="shared" si="205"/>
        <v>14947.537500000002</v>
      </c>
      <c r="AU429">
        <f t="shared" si="206"/>
        <v>5509.0775000000031</v>
      </c>
      <c r="AV429" s="6">
        <f t="shared" si="207"/>
        <v>0.6133685899767769</v>
      </c>
      <c r="AW429" t="str">
        <f t="shared" si="208"/>
        <v>CLEAN</v>
      </c>
      <c r="AX429" s="10" t="str">
        <f t="shared" si="209"/>
        <v>MATCH</v>
      </c>
      <c r="AY429" t="str">
        <f t="shared" si="210"/>
        <v>MATCH</v>
      </c>
    </row>
    <row r="430" spans="1:51">
      <c r="A430" t="s">
        <v>3521</v>
      </c>
      <c r="B430">
        <f t="shared" si="186"/>
        <v>1</v>
      </c>
      <c r="C430" t="s">
        <v>3522</v>
      </c>
      <c r="D430" s="3">
        <v>45532</v>
      </c>
      <c r="E430" t="str">
        <f t="shared" si="187"/>
        <v>2024/08/28</v>
      </c>
      <c r="F430" t="str">
        <f t="shared" si="196"/>
        <v>August</v>
      </c>
      <c r="G430">
        <f t="shared" si="197"/>
        <v>2024</v>
      </c>
      <c r="H430" t="s">
        <v>1194</v>
      </c>
      <c r="I430" s="4">
        <v>45537</v>
      </c>
      <c r="J430" s="8">
        <f t="shared" si="188"/>
        <v>5</v>
      </c>
      <c r="K430" s="8" t="str">
        <f t="shared" si="198"/>
        <v>OK</v>
      </c>
      <c r="L430" t="s">
        <v>3523</v>
      </c>
      <c r="M430" t="s">
        <v>106</v>
      </c>
      <c r="N430" t="str">
        <f t="shared" si="189"/>
        <v>Aditi Sen</v>
      </c>
      <c r="O430" t="s">
        <v>114</v>
      </c>
      <c r="P430" t="str">
        <f t="shared" si="211"/>
        <v>Home Office</v>
      </c>
      <c r="Q430" t="s">
        <v>41</v>
      </c>
      <c r="R430" t="str">
        <f t="shared" si="214"/>
        <v>East</v>
      </c>
      <c r="S430" t="str">
        <f t="shared" si="199"/>
        <v>OK</v>
      </c>
      <c r="T430" t="s">
        <v>215</v>
      </c>
      <c r="U430" t="str">
        <f t="shared" si="190"/>
        <v>Assam</v>
      </c>
      <c r="V430" t="s">
        <v>216</v>
      </c>
      <c r="W430" t="str">
        <f t="shared" si="191"/>
        <v>Guwahati</v>
      </c>
      <c r="X430" t="str">
        <f t="shared" si="192"/>
        <v>Office Supplies</v>
      </c>
      <c r="Y430" t="s">
        <v>29</v>
      </c>
      <c r="Z430" t="s">
        <v>53</v>
      </c>
      <c r="AA430" t="str">
        <f t="shared" si="193"/>
        <v>Art</v>
      </c>
      <c r="AB430" t="s">
        <v>3524</v>
      </c>
      <c r="AC430" t="s">
        <v>32</v>
      </c>
      <c r="AD430" t="str">
        <f t="shared" si="213"/>
        <v>Second Class</v>
      </c>
      <c r="AE430" t="str">
        <f t="shared" si="200"/>
        <v>OK</v>
      </c>
      <c r="AF430">
        <v>4</v>
      </c>
      <c r="AG430">
        <v>3365.53</v>
      </c>
      <c r="AH430">
        <v>0</v>
      </c>
      <c r="AI430">
        <f t="shared" si="201"/>
        <v>0</v>
      </c>
      <c r="AJ430" t="str">
        <f t="shared" si="202"/>
        <v>OK</v>
      </c>
      <c r="AK430">
        <v>13462.12</v>
      </c>
      <c r="AL430">
        <v>7600.63</v>
      </c>
      <c r="AM430">
        <v>5861.49</v>
      </c>
      <c r="AN430" t="s">
        <v>136</v>
      </c>
      <c r="AO430" t="str">
        <f t="shared" si="194"/>
        <v>PENDING</v>
      </c>
      <c r="AP430" t="str">
        <f t="shared" si="203"/>
        <v>OK</v>
      </c>
      <c r="AQ430" t="s">
        <v>124</v>
      </c>
      <c r="AR430" t="str">
        <f t="shared" si="195"/>
        <v>RETURNED</v>
      </c>
      <c r="AS430" t="str">
        <f t="shared" si="204"/>
        <v>RETURNED_ORDER</v>
      </c>
      <c r="AT430">
        <f t="shared" si="205"/>
        <v>13462.12</v>
      </c>
      <c r="AU430">
        <f t="shared" si="206"/>
        <v>5861.4900000000007</v>
      </c>
      <c r="AV430" s="6">
        <f t="shared" si="207"/>
        <v>0.24943129313956477</v>
      </c>
      <c r="AW430" t="str">
        <f t="shared" si="208"/>
        <v>CLEAN</v>
      </c>
      <c r="AX430" s="10" t="str">
        <f t="shared" si="209"/>
        <v>MATCH</v>
      </c>
      <c r="AY430" t="str">
        <f t="shared" si="210"/>
        <v>MATCH</v>
      </c>
    </row>
    <row r="431" spans="1:51">
      <c r="A431" t="s">
        <v>3529</v>
      </c>
      <c r="B431">
        <f t="shared" si="186"/>
        <v>1</v>
      </c>
      <c r="C431" t="s">
        <v>3530</v>
      </c>
      <c r="D431" s="3">
        <v>45292</v>
      </c>
      <c r="E431" t="str">
        <f t="shared" si="187"/>
        <v>2024/01/01</v>
      </c>
      <c r="F431" t="str">
        <f t="shared" si="196"/>
        <v>January</v>
      </c>
      <c r="G431">
        <f t="shared" si="197"/>
        <v>2024</v>
      </c>
      <c r="H431" t="s">
        <v>3531</v>
      </c>
      <c r="I431" s="4">
        <v>45296</v>
      </c>
      <c r="J431" s="8">
        <f t="shared" si="188"/>
        <v>4</v>
      </c>
      <c r="K431" s="8" t="str">
        <f t="shared" si="198"/>
        <v>OK</v>
      </c>
      <c r="L431" t="s">
        <v>3532</v>
      </c>
      <c r="M431" t="s">
        <v>209</v>
      </c>
      <c r="N431" t="str">
        <f t="shared" si="189"/>
        <v>Diya Patel</v>
      </c>
      <c r="O431" t="s">
        <v>107</v>
      </c>
      <c r="P431" t="str">
        <f t="shared" si="211"/>
        <v>Corporate</v>
      </c>
      <c r="Q431" t="s">
        <v>72</v>
      </c>
      <c r="R431" t="str">
        <f t="shared" si="214"/>
        <v>West</v>
      </c>
      <c r="S431" t="str">
        <f t="shared" si="199"/>
        <v>OK</v>
      </c>
      <c r="T431" t="s">
        <v>83</v>
      </c>
      <c r="U431" t="str">
        <f t="shared" si="190"/>
        <v>Madhya Pradesh</v>
      </c>
      <c r="V431" t="s">
        <v>84</v>
      </c>
      <c r="W431" t="str">
        <f t="shared" si="191"/>
        <v>Indore</v>
      </c>
      <c r="X431" t="str">
        <f t="shared" si="192"/>
        <v>Technology</v>
      </c>
      <c r="Y431" t="s">
        <v>85</v>
      </c>
      <c r="Z431" t="s">
        <v>381</v>
      </c>
      <c r="AA431" t="str">
        <f t="shared" si="193"/>
        <v>Machines</v>
      </c>
      <c r="AB431" t="s">
        <v>3533</v>
      </c>
      <c r="AC431" t="s">
        <v>32</v>
      </c>
      <c r="AD431" t="str">
        <f t="shared" ref="AD431:AD452" si="215">PROPER(TRIM(SUBSTITUTE(AC431,CHAR(160)," ")))</f>
        <v>Second Class</v>
      </c>
      <c r="AE431" t="str">
        <f t="shared" si="200"/>
        <v>OK</v>
      </c>
      <c r="AF431">
        <v>2</v>
      </c>
      <c r="AG431">
        <v>3694.12</v>
      </c>
      <c r="AH431">
        <v>0.2</v>
      </c>
      <c r="AI431">
        <f t="shared" si="201"/>
        <v>0.2</v>
      </c>
      <c r="AJ431" t="str">
        <f t="shared" si="202"/>
        <v>OK</v>
      </c>
      <c r="AK431">
        <v>5910.59</v>
      </c>
      <c r="AL431">
        <v>4775.4399999999996</v>
      </c>
      <c r="AM431">
        <v>1135.1500000000001</v>
      </c>
      <c r="AN431" t="s">
        <v>123</v>
      </c>
      <c r="AO431" t="str">
        <f t="shared" si="194"/>
        <v>REFUNDED</v>
      </c>
      <c r="AP431" t="str">
        <f t="shared" si="203"/>
        <v>REFUNDED_PAYMENT</v>
      </c>
      <c r="AQ431" t="s">
        <v>124</v>
      </c>
      <c r="AR431" t="str">
        <f t="shared" si="195"/>
        <v>RETURNED</v>
      </c>
      <c r="AS431" t="str">
        <f t="shared" si="204"/>
        <v>RETURNED_ORDER</v>
      </c>
      <c r="AT431">
        <f t="shared" si="205"/>
        <v>5910.5920000000006</v>
      </c>
      <c r="AU431">
        <f t="shared" si="206"/>
        <v>1135.152000000001</v>
      </c>
      <c r="AV431" s="6">
        <f t="shared" si="207"/>
        <v>0.53539307060950903</v>
      </c>
      <c r="AW431" t="str">
        <f t="shared" si="208"/>
        <v>CLEAN</v>
      </c>
      <c r="AX431" s="10" t="str">
        <f t="shared" si="209"/>
        <v>MATCH</v>
      </c>
      <c r="AY431" t="str">
        <f t="shared" si="210"/>
        <v>MATCH</v>
      </c>
    </row>
    <row r="432" spans="1:51">
      <c r="A432" t="s">
        <v>3546</v>
      </c>
      <c r="B432">
        <f t="shared" si="186"/>
        <v>1</v>
      </c>
      <c r="C432" t="s">
        <v>3547</v>
      </c>
      <c r="D432" s="2">
        <v>45552</v>
      </c>
      <c r="E432" t="str">
        <f t="shared" si="187"/>
        <v>2024/09/17</v>
      </c>
      <c r="F432" t="str">
        <f t="shared" si="196"/>
        <v>September</v>
      </c>
      <c r="G432">
        <f t="shared" si="197"/>
        <v>2024</v>
      </c>
      <c r="H432" t="s">
        <v>2008</v>
      </c>
      <c r="I432" s="4">
        <v>45559</v>
      </c>
      <c r="J432" s="8">
        <f t="shared" si="188"/>
        <v>7</v>
      </c>
      <c r="K432" s="8" t="str">
        <f t="shared" si="198"/>
        <v>OK</v>
      </c>
      <c r="L432" t="s">
        <v>3548</v>
      </c>
      <c r="M432" t="s">
        <v>39</v>
      </c>
      <c r="N432" t="str">
        <f t="shared" si="189"/>
        <v>Mira Das</v>
      </c>
      <c r="O432" t="s">
        <v>107</v>
      </c>
      <c r="P432" t="str">
        <f t="shared" si="211"/>
        <v>Corporate</v>
      </c>
      <c r="Q432" t="s">
        <v>72</v>
      </c>
      <c r="R432" t="str">
        <f t="shared" si="214"/>
        <v>West</v>
      </c>
      <c r="S432" t="str">
        <f t="shared" si="199"/>
        <v>OK</v>
      </c>
      <c r="T432" t="s">
        <v>234</v>
      </c>
      <c r="U432" t="str">
        <f t="shared" si="190"/>
        <v>Gujarat</v>
      </c>
      <c r="V432" t="s">
        <v>235</v>
      </c>
      <c r="W432" t="str">
        <f t="shared" si="191"/>
        <v>Ahmedabad</v>
      </c>
      <c r="X432" t="str">
        <f t="shared" si="192"/>
        <v>Office Supplies</v>
      </c>
      <c r="Y432" t="s">
        <v>29</v>
      </c>
      <c r="Z432" t="s">
        <v>53</v>
      </c>
      <c r="AA432" t="str">
        <f t="shared" si="193"/>
        <v>Art</v>
      </c>
      <c r="AB432" t="s">
        <v>3549</v>
      </c>
      <c r="AC432" t="s">
        <v>32</v>
      </c>
      <c r="AD432" t="str">
        <f t="shared" si="215"/>
        <v>Second Class</v>
      </c>
      <c r="AE432" t="str">
        <f t="shared" si="200"/>
        <v>OK</v>
      </c>
      <c r="AF432">
        <v>9</v>
      </c>
      <c r="AG432">
        <v>2307.96</v>
      </c>
      <c r="AH432">
        <v>0.2</v>
      </c>
      <c r="AI432">
        <f t="shared" si="201"/>
        <v>0.2</v>
      </c>
      <c r="AJ432" t="str">
        <f t="shared" si="202"/>
        <v>OK</v>
      </c>
      <c r="AK432">
        <v>16617.310000000001</v>
      </c>
      <c r="AL432">
        <v>9195.73</v>
      </c>
      <c r="AM432">
        <v>7421.58</v>
      </c>
      <c r="AN432" t="s">
        <v>33</v>
      </c>
      <c r="AO432" t="str">
        <f t="shared" si="194"/>
        <v>PAID</v>
      </c>
      <c r="AP432" t="str">
        <f t="shared" si="203"/>
        <v>OK</v>
      </c>
      <c r="AQ432" t="s">
        <v>77</v>
      </c>
      <c r="AR432" t="str">
        <f t="shared" si="195"/>
        <v>CANCELLED</v>
      </c>
      <c r="AS432" t="str">
        <f t="shared" si="204"/>
        <v>EXCLUDE_FROM_SALES</v>
      </c>
      <c r="AT432">
        <f t="shared" si="205"/>
        <v>16617.312000000002</v>
      </c>
      <c r="AU432">
        <f t="shared" si="206"/>
        <v>7421.5820000000022</v>
      </c>
      <c r="AV432" s="6">
        <f t="shared" si="207"/>
        <v>4.2593380927071739E-2</v>
      </c>
      <c r="AW432" t="str">
        <f t="shared" si="208"/>
        <v>CLEAN</v>
      </c>
      <c r="AX432" s="10" t="str">
        <f t="shared" si="209"/>
        <v>MATCH</v>
      </c>
      <c r="AY432" t="str">
        <f t="shared" si="210"/>
        <v>MATCH</v>
      </c>
    </row>
    <row r="433" spans="1:51">
      <c r="A433" t="s">
        <v>3550</v>
      </c>
      <c r="B433">
        <f t="shared" si="186"/>
        <v>1</v>
      </c>
      <c r="C433" t="s">
        <v>3551</v>
      </c>
      <c r="D433" s="2">
        <v>45356</v>
      </c>
      <c r="E433" t="str">
        <f t="shared" si="187"/>
        <v>2024/03/05</v>
      </c>
      <c r="F433" t="str">
        <f t="shared" si="196"/>
        <v>March</v>
      </c>
      <c r="G433">
        <f t="shared" si="197"/>
        <v>2024</v>
      </c>
      <c r="H433" t="s">
        <v>2707</v>
      </c>
      <c r="I433" s="4">
        <v>45418</v>
      </c>
      <c r="J433" s="8">
        <f t="shared" si="188"/>
        <v>62</v>
      </c>
      <c r="K433" s="8" t="str">
        <f t="shared" si="198"/>
        <v>OK</v>
      </c>
      <c r="L433" t="s">
        <v>3552</v>
      </c>
      <c r="M433" t="s">
        <v>71</v>
      </c>
      <c r="N433" t="str">
        <f t="shared" si="189"/>
        <v>Ananya Rao</v>
      </c>
      <c r="O433" t="s">
        <v>114</v>
      </c>
      <c r="P433" t="str">
        <f t="shared" si="211"/>
        <v>Home Office</v>
      </c>
      <c r="Q433" t="s">
        <v>26</v>
      </c>
      <c r="R433" t="str">
        <f t="shared" si="214"/>
        <v>North</v>
      </c>
      <c r="S433" t="str">
        <f t="shared" si="199"/>
        <v>OK</v>
      </c>
      <c r="T433" t="s">
        <v>173</v>
      </c>
      <c r="U433" t="str">
        <f t="shared" si="190"/>
        <v>Uttar Pradesh</v>
      </c>
      <c r="V433" t="s">
        <v>174</v>
      </c>
      <c r="W433" t="str">
        <f t="shared" si="191"/>
        <v>Noida</v>
      </c>
      <c r="X433" t="str">
        <f t="shared" si="192"/>
        <v>Office Supplies</v>
      </c>
      <c r="Y433" t="s">
        <v>917</v>
      </c>
      <c r="Z433" t="s">
        <v>197</v>
      </c>
      <c r="AA433" t="str">
        <f t="shared" si="193"/>
        <v>Binders</v>
      </c>
      <c r="AB433" t="s">
        <v>3553</v>
      </c>
      <c r="AC433" t="s">
        <v>66</v>
      </c>
      <c r="AD433" t="str">
        <f t="shared" si="215"/>
        <v>Standard Class</v>
      </c>
      <c r="AE433" t="str">
        <f t="shared" si="200"/>
        <v>OK</v>
      </c>
      <c r="AF433">
        <v>1</v>
      </c>
      <c r="AG433">
        <v>1244.58</v>
      </c>
      <c r="AH433">
        <v>0.25</v>
      </c>
      <c r="AI433">
        <f t="shared" si="201"/>
        <v>0.25</v>
      </c>
      <c r="AJ433" t="str">
        <f t="shared" si="202"/>
        <v>OK</v>
      </c>
      <c r="AK433">
        <v>933.43</v>
      </c>
      <c r="AL433">
        <v>583.09</v>
      </c>
      <c r="AM433">
        <v>350.34</v>
      </c>
      <c r="AN433" t="s">
        <v>33</v>
      </c>
      <c r="AO433" t="str">
        <f t="shared" si="194"/>
        <v>PAID</v>
      </c>
      <c r="AP433" t="str">
        <f t="shared" si="203"/>
        <v>OK</v>
      </c>
      <c r="AQ433" t="s">
        <v>34</v>
      </c>
      <c r="AR433" t="str">
        <f t="shared" si="195"/>
        <v>COMPLETED</v>
      </c>
      <c r="AS433" t="str">
        <f t="shared" si="204"/>
        <v>OK</v>
      </c>
      <c r="AT433">
        <f t="shared" si="205"/>
        <v>933.43499999999995</v>
      </c>
      <c r="AU433">
        <f t="shared" si="206"/>
        <v>350.34499999999991</v>
      </c>
      <c r="AV433" s="6">
        <f t="shared" si="207"/>
        <v>4.8197057106279475</v>
      </c>
      <c r="AW433" t="str">
        <f t="shared" si="208"/>
        <v>CLEAN</v>
      </c>
      <c r="AX433" s="10" t="str">
        <f t="shared" si="209"/>
        <v>MISMATCH</v>
      </c>
      <c r="AY433" t="str">
        <f t="shared" si="210"/>
        <v>MISMATCH</v>
      </c>
    </row>
    <row r="434" spans="1:51">
      <c r="A434" t="s">
        <v>3558</v>
      </c>
      <c r="B434">
        <f t="shared" si="186"/>
        <v>1</v>
      </c>
      <c r="C434" t="s">
        <v>3559</v>
      </c>
      <c r="D434" s="3">
        <v>45601</v>
      </c>
      <c r="E434" t="str">
        <f t="shared" si="187"/>
        <v>2024/11/05</v>
      </c>
      <c r="F434" t="str">
        <f t="shared" si="196"/>
        <v>November</v>
      </c>
      <c r="G434">
        <f t="shared" si="197"/>
        <v>2024</v>
      </c>
      <c r="H434" t="s">
        <v>2017</v>
      </c>
      <c r="I434" s="4">
        <v>45425</v>
      </c>
      <c r="J434" s="8">
        <f t="shared" si="188"/>
        <v>-176</v>
      </c>
      <c r="K434" s="8" t="str">
        <f t="shared" si="198"/>
        <v>INVAILD_SHIPPING</v>
      </c>
      <c r="L434" t="s">
        <v>3560</v>
      </c>
      <c r="M434" t="s">
        <v>141</v>
      </c>
      <c r="N434" t="str">
        <f t="shared" si="189"/>
        <v>Priya Menon</v>
      </c>
      <c r="O434" t="s">
        <v>114</v>
      </c>
      <c r="P434" t="str">
        <f t="shared" si="211"/>
        <v>Home Office</v>
      </c>
      <c r="Q434" t="s">
        <v>72</v>
      </c>
      <c r="R434" t="str">
        <f t="shared" si="214"/>
        <v>West</v>
      </c>
      <c r="S434" t="str">
        <f t="shared" si="199"/>
        <v>OK</v>
      </c>
      <c r="T434" t="s">
        <v>248</v>
      </c>
      <c r="U434" t="str">
        <f t="shared" si="190"/>
        <v>Goa</v>
      </c>
      <c r="V434" t="s">
        <v>249</v>
      </c>
      <c r="W434" t="str">
        <f t="shared" si="191"/>
        <v>Panaji</v>
      </c>
      <c r="X434" t="str">
        <f t="shared" si="192"/>
        <v>Furniture</v>
      </c>
      <c r="Y434" t="s">
        <v>44</v>
      </c>
      <c r="Z434" t="s">
        <v>203</v>
      </c>
      <c r="AA434" t="str">
        <f t="shared" si="193"/>
        <v>Bookcases</v>
      </c>
      <c r="AB434" t="s">
        <v>3561</v>
      </c>
      <c r="AC434" t="s">
        <v>47</v>
      </c>
      <c r="AD434" t="str">
        <f t="shared" si="215"/>
        <v>Same Day</v>
      </c>
      <c r="AE434" t="str">
        <f t="shared" si="200"/>
        <v>OK</v>
      </c>
      <c r="AF434">
        <v>3</v>
      </c>
      <c r="AG434">
        <v>3612.75</v>
      </c>
      <c r="AH434">
        <v>0.25</v>
      </c>
      <c r="AI434">
        <f t="shared" si="201"/>
        <v>0.25</v>
      </c>
      <c r="AJ434" t="str">
        <f t="shared" si="202"/>
        <v>OK</v>
      </c>
      <c r="AK434">
        <v>8128.69</v>
      </c>
      <c r="AL434">
        <v>5071.66</v>
      </c>
      <c r="AM434">
        <v>3057.03</v>
      </c>
      <c r="AN434" t="s">
        <v>33</v>
      </c>
      <c r="AO434" t="str">
        <f t="shared" si="194"/>
        <v>PAID</v>
      </c>
      <c r="AP434" t="str">
        <f t="shared" si="203"/>
        <v>OK</v>
      </c>
      <c r="AQ434" t="s">
        <v>34</v>
      </c>
      <c r="AR434" t="str">
        <f t="shared" si="195"/>
        <v>COMPLETED</v>
      </c>
      <c r="AS434" t="str">
        <f t="shared" si="204"/>
        <v>OK</v>
      </c>
      <c r="AT434">
        <f t="shared" si="205"/>
        <v>8128.6875</v>
      </c>
      <c r="AU434">
        <f t="shared" si="206"/>
        <v>3057.0275000000001</v>
      </c>
      <c r="AV434" s="6">
        <f t="shared" si="207"/>
        <v>0.21378974157882186</v>
      </c>
      <c r="AW434" t="str">
        <f t="shared" si="208"/>
        <v>CLEAN</v>
      </c>
      <c r="AX434" s="10" t="str">
        <f t="shared" si="209"/>
        <v>MATCH</v>
      </c>
      <c r="AY434" t="str">
        <f t="shared" si="210"/>
        <v>MATCH</v>
      </c>
    </row>
    <row r="435" spans="1:51">
      <c r="A435" t="s">
        <v>3562</v>
      </c>
      <c r="B435">
        <f t="shared" si="186"/>
        <v>1</v>
      </c>
      <c r="C435" t="s">
        <v>2306</v>
      </c>
      <c r="D435" s="3">
        <v>45337</v>
      </c>
      <c r="E435" t="str">
        <f t="shared" si="187"/>
        <v>2024/02/15</v>
      </c>
      <c r="F435" t="str">
        <f t="shared" si="196"/>
        <v>February</v>
      </c>
      <c r="G435">
        <f t="shared" si="197"/>
        <v>2024</v>
      </c>
      <c r="H435" t="s">
        <v>2761</v>
      </c>
      <c r="I435" s="4">
        <v>45339</v>
      </c>
      <c r="J435" s="8">
        <f t="shared" si="188"/>
        <v>2</v>
      </c>
      <c r="K435" s="8" t="str">
        <f t="shared" si="198"/>
        <v>OK</v>
      </c>
      <c r="L435" t="s">
        <v>3563</v>
      </c>
      <c r="M435" t="s">
        <v>92</v>
      </c>
      <c r="N435" t="str">
        <f t="shared" si="189"/>
        <v>Neha Gupta</v>
      </c>
      <c r="O435" t="s">
        <v>25</v>
      </c>
      <c r="P435" t="str">
        <f t="shared" si="211"/>
        <v>Consumer</v>
      </c>
      <c r="Q435" t="s">
        <v>26</v>
      </c>
      <c r="R435" t="str">
        <f t="shared" si="214"/>
        <v>North</v>
      </c>
      <c r="S435" t="str">
        <f t="shared" si="199"/>
        <v>OK</v>
      </c>
      <c r="T435" t="s">
        <v>173</v>
      </c>
      <c r="U435" t="str">
        <f t="shared" si="190"/>
        <v>Uttar Pradesh</v>
      </c>
      <c r="V435" t="s">
        <v>174</v>
      </c>
      <c r="W435" t="str">
        <f t="shared" si="191"/>
        <v>Noida</v>
      </c>
      <c r="X435" t="str">
        <f t="shared" si="192"/>
        <v>Technology</v>
      </c>
      <c r="Y435" t="s">
        <v>85</v>
      </c>
      <c r="Z435" t="s">
        <v>93</v>
      </c>
      <c r="AA435" t="str">
        <f t="shared" si="193"/>
        <v>Copiers</v>
      </c>
      <c r="AB435" t="s">
        <v>3564</v>
      </c>
      <c r="AC435" t="s">
        <v>55</v>
      </c>
      <c r="AD435" t="str">
        <f t="shared" si="215"/>
        <v>First Class</v>
      </c>
      <c r="AE435" t="str">
        <f t="shared" si="200"/>
        <v>OK</v>
      </c>
      <c r="AF435">
        <v>4</v>
      </c>
      <c r="AG435">
        <v>863</v>
      </c>
      <c r="AI435">
        <f t="shared" si="201"/>
        <v>0</v>
      </c>
      <c r="AJ435" t="str">
        <f t="shared" si="202"/>
        <v>Missing Discount</v>
      </c>
      <c r="AK435">
        <v>3106.8</v>
      </c>
      <c r="AL435">
        <v>2376.62</v>
      </c>
      <c r="AM435">
        <v>730.18</v>
      </c>
      <c r="AN435" t="s">
        <v>33</v>
      </c>
      <c r="AO435" t="str">
        <f t="shared" si="194"/>
        <v>PAID</v>
      </c>
      <c r="AP435" t="str">
        <f t="shared" si="203"/>
        <v>OK</v>
      </c>
      <c r="AQ435" t="s">
        <v>34</v>
      </c>
      <c r="AR435" t="str">
        <f t="shared" si="195"/>
        <v>COMPLETED</v>
      </c>
      <c r="AS435" t="str">
        <f t="shared" si="204"/>
        <v>OK</v>
      </c>
      <c r="AT435">
        <f t="shared" si="205"/>
        <v>3452</v>
      </c>
      <c r="AU435">
        <f t="shared" si="206"/>
        <v>1075.3800000000001</v>
      </c>
      <c r="AV435" s="6">
        <f t="shared" si="207"/>
        <v>0.29908053302433368</v>
      </c>
      <c r="AW435" t="str">
        <f t="shared" si="208"/>
        <v>INVALID</v>
      </c>
      <c r="AX435" s="10" t="str">
        <f t="shared" si="209"/>
        <v>MISMATCH</v>
      </c>
      <c r="AY435" t="str">
        <f t="shared" si="210"/>
        <v>MISMATCH</v>
      </c>
    </row>
    <row r="436" spans="1:51">
      <c r="A436" t="s">
        <v>3565</v>
      </c>
      <c r="B436">
        <f t="shared" si="186"/>
        <v>1</v>
      </c>
      <c r="C436" t="s">
        <v>3566</v>
      </c>
      <c r="D436" s="3">
        <v>45633</v>
      </c>
      <c r="E436" t="str">
        <f t="shared" si="187"/>
        <v>2024/12/07</v>
      </c>
      <c r="F436" t="str">
        <f t="shared" si="196"/>
        <v>December</v>
      </c>
      <c r="G436">
        <f t="shared" si="197"/>
        <v>2024</v>
      </c>
      <c r="H436" t="s">
        <v>2622</v>
      </c>
      <c r="I436" s="4">
        <v>45487</v>
      </c>
      <c r="J436" s="8">
        <f t="shared" si="188"/>
        <v>-146</v>
      </c>
      <c r="K436" s="8" t="str">
        <f t="shared" si="198"/>
        <v>INVAILD_SHIPPING</v>
      </c>
      <c r="L436" t="s">
        <v>690</v>
      </c>
      <c r="M436" t="s">
        <v>71</v>
      </c>
      <c r="N436" t="str">
        <f t="shared" si="189"/>
        <v>Ananya Rao</v>
      </c>
      <c r="O436" t="s">
        <v>25</v>
      </c>
      <c r="P436" t="str">
        <f t="shared" si="211"/>
        <v>Consumer</v>
      </c>
      <c r="Q436" t="s">
        <v>26</v>
      </c>
      <c r="R436" t="str">
        <f t="shared" si="214"/>
        <v>North</v>
      </c>
      <c r="S436" t="str">
        <f t="shared" si="199"/>
        <v>OK</v>
      </c>
      <c r="T436" t="s">
        <v>322</v>
      </c>
      <c r="U436" t="str">
        <f t="shared" si="190"/>
        <v>Haryana</v>
      </c>
      <c r="V436" t="s">
        <v>323</v>
      </c>
      <c r="W436" t="str">
        <f t="shared" si="191"/>
        <v>Gurugram</v>
      </c>
      <c r="X436" t="str">
        <f t="shared" si="192"/>
        <v>Technology</v>
      </c>
      <c r="Y436" t="s">
        <v>85</v>
      </c>
      <c r="Z436" t="s">
        <v>381</v>
      </c>
      <c r="AA436" t="str">
        <f t="shared" si="193"/>
        <v>Machines</v>
      </c>
      <c r="AB436" t="s">
        <v>3567</v>
      </c>
      <c r="AC436" t="s">
        <v>32</v>
      </c>
      <c r="AD436" t="str">
        <f t="shared" si="215"/>
        <v>Second Class</v>
      </c>
      <c r="AE436" t="str">
        <f t="shared" si="200"/>
        <v>OK</v>
      </c>
      <c r="AF436">
        <v>4</v>
      </c>
      <c r="AG436">
        <v>2131.41</v>
      </c>
      <c r="AI436">
        <f t="shared" si="201"/>
        <v>0</v>
      </c>
      <c r="AJ436" t="str">
        <f t="shared" si="202"/>
        <v>Missing Discount</v>
      </c>
      <c r="AK436">
        <v>6394.23</v>
      </c>
      <c r="AL436">
        <v>3520.69</v>
      </c>
      <c r="AM436">
        <v>2873.54</v>
      </c>
      <c r="AN436" t="s">
        <v>33</v>
      </c>
      <c r="AO436" t="str">
        <f t="shared" si="194"/>
        <v>PAID</v>
      </c>
      <c r="AP436" t="str">
        <f t="shared" si="203"/>
        <v>OK</v>
      </c>
      <c r="AQ436" t="s">
        <v>34</v>
      </c>
      <c r="AR436" t="str">
        <f t="shared" si="195"/>
        <v>COMPLETED</v>
      </c>
      <c r="AS436" t="str">
        <f t="shared" si="204"/>
        <v>OK</v>
      </c>
      <c r="AT436">
        <f t="shared" si="205"/>
        <v>8525.64</v>
      </c>
      <c r="AU436">
        <f t="shared" si="206"/>
        <v>5004.9499999999989</v>
      </c>
      <c r="AV436" s="6">
        <f t="shared" si="207"/>
        <v>0.10466985469712536</v>
      </c>
      <c r="AW436" t="str">
        <f t="shared" si="208"/>
        <v>INVALID</v>
      </c>
      <c r="AX436" s="10" t="str">
        <f t="shared" si="209"/>
        <v>MISMATCH</v>
      </c>
      <c r="AY436" t="str">
        <f t="shared" si="210"/>
        <v>MISMATCH</v>
      </c>
    </row>
    <row r="437" spans="1:51">
      <c r="A437" t="s">
        <v>3580</v>
      </c>
      <c r="B437">
        <f t="shared" si="186"/>
        <v>1</v>
      </c>
      <c r="C437" t="s">
        <v>3581</v>
      </c>
      <c r="D437" s="2">
        <v>45396</v>
      </c>
      <c r="E437" t="str">
        <f t="shared" si="187"/>
        <v>2024/04/14</v>
      </c>
      <c r="F437" t="str">
        <f t="shared" si="196"/>
        <v>April</v>
      </c>
      <c r="G437">
        <f t="shared" si="197"/>
        <v>2024</v>
      </c>
      <c r="H437" t="s">
        <v>3582</v>
      </c>
      <c r="I437" s="4">
        <v>45404</v>
      </c>
      <c r="J437" s="8">
        <f t="shared" si="188"/>
        <v>8</v>
      </c>
      <c r="K437" s="8" t="str">
        <f t="shared" si="198"/>
        <v>OK</v>
      </c>
      <c r="L437" t="s">
        <v>3583</v>
      </c>
      <c r="M437" t="s">
        <v>60</v>
      </c>
      <c r="N437" t="str">
        <f t="shared" si="189"/>
        <v>Arjun Bose</v>
      </c>
      <c r="O437" t="s">
        <v>25</v>
      </c>
      <c r="P437" t="str">
        <f t="shared" si="211"/>
        <v>Consumer</v>
      </c>
      <c r="Q437" t="s">
        <v>26</v>
      </c>
      <c r="R437" t="str">
        <f t="shared" si="214"/>
        <v>North</v>
      </c>
      <c r="S437" t="str">
        <f t="shared" si="199"/>
        <v>OK</v>
      </c>
      <c r="T437" t="s">
        <v>322</v>
      </c>
      <c r="U437" t="str">
        <f t="shared" si="190"/>
        <v>Haryana</v>
      </c>
      <c r="V437" t="s">
        <v>323</v>
      </c>
      <c r="W437" t="str">
        <f t="shared" si="191"/>
        <v>Gurugram</v>
      </c>
      <c r="X437" t="str">
        <f t="shared" si="192"/>
        <v>Technology</v>
      </c>
      <c r="Y437" t="s">
        <v>85</v>
      </c>
      <c r="Z437" t="s">
        <v>86</v>
      </c>
      <c r="AA437" t="str">
        <f t="shared" si="193"/>
        <v>Accessories</v>
      </c>
      <c r="AB437" t="s">
        <v>3584</v>
      </c>
      <c r="AC437" t="s">
        <v>66</v>
      </c>
      <c r="AD437" t="str">
        <f t="shared" si="215"/>
        <v>Standard Class</v>
      </c>
      <c r="AE437" t="str">
        <f t="shared" si="200"/>
        <v>OK</v>
      </c>
      <c r="AF437">
        <v>8</v>
      </c>
      <c r="AG437">
        <v>3956.12</v>
      </c>
      <c r="AH437">
        <v>0.25</v>
      </c>
      <c r="AI437">
        <f t="shared" si="201"/>
        <v>0.25</v>
      </c>
      <c r="AJ437" t="str">
        <f t="shared" si="202"/>
        <v>OK</v>
      </c>
      <c r="AK437">
        <v>23736.720000000001</v>
      </c>
      <c r="AL437">
        <v>13890.9</v>
      </c>
      <c r="AM437">
        <v>9845.82</v>
      </c>
      <c r="AN437" t="s">
        <v>33</v>
      </c>
      <c r="AO437" t="str">
        <f t="shared" si="194"/>
        <v>PAID</v>
      </c>
      <c r="AP437" t="str">
        <f t="shared" si="203"/>
        <v>OK</v>
      </c>
      <c r="AQ437" t="s">
        <v>34</v>
      </c>
      <c r="AR437" t="str">
        <f t="shared" si="195"/>
        <v>COMPLETED</v>
      </c>
      <c r="AS437" t="str">
        <f t="shared" si="204"/>
        <v>OK</v>
      </c>
      <c r="AT437">
        <f t="shared" si="205"/>
        <v>23736.720000000001</v>
      </c>
      <c r="AU437">
        <f t="shared" si="206"/>
        <v>9845.8200000000015</v>
      </c>
      <c r="AV437" s="6">
        <f t="shared" si="207"/>
        <v>4.6397733132463134E-2</v>
      </c>
      <c r="AW437" t="str">
        <f t="shared" si="208"/>
        <v>CLEAN</v>
      </c>
      <c r="AX437" s="10" t="str">
        <f t="shared" si="209"/>
        <v>MATCH</v>
      </c>
      <c r="AY437" t="str">
        <f t="shared" si="210"/>
        <v>MATCH</v>
      </c>
    </row>
    <row r="438" spans="1:51">
      <c r="A438" t="s">
        <v>3589</v>
      </c>
      <c r="B438">
        <f t="shared" si="186"/>
        <v>1</v>
      </c>
      <c r="C438" t="s">
        <v>3590</v>
      </c>
      <c r="D438" s="3">
        <v>45326</v>
      </c>
      <c r="E438" t="str">
        <f t="shared" si="187"/>
        <v>2024/02/04</v>
      </c>
      <c r="F438" t="str">
        <f t="shared" si="196"/>
        <v>February</v>
      </c>
      <c r="G438">
        <f t="shared" si="197"/>
        <v>2024</v>
      </c>
      <c r="H438" t="s">
        <v>2279</v>
      </c>
      <c r="I438" s="4">
        <v>45328</v>
      </c>
      <c r="J438" s="8">
        <f t="shared" si="188"/>
        <v>2</v>
      </c>
      <c r="K438" s="8" t="str">
        <f t="shared" si="198"/>
        <v>OK</v>
      </c>
      <c r="L438" t="s">
        <v>3591</v>
      </c>
      <c r="M438" t="s">
        <v>365</v>
      </c>
      <c r="N438" t="str">
        <f t="shared" si="189"/>
        <v>Kabir Singh</v>
      </c>
      <c r="O438" t="s">
        <v>40</v>
      </c>
      <c r="P438" t="str">
        <f t="shared" si="211"/>
        <v>Small Business</v>
      </c>
      <c r="Q438" t="s">
        <v>72</v>
      </c>
      <c r="R438" t="str">
        <f t="shared" si="214"/>
        <v>West</v>
      </c>
      <c r="S438" t="str">
        <f t="shared" si="199"/>
        <v>OK</v>
      </c>
      <c r="T438" t="s">
        <v>83</v>
      </c>
      <c r="U438" t="str">
        <f t="shared" si="190"/>
        <v>Madhya Pradesh</v>
      </c>
      <c r="V438" t="s">
        <v>84</v>
      </c>
      <c r="W438" t="str">
        <f t="shared" si="191"/>
        <v>Indore</v>
      </c>
      <c r="X438" t="str">
        <f t="shared" si="192"/>
        <v>Technology</v>
      </c>
      <c r="Y438" t="s">
        <v>85</v>
      </c>
      <c r="Z438" t="s">
        <v>86</v>
      </c>
      <c r="AA438" t="str">
        <f t="shared" si="193"/>
        <v>Accessories</v>
      </c>
      <c r="AB438" t="s">
        <v>3592</v>
      </c>
      <c r="AC438" t="s">
        <v>32</v>
      </c>
      <c r="AD438" t="str">
        <f t="shared" si="215"/>
        <v>Second Class</v>
      </c>
      <c r="AE438" t="str">
        <f t="shared" si="200"/>
        <v>OK</v>
      </c>
      <c r="AF438">
        <v>4</v>
      </c>
      <c r="AG438">
        <v>1489.74</v>
      </c>
      <c r="AH438">
        <v>0.15</v>
      </c>
      <c r="AI438">
        <f t="shared" si="201"/>
        <v>0.15</v>
      </c>
      <c r="AJ438" t="str">
        <f t="shared" si="202"/>
        <v>OK</v>
      </c>
      <c r="AK438">
        <v>5065.12</v>
      </c>
      <c r="AL438">
        <v>3530.12</v>
      </c>
      <c r="AM438">
        <v>1535</v>
      </c>
      <c r="AN438" t="s">
        <v>199</v>
      </c>
      <c r="AO438" t="str">
        <f t="shared" si="194"/>
        <v>FAILED</v>
      </c>
      <c r="AP438" t="str">
        <f t="shared" si="203"/>
        <v>EXCLUDE_FROM_SALES</v>
      </c>
      <c r="AQ438" t="s">
        <v>77</v>
      </c>
      <c r="AR438" t="str">
        <f t="shared" si="195"/>
        <v>CANCELLED</v>
      </c>
      <c r="AS438" t="str">
        <f t="shared" si="204"/>
        <v>EXCLUDE_FROM_SALES</v>
      </c>
      <c r="AT438">
        <f t="shared" si="205"/>
        <v>5065.116</v>
      </c>
      <c r="AU438">
        <f t="shared" si="206"/>
        <v>1534.9960000000001</v>
      </c>
      <c r="AV438" s="6">
        <f t="shared" si="207"/>
        <v>0.73159824967483456</v>
      </c>
      <c r="AW438" t="str">
        <f t="shared" si="208"/>
        <v>CLEAN</v>
      </c>
      <c r="AX438" s="10" t="str">
        <f t="shared" si="209"/>
        <v>MATCH</v>
      </c>
      <c r="AY438" t="str">
        <f t="shared" si="210"/>
        <v>MATCH</v>
      </c>
    </row>
    <row r="439" spans="1:51">
      <c r="A439" t="s">
        <v>3593</v>
      </c>
      <c r="B439">
        <f t="shared" si="186"/>
        <v>1</v>
      </c>
      <c r="C439" t="s">
        <v>714</v>
      </c>
      <c r="D439" s="3">
        <v>45497</v>
      </c>
      <c r="E439" t="str">
        <f t="shared" si="187"/>
        <v>2024/07/24</v>
      </c>
      <c r="F439" t="str">
        <f t="shared" si="196"/>
        <v>July</v>
      </c>
      <c r="G439">
        <f t="shared" si="197"/>
        <v>2024</v>
      </c>
      <c r="H439" t="s">
        <v>3594</v>
      </c>
      <c r="I439" s="4">
        <v>45497</v>
      </c>
      <c r="J439" s="8">
        <f t="shared" si="188"/>
        <v>0</v>
      </c>
      <c r="K439" s="8" t="str">
        <f t="shared" si="198"/>
        <v>OK</v>
      </c>
      <c r="L439" t="s">
        <v>3595</v>
      </c>
      <c r="M439" t="s">
        <v>24</v>
      </c>
      <c r="N439" t="str">
        <f t="shared" si="189"/>
        <v>Karan Malhotra</v>
      </c>
      <c r="O439" t="s">
        <v>40</v>
      </c>
      <c r="P439" t="str">
        <f t="shared" si="211"/>
        <v>Small Business</v>
      </c>
      <c r="Q439" t="s">
        <v>26</v>
      </c>
      <c r="R439" t="str">
        <f t="shared" si="214"/>
        <v>North</v>
      </c>
      <c r="S439" t="str">
        <f t="shared" si="199"/>
        <v>OK</v>
      </c>
      <c r="T439" t="s">
        <v>322</v>
      </c>
      <c r="U439" t="str">
        <f t="shared" si="190"/>
        <v>Haryana</v>
      </c>
      <c r="V439" t="s">
        <v>323</v>
      </c>
      <c r="W439" t="str">
        <f t="shared" si="191"/>
        <v>Gurugram</v>
      </c>
      <c r="X439" t="str">
        <f t="shared" si="192"/>
        <v>Technology</v>
      </c>
      <c r="Y439" t="s">
        <v>85</v>
      </c>
      <c r="Z439" t="s">
        <v>93</v>
      </c>
      <c r="AA439" t="str">
        <f t="shared" si="193"/>
        <v>Copiers</v>
      </c>
      <c r="AB439" t="s">
        <v>3596</v>
      </c>
      <c r="AC439" t="s">
        <v>32</v>
      </c>
      <c r="AD439" t="str">
        <f t="shared" si="215"/>
        <v>Second Class</v>
      </c>
      <c r="AE439" t="str">
        <f t="shared" si="200"/>
        <v>OK</v>
      </c>
      <c r="AF439">
        <v>4</v>
      </c>
      <c r="AG439">
        <v>1676.88</v>
      </c>
      <c r="AH439">
        <v>0</v>
      </c>
      <c r="AI439">
        <f t="shared" si="201"/>
        <v>0</v>
      </c>
      <c r="AJ439" t="str">
        <f t="shared" si="202"/>
        <v>OK</v>
      </c>
      <c r="AK439">
        <v>6707.52</v>
      </c>
      <c r="AL439">
        <v>5672.57</v>
      </c>
      <c r="AM439">
        <v>1034.95</v>
      </c>
      <c r="AN439" t="s">
        <v>33</v>
      </c>
      <c r="AO439" t="str">
        <f t="shared" si="194"/>
        <v>PAID</v>
      </c>
      <c r="AP439" t="str">
        <f t="shared" si="203"/>
        <v>OK</v>
      </c>
      <c r="AQ439" t="s">
        <v>34</v>
      </c>
      <c r="AR439" t="str">
        <f t="shared" si="195"/>
        <v>COMPLETED</v>
      </c>
      <c r="AS439" t="str">
        <f t="shared" si="204"/>
        <v>OK</v>
      </c>
      <c r="AT439">
        <f t="shared" si="205"/>
        <v>6707.52</v>
      </c>
      <c r="AU439">
        <f t="shared" si="206"/>
        <v>1034.9500000000007</v>
      </c>
      <c r="AV439" s="6">
        <f t="shared" si="207"/>
        <v>0.16828119781976042</v>
      </c>
      <c r="AW439" t="str">
        <f t="shared" si="208"/>
        <v>CLEAN</v>
      </c>
      <c r="AX439" s="10" t="str">
        <f t="shared" si="209"/>
        <v>MATCH</v>
      </c>
      <c r="AY439" t="str">
        <f t="shared" si="210"/>
        <v>MATCH</v>
      </c>
    </row>
    <row r="440" spans="1:51">
      <c r="A440" t="s">
        <v>3597</v>
      </c>
      <c r="B440">
        <f t="shared" si="186"/>
        <v>1</v>
      </c>
      <c r="C440" t="s">
        <v>2204</v>
      </c>
      <c r="D440" s="3">
        <v>45306</v>
      </c>
      <c r="E440" t="str">
        <f t="shared" si="187"/>
        <v>2024/01/15</v>
      </c>
      <c r="F440" t="str">
        <f t="shared" si="196"/>
        <v>January</v>
      </c>
      <c r="G440">
        <f t="shared" si="197"/>
        <v>2024</v>
      </c>
      <c r="H440" t="s">
        <v>3598</v>
      </c>
      <c r="I440" s="4">
        <v>45311</v>
      </c>
      <c r="J440" s="8">
        <f t="shared" si="188"/>
        <v>5</v>
      </c>
      <c r="K440" s="8" t="str">
        <f t="shared" si="198"/>
        <v>OK</v>
      </c>
      <c r="L440" t="s">
        <v>3599</v>
      </c>
      <c r="M440" t="s">
        <v>141</v>
      </c>
      <c r="N440" t="str">
        <f t="shared" si="189"/>
        <v>Priya Menon</v>
      </c>
      <c r="O440" t="s">
        <v>40</v>
      </c>
      <c r="P440" t="str">
        <f t="shared" si="211"/>
        <v>Small Business</v>
      </c>
      <c r="Q440" t="s">
        <v>61</v>
      </c>
      <c r="R440" t="str">
        <f t="shared" si="214"/>
        <v>South</v>
      </c>
      <c r="S440" t="str">
        <f t="shared" si="199"/>
        <v>OK</v>
      </c>
      <c r="T440" t="s">
        <v>99</v>
      </c>
      <c r="U440" t="str">
        <f t="shared" si="190"/>
        <v>Andhra Pradesh</v>
      </c>
      <c r="V440" t="s">
        <v>100</v>
      </c>
      <c r="W440" t="str">
        <f t="shared" si="191"/>
        <v>Vijayawada</v>
      </c>
      <c r="X440" t="str">
        <f t="shared" si="192"/>
        <v>Furniture</v>
      </c>
      <c r="Y440" t="s">
        <v>44</v>
      </c>
      <c r="Z440" t="s">
        <v>75</v>
      </c>
      <c r="AA440" t="str">
        <f t="shared" si="193"/>
        <v>Chairs</v>
      </c>
      <c r="AB440" t="s">
        <v>3600</v>
      </c>
      <c r="AC440" t="s">
        <v>66</v>
      </c>
      <c r="AD440" t="str">
        <f t="shared" si="215"/>
        <v>Standard Class</v>
      </c>
      <c r="AE440" t="str">
        <f t="shared" si="200"/>
        <v>OK</v>
      </c>
      <c r="AF440">
        <v>4</v>
      </c>
      <c r="AG440">
        <v>3153.54</v>
      </c>
      <c r="AH440">
        <v>0.05</v>
      </c>
      <c r="AI440">
        <f t="shared" si="201"/>
        <v>0.05</v>
      </c>
      <c r="AJ440" t="str">
        <f t="shared" si="202"/>
        <v>OK</v>
      </c>
      <c r="AK440">
        <v>11983.45</v>
      </c>
      <c r="AL440">
        <v>8572.9</v>
      </c>
      <c r="AM440">
        <v>3410.55</v>
      </c>
      <c r="AN440" t="s">
        <v>33</v>
      </c>
      <c r="AO440" t="str">
        <f t="shared" si="194"/>
        <v>PAID</v>
      </c>
      <c r="AP440" t="str">
        <f t="shared" si="203"/>
        <v>OK</v>
      </c>
      <c r="AQ440" t="s">
        <v>34</v>
      </c>
      <c r="AR440" t="str">
        <f t="shared" si="195"/>
        <v>COMPLETED</v>
      </c>
      <c r="AS440" t="str">
        <f t="shared" si="204"/>
        <v>OK</v>
      </c>
      <c r="AT440">
        <f t="shared" si="205"/>
        <v>11983.451999999999</v>
      </c>
      <c r="AU440">
        <f t="shared" si="206"/>
        <v>3410.5519999999997</v>
      </c>
      <c r="AV440" s="6">
        <f t="shared" si="207"/>
        <v>2.4064017613622521E-2</v>
      </c>
      <c r="AW440" t="str">
        <f t="shared" si="208"/>
        <v>CLEAN</v>
      </c>
      <c r="AX440" s="10" t="str">
        <f t="shared" si="209"/>
        <v>MATCH</v>
      </c>
      <c r="AY440" t="str">
        <f t="shared" si="210"/>
        <v>MATCH</v>
      </c>
    </row>
    <row r="441" spans="1:51">
      <c r="A441" t="s">
        <v>3601</v>
      </c>
      <c r="B441">
        <f t="shared" si="186"/>
        <v>1</v>
      </c>
      <c r="C441" t="s">
        <v>3602</v>
      </c>
      <c r="D441" s="2">
        <v>45390</v>
      </c>
      <c r="E441" t="str">
        <f t="shared" si="187"/>
        <v>2024/04/08</v>
      </c>
      <c r="F441" t="str">
        <f t="shared" si="196"/>
        <v>April</v>
      </c>
      <c r="G441">
        <f t="shared" si="197"/>
        <v>2024</v>
      </c>
      <c r="H441" t="s">
        <v>2653</v>
      </c>
      <c r="I441" s="4">
        <v>45514</v>
      </c>
      <c r="J441" s="8">
        <f t="shared" si="188"/>
        <v>124</v>
      </c>
      <c r="K441" s="8" t="str">
        <f t="shared" si="198"/>
        <v>OK</v>
      </c>
      <c r="L441" t="s">
        <v>3603</v>
      </c>
      <c r="M441" t="s">
        <v>209</v>
      </c>
      <c r="N441" t="str">
        <f t="shared" si="189"/>
        <v>Diya Patel</v>
      </c>
      <c r="O441" t="s">
        <v>40</v>
      </c>
      <c r="P441" t="str">
        <f t="shared" si="211"/>
        <v>Small Business</v>
      </c>
      <c r="Q441" t="s">
        <v>72</v>
      </c>
      <c r="R441" t="str">
        <f t="shared" si="214"/>
        <v>West</v>
      </c>
      <c r="S441" t="str">
        <f t="shared" si="199"/>
        <v>OK</v>
      </c>
      <c r="T441" t="s">
        <v>27</v>
      </c>
      <c r="U441" t="str">
        <f t="shared" si="190"/>
        <v>Rajasthan</v>
      </c>
      <c r="V441" t="s">
        <v>134</v>
      </c>
      <c r="W441" t="str">
        <f t="shared" si="191"/>
        <v>Udaipur</v>
      </c>
      <c r="X441" t="str">
        <f t="shared" si="192"/>
        <v>Furniture</v>
      </c>
      <c r="Y441" t="s">
        <v>44</v>
      </c>
      <c r="Z441" t="s">
        <v>75</v>
      </c>
      <c r="AA441" t="str">
        <f t="shared" si="193"/>
        <v>Chairs</v>
      </c>
      <c r="AB441" t="s">
        <v>3604</v>
      </c>
      <c r="AC441" t="s">
        <v>47</v>
      </c>
      <c r="AD441" t="str">
        <f t="shared" si="215"/>
        <v>Same Day</v>
      </c>
      <c r="AE441" t="str">
        <f t="shared" si="200"/>
        <v>OK</v>
      </c>
      <c r="AF441">
        <v>4</v>
      </c>
      <c r="AG441">
        <v>426.43</v>
      </c>
      <c r="AH441">
        <v>0.2</v>
      </c>
      <c r="AI441">
        <f t="shared" si="201"/>
        <v>0.2</v>
      </c>
      <c r="AJ441" t="str">
        <f t="shared" si="202"/>
        <v>OK</v>
      </c>
      <c r="AK441">
        <v>1364.58</v>
      </c>
      <c r="AL441">
        <v>978.16</v>
      </c>
      <c r="AM441">
        <v>386.42</v>
      </c>
      <c r="AN441" t="s">
        <v>33</v>
      </c>
      <c r="AO441" t="str">
        <f t="shared" si="194"/>
        <v>PAID</v>
      </c>
      <c r="AP441" t="str">
        <f t="shared" si="203"/>
        <v>OK</v>
      </c>
      <c r="AQ441" t="s">
        <v>34</v>
      </c>
      <c r="AR441" t="str">
        <f t="shared" si="195"/>
        <v>COMPLETED</v>
      </c>
      <c r="AS441" t="str">
        <f t="shared" si="204"/>
        <v>OK</v>
      </c>
      <c r="AT441">
        <f t="shared" si="205"/>
        <v>1364.576</v>
      </c>
      <c r="AU441">
        <f t="shared" si="206"/>
        <v>386.41600000000005</v>
      </c>
      <c r="AW441" t="str">
        <f t="shared" si="208"/>
        <v>CLEAN</v>
      </c>
      <c r="AX441" s="10" t="str">
        <f t="shared" si="209"/>
        <v>MATCH</v>
      </c>
      <c r="AY441" t="str">
        <f t="shared" si="210"/>
        <v>MATCH</v>
      </c>
    </row>
    <row r="442" spans="1:51">
      <c r="A442" t="s">
        <v>3605</v>
      </c>
      <c r="B442">
        <f t="shared" si="186"/>
        <v>1</v>
      </c>
      <c r="C442" t="s">
        <v>3606</v>
      </c>
      <c r="D442" s="3">
        <v>45324</v>
      </c>
      <c r="E442" t="str">
        <f t="shared" si="187"/>
        <v>2024/02/02</v>
      </c>
      <c r="F442" t="str">
        <f t="shared" si="196"/>
        <v>February</v>
      </c>
      <c r="G442">
        <f t="shared" si="197"/>
        <v>2024</v>
      </c>
      <c r="H442" t="s">
        <v>2128</v>
      </c>
      <c r="I442" s="4">
        <v>45332</v>
      </c>
      <c r="J442" s="8">
        <f t="shared" si="188"/>
        <v>8</v>
      </c>
      <c r="K442" s="8" t="str">
        <f t="shared" si="198"/>
        <v>OK</v>
      </c>
      <c r="L442" t="s">
        <v>3607</v>
      </c>
      <c r="M442" t="s">
        <v>24</v>
      </c>
      <c r="N442" t="str">
        <f t="shared" si="189"/>
        <v>Karan Malhotra</v>
      </c>
      <c r="O442" t="s">
        <v>114</v>
      </c>
      <c r="P442" t="str">
        <f t="shared" si="211"/>
        <v>Home Office</v>
      </c>
      <c r="Q442" t="s">
        <v>72</v>
      </c>
      <c r="R442" t="str">
        <f t="shared" si="214"/>
        <v>West</v>
      </c>
      <c r="S442" t="str">
        <f t="shared" si="199"/>
        <v>OK</v>
      </c>
      <c r="T442" t="s">
        <v>27</v>
      </c>
      <c r="U442" t="str">
        <f t="shared" si="190"/>
        <v>Rajasthan</v>
      </c>
      <c r="V442" t="s">
        <v>134</v>
      </c>
      <c r="W442" t="str">
        <f t="shared" si="191"/>
        <v>Udaipur</v>
      </c>
      <c r="X442" t="str">
        <f t="shared" si="192"/>
        <v>Office Supplies</v>
      </c>
      <c r="Y442" t="s">
        <v>29</v>
      </c>
      <c r="Z442" t="s">
        <v>108</v>
      </c>
      <c r="AA442" t="str">
        <f t="shared" si="193"/>
        <v>Labels</v>
      </c>
      <c r="AB442" t="s">
        <v>3608</v>
      </c>
      <c r="AC442" t="s">
        <v>55</v>
      </c>
      <c r="AD442" t="str">
        <f t="shared" si="215"/>
        <v>First Class</v>
      </c>
      <c r="AE442" t="str">
        <f t="shared" si="200"/>
        <v>OK</v>
      </c>
      <c r="AF442">
        <v>3</v>
      </c>
      <c r="AG442">
        <v>383.4</v>
      </c>
      <c r="AH442">
        <v>0.25</v>
      </c>
      <c r="AI442">
        <f t="shared" si="201"/>
        <v>0.25</v>
      </c>
      <c r="AJ442" t="str">
        <f t="shared" si="202"/>
        <v>OK</v>
      </c>
      <c r="AK442">
        <v>862.65</v>
      </c>
      <c r="AL442">
        <v>603.73</v>
      </c>
      <c r="AM442">
        <v>258.92</v>
      </c>
      <c r="AN442" t="s">
        <v>136</v>
      </c>
      <c r="AO442" t="str">
        <f t="shared" si="194"/>
        <v>PENDING</v>
      </c>
      <c r="AP442" t="str">
        <f t="shared" si="203"/>
        <v>OK</v>
      </c>
      <c r="AQ442" t="s">
        <v>124</v>
      </c>
      <c r="AR442" t="str">
        <f t="shared" si="195"/>
        <v>RETURNED</v>
      </c>
      <c r="AS442" t="str">
        <f t="shared" si="204"/>
        <v>RETURNED_ORDER</v>
      </c>
      <c r="AT442">
        <f t="shared" si="205"/>
        <v>862.64999999999986</v>
      </c>
      <c r="AU442">
        <f t="shared" si="206"/>
        <v>258.91999999999985</v>
      </c>
      <c r="AV442" s="6">
        <f t="shared" si="207"/>
        <v>8.1906219208253681</v>
      </c>
      <c r="AW442" t="str">
        <f t="shared" si="208"/>
        <v>CLEAN</v>
      </c>
      <c r="AX442" s="10" t="str">
        <f t="shared" si="209"/>
        <v>MATCH</v>
      </c>
      <c r="AY442" t="str">
        <f t="shared" si="210"/>
        <v>MATCH</v>
      </c>
    </row>
    <row r="443" spans="1:51">
      <c r="A443" t="s">
        <v>3613</v>
      </c>
      <c r="B443">
        <f t="shared" si="186"/>
        <v>1</v>
      </c>
      <c r="C443" t="s">
        <v>3614</v>
      </c>
      <c r="D443" s="2">
        <v>45479</v>
      </c>
      <c r="E443" t="str">
        <f t="shared" si="187"/>
        <v>2024/07/06</v>
      </c>
      <c r="F443" t="str">
        <f t="shared" si="196"/>
        <v>July</v>
      </c>
      <c r="G443">
        <f t="shared" si="197"/>
        <v>2024</v>
      </c>
      <c r="H443" t="s">
        <v>3615</v>
      </c>
      <c r="I443" s="4">
        <v>45450</v>
      </c>
      <c r="J443" s="8">
        <f t="shared" si="188"/>
        <v>-29</v>
      </c>
      <c r="K443" s="8" t="str">
        <f t="shared" si="198"/>
        <v>INVAILD_SHIPPING</v>
      </c>
      <c r="L443" t="s">
        <v>3616</v>
      </c>
      <c r="M443" t="s">
        <v>161</v>
      </c>
      <c r="N443" t="str">
        <f t="shared" si="189"/>
        <v>Aarav Sharma</v>
      </c>
      <c r="O443" t="s">
        <v>40</v>
      </c>
      <c r="P443" t="str">
        <f t="shared" si="211"/>
        <v>Small Business</v>
      </c>
      <c r="Q443" t="s">
        <v>41</v>
      </c>
      <c r="R443" t="str">
        <f t="shared" si="214"/>
        <v>East</v>
      </c>
      <c r="S443" t="str">
        <f t="shared" si="199"/>
        <v>OK</v>
      </c>
      <c r="T443" t="s">
        <v>185</v>
      </c>
      <c r="U443" t="str">
        <f t="shared" si="190"/>
        <v>Bihar</v>
      </c>
      <c r="V443" t="s">
        <v>186</v>
      </c>
      <c r="W443" t="str">
        <f t="shared" si="191"/>
        <v>Patna</v>
      </c>
      <c r="X443" t="str">
        <f t="shared" si="192"/>
        <v>Office Supplies</v>
      </c>
      <c r="Y443" t="s">
        <v>29</v>
      </c>
      <c r="Z443" t="s">
        <v>53</v>
      </c>
      <c r="AA443" t="str">
        <f t="shared" si="193"/>
        <v>Art</v>
      </c>
      <c r="AB443" t="s">
        <v>3617</v>
      </c>
      <c r="AC443" t="s">
        <v>32</v>
      </c>
      <c r="AD443" t="str">
        <f t="shared" si="215"/>
        <v>Second Class</v>
      </c>
      <c r="AE443" t="str">
        <f t="shared" si="200"/>
        <v>OK</v>
      </c>
      <c r="AF443">
        <v>1</v>
      </c>
      <c r="AG443">
        <v>2581.9299999999998</v>
      </c>
      <c r="AH443">
        <v>0.05</v>
      </c>
      <c r="AI443">
        <f t="shared" si="201"/>
        <v>0.05</v>
      </c>
      <c r="AJ443" t="str">
        <f t="shared" si="202"/>
        <v>OK</v>
      </c>
      <c r="AK443">
        <v>2452.83</v>
      </c>
      <c r="AL443">
        <v>1906.7</v>
      </c>
      <c r="AM443">
        <v>546.13</v>
      </c>
      <c r="AN443" t="s">
        <v>33</v>
      </c>
      <c r="AO443" t="str">
        <f t="shared" si="194"/>
        <v>PAID</v>
      </c>
      <c r="AP443" t="str">
        <f t="shared" si="203"/>
        <v>OK</v>
      </c>
      <c r="AQ443" t="s">
        <v>34</v>
      </c>
      <c r="AR443" t="str">
        <f t="shared" si="195"/>
        <v>COMPLETED</v>
      </c>
      <c r="AS443" t="str">
        <f t="shared" si="204"/>
        <v>OK</v>
      </c>
      <c r="AT443">
        <f t="shared" si="205"/>
        <v>2452.8334999999997</v>
      </c>
      <c r="AU443">
        <f t="shared" si="206"/>
        <v>546.13349999999969</v>
      </c>
      <c r="AV443" s="6">
        <f t="shared" si="207"/>
        <v>0.72071911933688204</v>
      </c>
      <c r="AW443" t="str">
        <f t="shared" si="208"/>
        <v>CLEAN</v>
      </c>
      <c r="AX443" s="10" t="str">
        <f t="shared" si="209"/>
        <v>MATCH</v>
      </c>
      <c r="AY443" t="str">
        <f t="shared" si="210"/>
        <v>MATCH</v>
      </c>
    </row>
    <row r="444" spans="1:51">
      <c r="A444" t="s">
        <v>3623</v>
      </c>
      <c r="B444">
        <f t="shared" si="186"/>
        <v>1</v>
      </c>
      <c r="C444" t="s">
        <v>3624</v>
      </c>
      <c r="D444" s="3">
        <v>45435</v>
      </c>
      <c r="E444" t="str">
        <f t="shared" si="187"/>
        <v>2024/05/23</v>
      </c>
      <c r="F444" t="str">
        <f t="shared" si="196"/>
        <v>May</v>
      </c>
      <c r="G444">
        <f t="shared" si="197"/>
        <v>2024</v>
      </c>
      <c r="H444" t="s">
        <v>272</v>
      </c>
      <c r="I444" s="4">
        <v>45441</v>
      </c>
      <c r="J444" s="8">
        <f t="shared" si="188"/>
        <v>6</v>
      </c>
      <c r="K444" s="8" t="str">
        <f t="shared" si="198"/>
        <v>OK</v>
      </c>
      <c r="L444" t="s">
        <v>3625</v>
      </c>
      <c r="M444" t="s">
        <v>209</v>
      </c>
      <c r="N444" t="str">
        <f t="shared" si="189"/>
        <v>Diya Patel</v>
      </c>
      <c r="O444" t="s">
        <v>40</v>
      </c>
      <c r="P444" t="str">
        <f t="shared" si="211"/>
        <v>Small Business</v>
      </c>
      <c r="Q444" t="s">
        <v>26</v>
      </c>
      <c r="R444" t="str">
        <f t="shared" si="214"/>
        <v>North</v>
      </c>
      <c r="S444" t="str">
        <f t="shared" si="199"/>
        <v>OK</v>
      </c>
      <c r="T444" t="s">
        <v>322</v>
      </c>
      <c r="U444" t="str">
        <f t="shared" si="190"/>
        <v>Haryana</v>
      </c>
      <c r="V444" t="s">
        <v>323</v>
      </c>
      <c r="W444" t="str">
        <f t="shared" si="191"/>
        <v>Gurugram</v>
      </c>
      <c r="X444" t="str">
        <f t="shared" si="192"/>
        <v>Office Supplies</v>
      </c>
      <c r="Y444" t="s">
        <v>29</v>
      </c>
      <c r="Z444" t="s">
        <v>155</v>
      </c>
      <c r="AA444" t="str">
        <f t="shared" si="193"/>
        <v>Storage</v>
      </c>
      <c r="AB444" t="s">
        <v>3626</v>
      </c>
      <c r="AC444" t="s">
        <v>47</v>
      </c>
      <c r="AD444" t="str">
        <f t="shared" si="215"/>
        <v>Same Day</v>
      </c>
      <c r="AE444" t="str">
        <f t="shared" si="200"/>
        <v>OK</v>
      </c>
      <c r="AF444">
        <v>2</v>
      </c>
      <c r="AG444">
        <v>3012.94</v>
      </c>
      <c r="AH444">
        <v>0.25</v>
      </c>
      <c r="AI444">
        <f t="shared" si="201"/>
        <v>0.25</v>
      </c>
      <c r="AJ444" t="str">
        <f t="shared" si="202"/>
        <v>OK</v>
      </c>
      <c r="AK444">
        <v>4519.41</v>
      </c>
      <c r="AL444">
        <v>3504.16</v>
      </c>
      <c r="AM444">
        <v>1275.55</v>
      </c>
      <c r="AN444" t="s">
        <v>199</v>
      </c>
      <c r="AO444" t="str">
        <f t="shared" si="194"/>
        <v>FAILED</v>
      </c>
      <c r="AP444" t="str">
        <f t="shared" si="203"/>
        <v>EXCLUDE_FROM_SALES</v>
      </c>
      <c r="AQ444" t="s">
        <v>77</v>
      </c>
      <c r="AR444" t="str">
        <f t="shared" si="195"/>
        <v>CANCELLED</v>
      </c>
      <c r="AS444" t="str">
        <f t="shared" si="204"/>
        <v>EXCLUDE_FROM_SALES</v>
      </c>
      <c r="AT444">
        <f t="shared" si="205"/>
        <v>4519.41</v>
      </c>
      <c r="AU444">
        <f t="shared" si="206"/>
        <v>1015.25</v>
      </c>
      <c r="AV444" s="6">
        <f t="shared" si="207"/>
        <v>0.35670762334021483</v>
      </c>
      <c r="AW444" t="str">
        <f t="shared" si="208"/>
        <v>CLEAN</v>
      </c>
      <c r="AX444" s="10" t="str">
        <f t="shared" si="209"/>
        <v>MATCH</v>
      </c>
      <c r="AY444" t="str">
        <f t="shared" si="210"/>
        <v>MISMATCH</v>
      </c>
    </row>
    <row r="445" spans="1:51">
      <c r="A445" t="s">
        <v>3630</v>
      </c>
      <c r="B445">
        <f t="shared" si="186"/>
        <v>1</v>
      </c>
      <c r="C445" t="s">
        <v>1323</v>
      </c>
      <c r="D445" s="3">
        <v>45635</v>
      </c>
      <c r="E445" t="str">
        <f t="shared" si="187"/>
        <v>2024/12/09</v>
      </c>
      <c r="F445" t="str">
        <f t="shared" si="196"/>
        <v>December</v>
      </c>
      <c r="G445">
        <f t="shared" si="197"/>
        <v>2024</v>
      </c>
      <c r="H445" t="s">
        <v>3631</v>
      </c>
      <c r="I445" s="4">
        <v>45553</v>
      </c>
      <c r="J445" s="8">
        <f t="shared" si="188"/>
        <v>-82</v>
      </c>
      <c r="K445" s="8" t="str">
        <f t="shared" si="198"/>
        <v>INVAILD_SHIPPING</v>
      </c>
      <c r="L445" t="s">
        <v>3632</v>
      </c>
      <c r="M445" t="s">
        <v>71</v>
      </c>
      <c r="N445" t="str">
        <f t="shared" si="189"/>
        <v>Ananya Rao</v>
      </c>
      <c r="O445" t="s">
        <v>114</v>
      </c>
      <c r="P445" t="str">
        <f t="shared" si="211"/>
        <v>Home Office</v>
      </c>
      <c r="Q445" t="s">
        <v>41</v>
      </c>
      <c r="R445" t="str">
        <f t="shared" si="214"/>
        <v>East</v>
      </c>
      <c r="S445" t="str">
        <f t="shared" si="199"/>
        <v>OK</v>
      </c>
      <c r="T445" t="s">
        <v>185</v>
      </c>
      <c r="U445" t="str">
        <f t="shared" si="190"/>
        <v>Bihar</v>
      </c>
      <c r="V445" t="s">
        <v>186</v>
      </c>
      <c r="W445" t="str">
        <f t="shared" si="191"/>
        <v>Patna</v>
      </c>
      <c r="X445" t="str">
        <f t="shared" si="192"/>
        <v>Office Supplies</v>
      </c>
      <c r="Y445" t="s">
        <v>29</v>
      </c>
      <c r="Z445" t="s">
        <v>30</v>
      </c>
      <c r="AA445" t="str">
        <f t="shared" si="193"/>
        <v>Paper</v>
      </c>
      <c r="AB445" t="s">
        <v>3633</v>
      </c>
      <c r="AC445" t="s">
        <v>32</v>
      </c>
      <c r="AD445" t="str">
        <f t="shared" si="215"/>
        <v>Second Class</v>
      </c>
      <c r="AE445" t="str">
        <f t="shared" si="200"/>
        <v>OK</v>
      </c>
      <c r="AF445">
        <v>2</v>
      </c>
      <c r="AG445">
        <v>3718.77</v>
      </c>
      <c r="AH445">
        <v>0.05</v>
      </c>
      <c r="AI445">
        <f t="shared" si="201"/>
        <v>0.05</v>
      </c>
      <c r="AJ445" t="str">
        <f t="shared" si="202"/>
        <v>OK</v>
      </c>
      <c r="AK445">
        <v>7065.66</v>
      </c>
      <c r="AL445">
        <v>4915.2700000000004</v>
      </c>
      <c r="AM445">
        <v>2150.39</v>
      </c>
      <c r="AN445" t="s">
        <v>33</v>
      </c>
      <c r="AO445" t="str">
        <f t="shared" si="194"/>
        <v>PAID</v>
      </c>
      <c r="AP445" t="str">
        <f t="shared" si="203"/>
        <v>OK</v>
      </c>
      <c r="AQ445" t="s">
        <v>34</v>
      </c>
      <c r="AR445" t="str">
        <f t="shared" si="195"/>
        <v>COMPLETED</v>
      </c>
      <c r="AS445" t="str">
        <f t="shared" si="204"/>
        <v>OK</v>
      </c>
      <c r="AT445">
        <f t="shared" si="205"/>
        <v>7065.6629999999996</v>
      </c>
      <c r="AU445">
        <f t="shared" si="206"/>
        <v>2150.3929999999991</v>
      </c>
      <c r="AV445" s="6">
        <f t="shared" si="207"/>
        <v>1.6020789556478988E-2</v>
      </c>
      <c r="AW445" t="str">
        <f t="shared" si="208"/>
        <v>CLEAN</v>
      </c>
      <c r="AX445" s="10" t="str">
        <f t="shared" si="209"/>
        <v>MATCH</v>
      </c>
      <c r="AY445" t="str">
        <f t="shared" si="210"/>
        <v>MATCH</v>
      </c>
    </row>
    <row r="446" spans="1:51">
      <c r="A446" t="s">
        <v>3634</v>
      </c>
      <c r="B446">
        <f t="shared" si="186"/>
        <v>1</v>
      </c>
      <c r="C446" t="s">
        <v>1298</v>
      </c>
      <c r="D446" s="2">
        <v>45299</v>
      </c>
      <c r="E446" t="str">
        <f t="shared" si="187"/>
        <v>2024/01/08</v>
      </c>
      <c r="F446" t="str">
        <f t="shared" si="196"/>
        <v>January</v>
      </c>
      <c r="G446">
        <f t="shared" si="197"/>
        <v>2024</v>
      </c>
      <c r="H446" t="s">
        <v>537</v>
      </c>
      <c r="I446" s="4">
        <v>45330</v>
      </c>
      <c r="J446" s="8">
        <f t="shared" si="188"/>
        <v>31</v>
      </c>
      <c r="K446" s="8" t="str">
        <f t="shared" si="198"/>
        <v>OK</v>
      </c>
      <c r="L446" t="s">
        <v>3635</v>
      </c>
      <c r="M446" t="s">
        <v>52</v>
      </c>
      <c r="N446" t="str">
        <f t="shared" si="189"/>
        <v>Isha Nair</v>
      </c>
      <c r="O446" t="s">
        <v>107</v>
      </c>
      <c r="P446" t="str">
        <f t="shared" si="211"/>
        <v>Corporate</v>
      </c>
      <c r="Q446" t="s">
        <v>26</v>
      </c>
      <c r="R446" t="str">
        <f t="shared" si="214"/>
        <v>North</v>
      </c>
      <c r="S446" t="str">
        <f t="shared" si="199"/>
        <v>OK</v>
      </c>
      <c r="T446" t="s">
        <v>173</v>
      </c>
      <c r="U446" t="str">
        <f t="shared" si="190"/>
        <v>Uttar Pradesh</v>
      </c>
      <c r="V446" t="s">
        <v>174</v>
      </c>
      <c r="W446" t="str">
        <f t="shared" si="191"/>
        <v>Noida</v>
      </c>
      <c r="X446" t="str">
        <f t="shared" si="192"/>
        <v>Furniture</v>
      </c>
      <c r="Y446" t="s">
        <v>44</v>
      </c>
      <c r="Z446" t="s">
        <v>75</v>
      </c>
      <c r="AA446" t="str">
        <f t="shared" si="193"/>
        <v>Chairs</v>
      </c>
      <c r="AB446" t="s">
        <v>3636</v>
      </c>
      <c r="AC446" t="s">
        <v>66</v>
      </c>
      <c r="AD446" t="str">
        <f t="shared" si="215"/>
        <v>Standard Class</v>
      </c>
      <c r="AE446" t="str">
        <f t="shared" si="200"/>
        <v>OK</v>
      </c>
      <c r="AF446">
        <v>8</v>
      </c>
      <c r="AG446">
        <v>2487.64</v>
      </c>
      <c r="AH446">
        <v>0.1</v>
      </c>
      <c r="AI446">
        <f t="shared" si="201"/>
        <v>0.1</v>
      </c>
      <c r="AJ446" t="str">
        <f t="shared" si="202"/>
        <v>OK</v>
      </c>
      <c r="AK446">
        <v>17911.009999999998</v>
      </c>
      <c r="AL446">
        <v>11546.05</v>
      </c>
      <c r="AM446">
        <v>6364.96</v>
      </c>
      <c r="AN446" t="s">
        <v>199</v>
      </c>
      <c r="AO446" t="str">
        <f t="shared" si="194"/>
        <v>FAILED</v>
      </c>
      <c r="AP446" t="str">
        <f t="shared" si="203"/>
        <v>EXCLUDE_FROM_SALES</v>
      </c>
      <c r="AQ446" t="s">
        <v>124</v>
      </c>
      <c r="AR446" t="str">
        <f t="shared" si="195"/>
        <v>RETURNED</v>
      </c>
      <c r="AS446" t="str">
        <f t="shared" si="204"/>
        <v>RETURNED_ORDER</v>
      </c>
      <c r="AT446">
        <f t="shared" si="205"/>
        <v>17911.007999999998</v>
      </c>
      <c r="AU446">
        <f t="shared" si="206"/>
        <v>6364.9579999999987</v>
      </c>
      <c r="AV446" s="6">
        <f t="shared" si="207"/>
        <v>0.11223723421931364</v>
      </c>
      <c r="AW446" t="str">
        <f t="shared" si="208"/>
        <v>CLEAN</v>
      </c>
      <c r="AX446" s="10" t="str">
        <f t="shared" si="209"/>
        <v>MATCH</v>
      </c>
      <c r="AY446" t="str">
        <f t="shared" si="210"/>
        <v>MATCH</v>
      </c>
    </row>
    <row r="447" spans="1:51">
      <c r="A447" t="s">
        <v>3641</v>
      </c>
      <c r="B447">
        <f t="shared" si="186"/>
        <v>1</v>
      </c>
      <c r="C447" t="s">
        <v>3642</v>
      </c>
      <c r="D447" s="2">
        <v>45443</v>
      </c>
      <c r="E447" t="str">
        <f t="shared" si="187"/>
        <v>2024/05/31</v>
      </c>
      <c r="F447" t="str">
        <f t="shared" si="196"/>
        <v>May</v>
      </c>
      <c r="G447">
        <f t="shared" si="197"/>
        <v>2024</v>
      </c>
      <c r="H447" t="s">
        <v>3643</v>
      </c>
      <c r="I447" s="4">
        <v>45445</v>
      </c>
      <c r="J447" s="8">
        <f t="shared" si="188"/>
        <v>2</v>
      </c>
      <c r="K447" s="8" t="str">
        <f t="shared" si="198"/>
        <v>OK</v>
      </c>
      <c r="L447" t="s">
        <v>3644</v>
      </c>
      <c r="M447" t="s">
        <v>147</v>
      </c>
      <c r="N447" t="str">
        <f t="shared" si="189"/>
        <v>Rahul Verma</v>
      </c>
      <c r="O447" t="s">
        <v>107</v>
      </c>
      <c r="P447" t="str">
        <f t="shared" si="211"/>
        <v>Corporate</v>
      </c>
      <c r="Q447" t="s">
        <v>61</v>
      </c>
      <c r="R447" t="str">
        <f t="shared" si="214"/>
        <v>South</v>
      </c>
      <c r="S447" t="str">
        <f t="shared" si="199"/>
        <v>OK</v>
      </c>
      <c r="T447" t="s">
        <v>99</v>
      </c>
      <c r="U447" t="str">
        <f t="shared" si="190"/>
        <v>Andhra Pradesh</v>
      </c>
      <c r="V447" t="s">
        <v>100</v>
      </c>
      <c r="W447" t="str">
        <f t="shared" si="191"/>
        <v>Vijayawada</v>
      </c>
      <c r="X447" t="str">
        <f t="shared" si="192"/>
        <v>Office Supplies</v>
      </c>
      <c r="Y447" t="s">
        <v>29</v>
      </c>
      <c r="Z447" t="s">
        <v>53</v>
      </c>
      <c r="AA447" t="str">
        <f t="shared" si="193"/>
        <v>Art</v>
      </c>
      <c r="AB447" t="s">
        <v>3645</v>
      </c>
      <c r="AC447" t="s">
        <v>66</v>
      </c>
      <c r="AD447" t="str">
        <f t="shared" si="215"/>
        <v>Standard Class</v>
      </c>
      <c r="AE447" t="str">
        <f t="shared" si="200"/>
        <v>OK</v>
      </c>
      <c r="AF447">
        <v>8</v>
      </c>
      <c r="AG447">
        <v>667.59</v>
      </c>
      <c r="AH447">
        <v>0.2</v>
      </c>
      <c r="AI447">
        <f t="shared" si="201"/>
        <v>0.2</v>
      </c>
      <c r="AJ447" t="str">
        <f t="shared" si="202"/>
        <v>OK</v>
      </c>
      <c r="AK447">
        <v>4272.58</v>
      </c>
      <c r="AL447">
        <v>3328.92</v>
      </c>
      <c r="AM447">
        <v>943.66</v>
      </c>
      <c r="AN447" t="s">
        <v>33</v>
      </c>
      <c r="AO447" t="str">
        <f t="shared" si="194"/>
        <v>PAID</v>
      </c>
      <c r="AP447" t="str">
        <f t="shared" si="203"/>
        <v>OK</v>
      </c>
      <c r="AQ447" t="s">
        <v>34</v>
      </c>
      <c r="AR447" t="str">
        <f t="shared" si="195"/>
        <v>COMPLETED</v>
      </c>
      <c r="AS447" t="str">
        <f t="shared" si="204"/>
        <v>OK</v>
      </c>
      <c r="AT447">
        <f t="shared" si="205"/>
        <v>4272.576</v>
      </c>
      <c r="AU447">
        <f t="shared" si="206"/>
        <v>943.65599999999995</v>
      </c>
      <c r="AV447" s="6">
        <f t="shared" si="207"/>
        <v>1.3075554419628816</v>
      </c>
      <c r="AW447" t="str">
        <f t="shared" si="208"/>
        <v>CLEAN</v>
      </c>
      <c r="AX447" s="10" t="str">
        <f t="shared" si="209"/>
        <v>MATCH</v>
      </c>
      <c r="AY447" t="str">
        <f t="shared" si="210"/>
        <v>MATCH</v>
      </c>
    </row>
    <row r="448" spans="1:51">
      <c r="A448" t="s">
        <v>3646</v>
      </c>
      <c r="B448">
        <f t="shared" si="186"/>
        <v>1</v>
      </c>
      <c r="C448" t="s">
        <v>3012</v>
      </c>
      <c r="D448" s="2">
        <v>45332</v>
      </c>
      <c r="E448" t="str">
        <f t="shared" si="187"/>
        <v>2024/02/10</v>
      </c>
      <c r="F448" t="str">
        <f t="shared" si="196"/>
        <v>February</v>
      </c>
      <c r="G448">
        <f t="shared" si="197"/>
        <v>2024</v>
      </c>
      <c r="H448" t="s">
        <v>3647</v>
      </c>
      <c r="I448" s="4">
        <v>45571</v>
      </c>
      <c r="J448" s="8">
        <f t="shared" si="188"/>
        <v>239</v>
      </c>
      <c r="K448" s="8" t="str">
        <f t="shared" si="198"/>
        <v>OK</v>
      </c>
      <c r="L448" t="s">
        <v>3648</v>
      </c>
      <c r="M448" t="s">
        <v>147</v>
      </c>
      <c r="N448" t="str">
        <f t="shared" si="189"/>
        <v>Rahul Verma</v>
      </c>
      <c r="O448" t="s">
        <v>114</v>
      </c>
      <c r="P448" t="str">
        <f t="shared" si="211"/>
        <v>Home Office</v>
      </c>
      <c r="Q448" t="s">
        <v>61</v>
      </c>
      <c r="R448" t="str">
        <f t="shared" si="214"/>
        <v>South</v>
      </c>
      <c r="S448" t="str">
        <f t="shared" si="199"/>
        <v>OK</v>
      </c>
      <c r="T448" t="s">
        <v>228</v>
      </c>
      <c r="U448" t="str">
        <f t="shared" si="190"/>
        <v>Karnataka</v>
      </c>
      <c r="V448" t="s">
        <v>229</v>
      </c>
      <c r="W448" t="str">
        <f t="shared" si="191"/>
        <v>Bengaluru</v>
      </c>
      <c r="X448" t="str">
        <f t="shared" si="192"/>
        <v>Furniture</v>
      </c>
      <c r="Y448" t="s">
        <v>44</v>
      </c>
      <c r="Z448" t="s">
        <v>203</v>
      </c>
      <c r="AA448" t="str">
        <f t="shared" si="193"/>
        <v>Bookcases</v>
      </c>
      <c r="AB448" t="s">
        <v>3649</v>
      </c>
      <c r="AC448" t="s">
        <v>47</v>
      </c>
      <c r="AD448" t="str">
        <f t="shared" si="215"/>
        <v>Same Day</v>
      </c>
      <c r="AE448" t="str">
        <f t="shared" si="200"/>
        <v>OK</v>
      </c>
      <c r="AF448">
        <v>8</v>
      </c>
      <c r="AG448">
        <v>1558.77</v>
      </c>
      <c r="AH448">
        <v>0.25</v>
      </c>
      <c r="AI448">
        <f t="shared" si="201"/>
        <v>0.25</v>
      </c>
      <c r="AJ448" t="str">
        <f t="shared" si="202"/>
        <v>OK</v>
      </c>
      <c r="AK448">
        <v>9352.6200000000008</v>
      </c>
      <c r="AL448">
        <v>5269.41</v>
      </c>
      <c r="AM448">
        <v>4083.21</v>
      </c>
      <c r="AN448" t="s">
        <v>33</v>
      </c>
      <c r="AO448" t="str">
        <f t="shared" si="194"/>
        <v>PAID</v>
      </c>
      <c r="AP448" t="str">
        <f t="shared" si="203"/>
        <v>OK</v>
      </c>
      <c r="AQ448" t="s">
        <v>34</v>
      </c>
      <c r="AR448" t="str">
        <f t="shared" si="195"/>
        <v>COMPLETED</v>
      </c>
      <c r="AS448" t="str">
        <f t="shared" si="204"/>
        <v>OK</v>
      </c>
      <c r="AT448">
        <f t="shared" si="205"/>
        <v>9352.619999999999</v>
      </c>
      <c r="AU448">
        <f t="shared" si="206"/>
        <v>4083.2099999999991</v>
      </c>
      <c r="AV448" s="6">
        <f t="shared" si="207"/>
        <v>0.10357846250569361</v>
      </c>
      <c r="AW448" t="str">
        <f t="shared" si="208"/>
        <v>CLEAN</v>
      </c>
      <c r="AX448" s="10" t="str">
        <f t="shared" si="209"/>
        <v>MATCH</v>
      </c>
      <c r="AY448" t="str">
        <f t="shared" si="210"/>
        <v>MATCH</v>
      </c>
    </row>
    <row r="449" spans="1:51">
      <c r="A449" t="s">
        <v>3654</v>
      </c>
      <c r="B449">
        <f t="shared" si="186"/>
        <v>1</v>
      </c>
      <c r="C449" t="s">
        <v>80</v>
      </c>
      <c r="D449" s="3">
        <v>45440</v>
      </c>
      <c r="E449" t="str">
        <f t="shared" si="187"/>
        <v>2024/05/28</v>
      </c>
      <c r="F449" t="str">
        <f t="shared" si="196"/>
        <v>May</v>
      </c>
      <c r="G449">
        <f t="shared" si="197"/>
        <v>2024</v>
      </c>
      <c r="H449" t="s">
        <v>3655</v>
      </c>
      <c r="I449" s="4">
        <v>45446</v>
      </c>
      <c r="J449" s="8">
        <f t="shared" si="188"/>
        <v>6</v>
      </c>
      <c r="K449" s="8" t="str">
        <f t="shared" si="198"/>
        <v>OK</v>
      </c>
      <c r="L449" t="s">
        <v>3656</v>
      </c>
      <c r="M449" t="s">
        <v>82</v>
      </c>
      <c r="N449" t="str">
        <f t="shared" si="189"/>
        <v>Vikram Iyer</v>
      </c>
      <c r="O449" t="s">
        <v>107</v>
      </c>
      <c r="P449" t="str">
        <f t="shared" si="211"/>
        <v>Corporate</v>
      </c>
      <c r="Q449" t="s">
        <v>26</v>
      </c>
      <c r="R449" t="str">
        <f t="shared" si="214"/>
        <v>North</v>
      </c>
      <c r="S449" t="str">
        <f t="shared" si="199"/>
        <v>OK</v>
      </c>
      <c r="T449" t="s">
        <v>27</v>
      </c>
      <c r="U449" t="str">
        <f t="shared" si="190"/>
        <v>Rajasthan</v>
      </c>
      <c r="V449" t="s">
        <v>28</v>
      </c>
      <c r="W449" t="str">
        <f t="shared" si="191"/>
        <v>Jaipur</v>
      </c>
      <c r="X449" t="str">
        <f t="shared" si="192"/>
        <v>Technology</v>
      </c>
      <c r="Y449" t="s">
        <v>85</v>
      </c>
      <c r="Z449" t="s">
        <v>93</v>
      </c>
      <c r="AA449" t="str">
        <f t="shared" si="193"/>
        <v>Copiers</v>
      </c>
      <c r="AB449" t="s">
        <v>3657</v>
      </c>
      <c r="AC449" t="s">
        <v>32</v>
      </c>
      <c r="AD449" t="str">
        <f t="shared" si="215"/>
        <v>Second Class</v>
      </c>
      <c r="AE449" t="str">
        <f t="shared" si="200"/>
        <v>OK</v>
      </c>
      <c r="AF449">
        <v>5</v>
      </c>
      <c r="AG449">
        <v>4302.32</v>
      </c>
      <c r="AH449">
        <v>0</v>
      </c>
      <c r="AI449">
        <f t="shared" si="201"/>
        <v>0</v>
      </c>
      <c r="AJ449" t="str">
        <f t="shared" si="202"/>
        <v>OK</v>
      </c>
      <c r="AK449">
        <v>21511.599999999999</v>
      </c>
      <c r="AL449">
        <v>15408.47</v>
      </c>
      <c r="AM449">
        <v>6103.13</v>
      </c>
      <c r="AN449" t="s">
        <v>33</v>
      </c>
      <c r="AO449" t="str">
        <f t="shared" si="194"/>
        <v>PAID</v>
      </c>
      <c r="AP449" t="str">
        <f t="shared" si="203"/>
        <v>OK</v>
      </c>
      <c r="AQ449" t="s">
        <v>34</v>
      </c>
      <c r="AR449" t="str">
        <f t="shared" si="195"/>
        <v>COMPLETED</v>
      </c>
      <c r="AS449" t="str">
        <f t="shared" si="204"/>
        <v>OK</v>
      </c>
      <c r="AT449">
        <f t="shared" si="205"/>
        <v>21511.599999999999</v>
      </c>
      <c r="AU449">
        <f t="shared" si="206"/>
        <v>6103.1299999999992</v>
      </c>
      <c r="AV449" s="6">
        <f t="shared" si="207"/>
        <v>1.0383235091764444E-2</v>
      </c>
      <c r="AW449" t="str">
        <f t="shared" si="208"/>
        <v>CLEAN</v>
      </c>
      <c r="AX449" s="10" t="str">
        <f t="shared" si="209"/>
        <v>MATCH</v>
      </c>
      <c r="AY449" t="str">
        <f t="shared" si="210"/>
        <v>MATCH</v>
      </c>
    </row>
    <row r="450" spans="1:51">
      <c r="A450" t="s">
        <v>3662</v>
      </c>
      <c r="B450">
        <f t="shared" ref="B450:B513" si="216">COUNTIF($A:$A,A450)</f>
        <v>1</v>
      </c>
      <c r="C450" t="s">
        <v>3663</v>
      </c>
      <c r="D450" s="3">
        <v>45503</v>
      </c>
      <c r="E450" t="str">
        <f t="shared" ref="E450:E513" si="217">IFERROR(
TEXT(
  IF(ISNUMBER(SEARCH("/",D450)),
     DATE(RIGHT(D450,4),LEFT(D450,FIND("/",D450)-1),
          MID(D450,FIND("/",D450)+1,FIND("/",D450,FIND("/",D450)+1)-FIND("/",D450)-1)),
     IF(ISNUMBER(SEARCH("-",D450)),
        DATEVALUE(SUBSTITUTE(D450,"-","/")),
        DATEVALUE(TEXT(D450,"dd mmm yyyy"))
     )
  ),
"yyyy/mm/dd"
),
"")</f>
        <v>2024/07/30</v>
      </c>
      <c r="F450" t="str">
        <f t="shared" si="196"/>
        <v>July</v>
      </c>
      <c r="G450">
        <f t="shared" si="197"/>
        <v>2024</v>
      </c>
      <c r="H450" t="s">
        <v>528</v>
      </c>
      <c r="I450" s="4">
        <v>45503</v>
      </c>
      <c r="J450" s="8">
        <f t="shared" ref="J450:J513" si="218">I450-E450</f>
        <v>0</v>
      </c>
      <c r="K450" s="8" t="str">
        <f t="shared" si="198"/>
        <v>OK</v>
      </c>
      <c r="L450" t="s">
        <v>3664</v>
      </c>
      <c r="M450" t="s">
        <v>209</v>
      </c>
      <c r="N450" t="str">
        <f t="shared" ref="N450:N513" si="219">PROPER(TRIM(SUBSTITUTE(M450,CHAR(160)," ")))</f>
        <v>Diya Patel</v>
      </c>
      <c r="O450" t="s">
        <v>114</v>
      </c>
      <c r="P450" t="str">
        <f t="shared" si="211"/>
        <v>Home Office</v>
      </c>
      <c r="Q450" t="s">
        <v>41</v>
      </c>
      <c r="R450" t="str">
        <f t="shared" si="214"/>
        <v>East</v>
      </c>
      <c r="S450" t="str">
        <f t="shared" si="199"/>
        <v>OK</v>
      </c>
      <c r="T450" t="s">
        <v>42</v>
      </c>
      <c r="U450" t="str">
        <f t="shared" ref="U450:U513" si="220">PROPER(TRIM(SUBSTITUTE(T450,CHAR(160)," ")))</f>
        <v>Odisha</v>
      </c>
      <c r="V450" t="s">
        <v>43</v>
      </c>
      <c r="W450" t="str">
        <f t="shared" ref="W450:W513" si="221">PROPER(TRIM(SUBSTITUTE(V450,CHAR(160)," ")))</f>
        <v>Bhubaneswar</v>
      </c>
      <c r="X450" t="str">
        <f t="shared" ref="X450:X513" si="222">PROPER(TRIM(SUBSTITUTE(Y450,CHAR(160)," ")))</f>
        <v>Technology</v>
      </c>
      <c r="Y450" t="s">
        <v>85</v>
      </c>
      <c r="Z450" t="s">
        <v>93</v>
      </c>
      <c r="AA450" t="str">
        <f t="shared" ref="AA450:AA513" si="223">PROPER(TRIM(SUBSTITUTE(Z450,CHAR(160)," ")))</f>
        <v>Copiers</v>
      </c>
      <c r="AB450" t="s">
        <v>3665</v>
      </c>
      <c r="AC450" t="s">
        <v>47</v>
      </c>
      <c r="AD450" t="str">
        <f t="shared" si="215"/>
        <v>Same Day</v>
      </c>
      <c r="AE450" t="str">
        <f t="shared" si="200"/>
        <v>OK</v>
      </c>
      <c r="AF450">
        <v>9</v>
      </c>
      <c r="AG450">
        <v>2894.66</v>
      </c>
      <c r="AH450">
        <v>0</v>
      </c>
      <c r="AI450">
        <f t="shared" si="201"/>
        <v>0</v>
      </c>
      <c r="AJ450" t="str">
        <f t="shared" si="202"/>
        <v>OK</v>
      </c>
      <c r="AK450">
        <v>26051.94</v>
      </c>
      <c r="AL450">
        <v>16883.59</v>
      </c>
      <c r="AM450">
        <v>9168.35</v>
      </c>
      <c r="AN450" t="s">
        <v>123</v>
      </c>
      <c r="AO450" t="str">
        <f t="shared" ref="AO450:AO513" si="224">UPPER(TRIM(SUBSTITUTE(AN450,CHAR(160)," ")))</f>
        <v>REFUNDED</v>
      </c>
      <c r="AP450" t="str">
        <f t="shared" si="203"/>
        <v>REFUNDED_PAYMENT</v>
      </c>
      <c r="AQ450" t="s">
        <v>77</v>
      </c>
      <c r="AR450" t="str">
        <f t="shared" ref="AR450:AR513" si="225">UPPER(TRIM(SUBSTITUTE(AQ450,CHAR(160)," ")))</f>
        <v>CANCELLED</v>
      </c>
      <c r="AS450" t="str">
        <f t="shared" si="204"/>
        <v>EXCLUDE_FROM_SALES</v>
      </c>
      <c r="AT450">
        <f t="shared" si="205"/>
        <v>26051.94</v>
      </c>
      <c r="AU450">
        <f t="shared" si="206"/>
        <v>9168.3499999999985</v>
      </c>
      <c r="AV450" s="6">
        <f t="shared" si="207"/>
        <v>6.2650842893082051E-2</v>
      </c>
      <c r="AW450" t="str">
        <f t="shared" si="208"/>
        <v>CLEAN</v>
      </c>
      <c r="AX450" s="10" t="str">
        <f t="shared" si="209"/>
        <v>MATCH</v>
      </c>
      <c r="AY450" t="str">
        <f t="shared" si="210"/>
        <v>MATCH</v>
      </c>
    </row>
    <row r="451" spans="1:51">
      <c r="A451" t="s">
        <v>3666</v>
      </c>
      <c r="B451">
        <f t="shared" si="216"/>
        <v>1</v>
      </c>
      <c r="C451" t="s">
        <v>795</v>
      </c>
      <c r="D451" s="3">
        <v>45374</v>
      </c>
      <c r="E451" t="str">
        <f t="shared" si="217"/>
        <v>2024/03/23</v>
      </c>
      <c r="F451" t="str">
        <f t="shared" ref="F451:F514" si="226">TEXT(E451,"MMMM")</f>
        <v>March</v>
      </c>
      <c r="G451">
        <f t="shared" ref="G451:G514" si="227">YEAR(E451)</f>
        <v>2024</v>
      </c>
      <c r="H451" t="s">
        <v>3667</v>
      </c>
      <c r="I451" s="4">
        <v>45381</v>
      </c>
      <c r="J451" s="8">
        <f t="shared" si="218"/>
        <v>7</v>
      </c>
      <c r="K451" s="8" t="str">
        <f t="shared" ref="K451:K514" si="228">IF(J451&lt;0,"INVAILD_SHIPPING","OK")</f>
        <v>OK</v>
      </c>
      <c r="L451" t="s">
        <v>3668</v>
      </c>
      <c r="M451" t="s">
        <v>179</v>
      </c>
      <c r="N451" t="str">
        <f t="shared" si="219"/>
        <v>Rohan Mehta</v>
      </c>
      <c r="O451" t="s">
        <v>40</v>
      </c>
      <c r="P451" t="str">
        <f t="shared" si="211"/>
        <v>Small Business</v>
      </c>
      <c r="Q451" t="s">
        <v>61</v>
      </c>
      <c r="R451" t="str">
        <f t="shared" si="214"/>
        <v>South</v>
      </c>
      <c r="S451" t="str">
        <f t="shared" ref="S451:S514" si="229">IF(R451="Unknown","MISSING_REGION","OK")</f>
        <v>OK</v>
      </c>
      <c r="T451" t="s">
        <v>99</v>
      </c>
      <c r="U451" t="str">
        <f t="shared" si="220"/>
        <v>Andhra Pradesh</v>
      </c>
      <c r="V451" t="s">
        <v>100</v>
      </c>
      <c r="W451" t="str">
        <f t="shared" si="221"/>
        <v>Vijayawada</v>
      </c>
      <c r="X451" t="str">
        <f t="shared" si="222"/>
        <v>Technology</v>
      </c>
      <c r="Y451" t="s">
        <v>85</v>
      </c>
      <c r="Z451" t="s">
        <v>381</v>
      </c>
      <c r="AA451" t="str">
        <f t="shared" si="223"/>
        <v>Machines</v>
      </c>
      <c r="AB451" t="s">
        <v>3669</v>
      </c>
      <c r="AC451" t="s">
        <v>55</v>
      </c>
      <c r="AD451" t="str">
        <f t="shared" si="215"/>
        <v>First Class</v>
      </c>
      <c r="AE451" t="str">
        <f t="shared" ref="AE451:AE514" si="230">IF(AD451="Unknown","MISSING_SHIP_MODE","OK")</f>
        <v>OK</v>
      </c>
      <c r="AF451">
        <v>6</v>
      </c>
      <c r="AG451">
        <v>1894.44</v>
      </c>
      <c r="AH451">
        <v>0.15</v>
      </c>
      <c r="AI451">
        <f t="shared" ref="AI451:AI514" si="231">IF(RIGHT(AH451,1)="%",VALUE(SUBSTITUTE(AH451,"%",""))/100,AH451)</f>
        <v>0.15</v>
      </c>
      <c r="AJ451" t="str">
        <f t="shared" ref="AJ451:AJ514" si="232">IF(AH451="","Missing Discount",
IF(AH451&lt;0,"Invalid Negative Discount",
"OK"))</f>
        <v>OK</v>
      </c>
      <c r="AK451">
        <v>9661.64</v>
      </c>
      <c r="AL451">
        <v>6303.77</v>
      </c>
      <c r="AM451">
        <v>3357.87</v>
      </c>
      <c r="AN451" t="s">
        <v>33</v>
      </c>
      <c r="AO451" t="str">
        <f t="shared" si="224"/>
        <v>PAID</v>
      </c>
      <c r="AP451" t="str">
        <f t="shared" ref="AP451:AP514" si="233">IF(AO451="Failed","EXCLUDE_FROM_SALES",
IF(AO451="Refunded","REFUNDED_PAYMENT",
"OK"))</f>
        <v>OK</v>
      </c>
      <c r="AQ451" t="s">
        <v>34</v>
      </c>
      <c r="AR451" t="str">
        <f t="shared" si="225"/>
        <v>COMPLETED</v>
      </c>
      <c r="AS451" t="str">
        <f t="shared" ref="AS451:AS514" si="234">IF(AR451="Cancelled","EXCLUDE_FROM_SALES",
IF(AR451="Returned","RETURNED_ORDER",
"OK"))</f>
        <v>OK</v>
      </c>
      <c r="AT451">
        <f t="shared" ref="AT451:AT514" si="235">IF(AI451&lt;0,"INVAILD",AF451*AG451*(1-AI451))</f>
        <v>9661.6439999999984</v>
      </c>
      <c r="AU451">
        <f t="shared" ref="AU451:AU514" si="236">IF(AT451="INVAILD","INVAILD",AT451-AL451)</f>
        <v>3357.873999999998</v>
      </c>
      <c r="AV451" s="6">
        <f t="shared" ref="AV451:AV514" si="237">IF(OR(AT451="INVALID",AU451="INVALID"),"",AU472/AT451)</f>
        <v>0.24005148606179236</v>
      </c>
      <c r="AW451" t="str">
        <f t="shared" ref="AW451:AW514" si="238">IF(OR(AJ451&lt;&gt;"OK",K451="INVALID_SHIPPING"),
"INVALID",
IF(OR(S451&lt;&gt;"OK",AE451&lt;&gt;"OK"),
"WARNING",
"CLEAN"))</f>
        <v>CLEAN</v>
      </c>
      <c r="AX451" s="10" t="str">
        <f t="shared" ref="AX451:AX514" si="239">IF(AT451="INVALID","INVALID",
IF(ROUND(AK451,2)=ROUND(AT451,2),"MATCH","MISMATCH"))</f>
        <v>MATCH</v>
      </c>
      <c r="AY451" t="str">
        <f t="shared" ref="AY451:AY514" si="240">IF(AU451="INVALID","INVALID",IF(ROUND(AM451,2)=ROUND(AU451,2),"MATCH","MISMATCH"))</f>
        <v>MATCH</v>
      </c>
    </row>
    <row r="452" spans="1:51">
      <c r="A452" t="s">
        <v>3670</v>
      </c>
      <c r="B452">
        <f t="shared" si="216"/>
        <v>1</v>
      </c>
      <c r="C452" t="s">
        <v>3671</v>
      </c>
      <c r="D452" s="2">
        <v>45400</v>
      </c>
      <c r="E452" t="str">
        <f t="shared" si="217"/>
        <v>2024/04/18</v>
      </c>
      <c r="F452" t="str">
        <f t="shared" si="226"/>
        <v>April</v>
      </c>
      <c r="G452">
        <f t="shared" si="227"/>
        <v>2024</v>
      </c>
      <c r="H452" t="s">
        <v>3582</v>
      </c>
      <c r="I452" s="4">
        <v>45404</v>
      </c>
      <c r="J452" s="8">
        <f t="shared" si="218"/>
        <v>4</v>
      </c>
      <c r="K452" s="8" t="str">
        <f t="shared" si="228"/>
        <v>OK</v>
      </c>
      <c r="L452" t="s">
        <v>3672</v>
      </c>
      <c r="M452" t="s">
        <v>161</v>
      </c>
      <c r="N452" t="str">
        <f t="shared" si="219"/>
        <v>Aarav Sharma</v>
      </c>
      <c r="O452" t="s">
        <v>25</v>
      </c>
      <c r="P452" t="str">
        <f t="shared" si="211"/>
        <v>Consumer</v>
      </c>
      <c r="Q452" t="s">
        <v>41</v>
      </c>
      <c r="R452" t="str">
        <f t="shared" si="214"/>
        <v>East</v>
      </c>
      <c r="S452" t="str">
        <f t="shared" si="229"/>
        <v>OK</v>
      </c>
      <c r="T452" t="s">
        <v>42</v>
      </c>
      <c r="U452" t="str">
        <f t="shared" si="220"/>
        <v>Odisha</v>
      </c>
      <c r="V452" t="s">
        <v>43</v>
      </c>
      <c r="W452" t="str">
        <f t="shared" si="221"/>
        <v>Bhubaneswar</v>
      </c>
      <c r="X452" t="str">
        <f t="shared" si="222"/>
        <v>Office Supplies</v>
      </c>
      <c r="Y452" t="s">
        <v>29</v>
      </c>
      <c r="Z452" t="s">
        <v>197</v>
      </c>
      <c r="AA452" t="str">
        <f t="shared" si="223"/>
        <v>Binders</v>
      </c>
      <c r="AB452" t="s">
        <v>3673</v>
      </c>
      <c r="AC452" t="s">
        <v>55</v>
      </c>
      <c r="AD452" t="str">
        <f t="shared" si="215"/>
        <v>First Class</v>
      </c>
      <c r="AE452" t="str">
        <f t="shared" si="230"/>
        <v>OK</v>
      </c>
      <c r="AF452">
        <v>8</v>
      </c>
      <c r="AG452">
        <v>1714.37</v>
      </c>
      <c r="AH452">
        <v>0</v>
      </c>
      <c r="AI452">
        <f t="shared" si="231"/>
        <v>0</v>
      </c>
      <c r="AJ452" t="str">
        <f t="shared" si="232"/>
        <v>OK</v>
      </c>
      <c r="AK452">
        <v>13714.96</v>
      </c>
      <c r="AL452">
        <v>10550.47</v>
      </c>
      <c r="AM452">
        <v>3164.49</v>
      </c>
      <c r="AN452" t="s">
        <v>199</v>
      </c>
      <c r="AO452" t="str">
        <f t="shared" si="224"/>
        <v>FAILED</v>
      </c>
      <c r="AP452" t="str">
        <f t="shared" si="233"/>
        <v>EXCLUDE_FROM_SALES</v>
      </c>
      <c r="AQ452" t="s">
        <v>77</v>
      </c>
      <c r="AR452" t="str">
        <f t="shared" si="225"/>
        <v>CANCELLED</v>
      </c>
      <c r="AS452" t="str">
        <f t="shared" si="234"/>
        <v>EXCLUDE_FROM_SALES</v>
      </c>
      <c r="AT452">
        <f t="shared" si="235"/>
        <v>13714.96</v>
      </c>
      <c r="AU452">
        <f t="shared" si="236"/>
        <v>3164.49</v>
      </c>
      <c r="AV452" s="6">
        <f t="shared" si="237"/>
        <v>0.52876366391152407</v>
      </c>
      <c r="AW452" t="str">
        <f t="shared" si="238"/>
        <v>CLEAN</v>
      </c>
      <c r="AX452" s="10" t="str">
        <f t="shared" si="239"/>
        <v>MATCH</v>
      </c>
      <c r="AY452" t="str">
        <f t="shared" si="240"/>
        <v>MATCH</v>
      </c>
    </row>
    <row r="453" spans="1:51">
      <c r="A453" t="s">
        <v>3679</v>
      </c>
      <c r="B453">
        <f t="shared" si="216"/>
        <v>1</v>
      </c>
      <c r="C453" t="s">
        <v>3365</v>
      </c>
      <c r="D453" s="2">
        <v>45575</v>
      </c>
      <c r="E453" t="str">
        <f t="shared" si="217"/>
        <v>2024/10/10</v>
      </c>
      <c r="F453" t="str">
        <f t="shared" si="226"/>
        <v>October</v>
      </c>
      <c r="G453">
        <f t="shared" si="227"/>
        <v>2024</v>
      </c>
      <c r="H453" t="s">
        <v>2542</v>
      </c>
      <c r="I453" s="4">
        <v>45582</v>
      </c>
      <c r="J453" s="8">
        <f t="shared" si="218"/>
        <v>7</v>
      </c>
      <c r="K453" s="8" t="str">
        <f t="shared" si="228"/>
        <v>OK</v>
      </c>
      <c r="L453" t="s">
        <v>3680</v>
      </c>
      <c r="M453" t="s">
        <v>52</v>
      </c>
      <c r="N453" t="str">
        <f t="shared" si="219"/>
        <v>Isha Nair</v>
      </c>
      <c r="O453" t="s">
        <v>114</v>
      </c>
      <c r="P453" t="str">
        <f t="shared" si="211"/>
        <v>Home Office</v>
      </c>
      <c r="Q453" t="s">
        <v>26</v>
      </c>
      <c r="R453" t="str">
        <f t="shared" si="214"/>
        <v>North</v>
      </c>
      <c r="S453" t="str">
        <f t="shared" si="229"/>
        <v>OK</v>
      </c>
      <c r="T453" t="s">
        <v>322</v>
      </c>
      <c r="U453" t="str">
        <f t="shared" si="220"/>
        <v>Haryana</v>
      </c>
      <c r="V453" t="s">
        <v>323</v>
      </c>
      <c r="W453" t="str">
        <f t="shared" si="221"/>
        <v>Gurugram</v>
      </c>
      <c r="X453" t="str">
        <f t="shared" si="222"/>
        <v>Technology</v>
      </c>
      <c r="Y453" t="s">
        <v>85</v>
      </c>
      <c r="Z453" t="s">
        <v>86</v>
      </c>
      <c r="AA453" t="str">
        <f t="shared" si="223"/>
        <v>Accessories</v>
      </c>
      <c r="AB453" t="s">
        <v>3681</v>
      </c>
      <c r="AD453" t="s">
        <v>4109</v>
      </c>
      <c r="AE453" t="str">
        <f t="shared" si="230"/>
        <v>MISSING_SHIP_MODE</v>
      </c>
      <c r="AF453">
        <v>5</v>
      </c>
      <c r="AG453">
        <v>967.41</v>
      </c>
      <c r="AH453">
        <v>0.05</v>
      </c>
      <c r="AI453">
        <f t="shared" si="231"/>
        <v>0.05</v>
      </c>
      <c r="AJ453" t="str">
        <f t="shared" si="232"/>
        <v>OK</v>
      </c>
      <c r="AK453">
        <v>4595.2</v>
      </c>
      <c r="AL453">
        <v>3887.41</v>
      </c>
      <c r="AM453">
        <v>707.79</v>
      </c>
      <c r="AN453" t="s">
        <v>33</v>
      </c>
      <c r="AO453" t="str">
        <f t="shared" si="224"/>
        <v>PAID</v>
      </c>
      <c r="AP453" t="str">
        <f t="shared" si="233"/>
        <v>OK</v>
      </c>
      <c r="AQ453" t="s">
        <v>124</v>
      </c>
      <c r="AR453" t="str">
        <f t="shared" si="225"/>
        <v>RETURNED</v>
      </c>
      <c r="AS453" t="str">
        <f t="shared" si="234"/>
        <v>RETURNED_ORDER</v>
      </c>
      <c r="AT453">
        <f t="shared" si="235"/>
        <v>4595.1975000000002</v>
      </c>
      <c r="AU453">
        <f t="shared" si="236"/>
        <v>707.78750000000036</v>
      </c>
      <c r="AV453" s="6">
        <f t="shared" si="237"/>
        <v>0.51670466829771722</v>
      </c>
      <c r="AW453" t="str">
        <f t="shared" si="238"/>
        <v>WARNING</v>
      </c>
      <c r="AX453" s="10" t="str">
        <f t="shared" si="239"/>
        <v>MATCH</v>
      </c>
      <c r="AY453" t="str">
        <f t="shared" si="240"/>
        <v>MATCH</v>
      </c>
    </row>
    <row r="454" spans="1:51">
      <c r="A454" t="s">
        <v>3682</v>
      </c>
      <c r="B454">
        <f t="shared" si="216"/>
        <v>1</v>
      </c>
      <c r="C454" t="s">
        <v>3683</v>
      </c>
      <c r="D454" s="2">
        <v>45294</v>
      </c>
      <c r="E454" t="str">
        <f t="shared" si="217"/>
        <v>2024/01/03</v>
      </c>
      <c r="F454" t="str">
        <f t="shared" si="226"/>
        <v>January</v>
      </c>
      <c r="G454">
        <f t="shared" si="227"/>
        <v>2024</v>
      </c>
      <c r="H454" t="s">
        <v>3684</v>
      </c>
      <c r="I454" s="4">
        <v>45358</v>
      </c>
      <c r="J454" s="8">
        <f t="shared" si="218"/>
        <v>64</v>
      </c>
      <c r="K454" s="8" t="str">
        <f t="shared" si="228"/>
        <v>OK</v>
      </c>
      <c r="L454" t="s">
        <v>3685</v>
      </c>
      <c r="M454" t="s">
        <v>82</v>
      </c>
      <c r="N454" t="str">
        <f t="shared" si="219"/>
        <v>Vikram Iyer</v>
      </c>
      <c r="O454" t="s">
        <v>40</v>
      </c>
      <c r="P454" t="str">
        <f t="shared" si="211"/>
        <v>Small Business</v>
      </c>
      <c r="Q454" t="s">
        <v>72</v>
      </c>
      <c r="R454" t="str">
        <f t="shared" si="214"/>
        <v>West</v>
      </c>
      <c r="S454" t="str">
        <f t="shared" si="229"/>
        <v>OK</v>
      </c>
      <c r="T454" t="s">
        <v>73</v>
      </c>
      <c r="U454" t="str">
        <f t="shared" si="220"/>
        <v>Maharashtra</v>
      </c>
      <c r="V454" t="s">
        <v>74</v>
      </c>
      <c r="W454" t="str">
        <f t="shared" si="221"/>
        <v>Mumbai</v>
      </c>
      <c r="X454" t="str">
        <f t="shared" si="222"/>
        <v>Office Supplies</v>
      </c>
      <c r="Y454" t="s">
        <v>29</v>
      </c>
      <c r="Z454" t="s">
        <v>155</v>
      </c>
      <c r="AA454" t="str">
        <f t="shared" si="223"/>
        <v>Storage</v>
      </c>
      <c r="AB454" t="s">
        <v>3686</v>
      </c>
      <c r="AC454" t="s">
        <v>32</v>
      </c>
      <c r="AD454" t="str">
        <f t="shared" ref="AD454:AD485" si="241">PROPER(TRIM(SUBSTITUTE(AC454,CHAR(160)," ")))</f>
        <v>Second Class</v>
      </c>
      <c r="AE454" t="str">
        <f t="shared" si="230"/>
        <v>OK</v>
      </c>
      <c r="AF454">
        <v>6</v>
      </c>
      <c r="AG454">
        <v>4163.72</v>
      </c>
      <c r="AH454">
        <v>0.15</v>
      </c>
      <c r="AI454">
        <f t="shared" si="231"/>
        <v>0.15</v>
      </c>
      <c r="AJ454" t="str">
        <f t="shared" si="232"/>
        <v>OK</v>
      </c>
      <c r="AK454">
        <v>21234.97</v>
      </c>
      <c r="AL454">
        <v>16736.09</v>
      </c>
      <c r="AM454">
        <v>4498.88</v>
      </c>
      <c r="AN454" t="s">
        <v>33</v>
      </c>
      <c r="AO454" t="str">
        <f t="shared" si="224"/>
        <v>PAID</v>
      </c>
      <c r="AP454" t="str">
        <f t="shared" si="233"/>
        <v>OK</v>
      </c>
      <c r="AQ454" t="s">
        <v>34</v>
      </c>
      <c r="AR454" t="str">
        <f t="shared" si="225"/>
        <v>COMPLETED</v>
      </c>
      <c r="AS454" t="str">
        <f t="shared" si="234"/>
        <v>OK</v>
      </c>
      <c r="AT454">
        <f t="shared" si="235"/>
        <v>21234.971999999998</v>
      </c>
      <c r="AU454">
        <f t="shared" si="236"/>
        <v>4498.8819999999978</v>
      </c>
      <c r="AV454" s="6">
        <f t="shared" si="237"/>
        <v>3.4489426216337847E-2</v>
      </c>
      <c r="AW454" t="str">
        <f t="shared" si="238"/>
        <v>CLEAN</v>
      </c>
      <c r="AX454" s="10" t="str">
        <f t="shared" si="239"/>
        <v>MATCH</v>
      </c>
      <c r="AY454" t="str">
        <f t="shared" si="240"/>
        <v>MATCH</v>
      </c>
    </row>
    <row r="455" spans="1:51">
      <c r="A455" t="s">
        <v>3696</v>
      </c>
      <c r="B455">
        <f t="shared" si="216"/>
        <v>1</v>
      </c>
      <c r="C455" t="s">
        <v>3697</v>
      </c>
      <c r="D455" s="2">
        <v>45547</v>
      </c>
      <c r="E455" t="str">
        <f t="shared" si="217"/>
        <v>2024/09/12</v>
      </c>
      <c r="F455" t="str">
        <f t="shared" si="226"/>
        <v>September</v>
      </c>
      <c r="G455">
        <f t="shared" si="227"/>
        <v>2024</v>
      </c>
      <c r="H455" t="s">
        <v>732</v>
      </c>
      <c r="I455" s="4">
        <v>45639</v>
      </c>
      <c r="J455" s="8">
        <f t="shared" si="218"/>
        <v>92</v>
      </c>
      <c r="K455" s="8" t="str">
        <f t="shared" si="228"/>
        <v>OK</v>
      </c>
      <c r="L455" t="s">
        <v>3698</v>
      </c>
      <c r="M455" t="s">
        <v>179</v>
      </c>
      <c r="N455" t="str">
        <f t="shared" si="219"/>
        <v>Rohan Mehta</v>
      </c>
      <c r="O455" t="s">
        <v>25</v>
      </c>
      <c r="P455" t="str">
        <f t="shared" si="211"/>
        <v>Consumer</v>
      </c>
      <c r="R455" t="s">
        <v>4109</v>
      </c>
      <c r="S455" t="str">
        <f t="shared" si="229"/>
        <v>MISSING_REGION</v>
      </c>
      <c r="T455" t="s">
        <v>310</v>
      </c>
      <c r="U455" t="str">
        <f t="shared" si="220"/>
        <v>Jharkhand</v>
      </c>
      <c r="V455" t="s">
        <v>311</v>
      </c>
      <c r="W455" t="str">
        <f t="shared" si="221"/>
        <v>Ranchi</v>
      </c>
      <c r="X455" t="str">
        <f t="shared" si="222"/>
        <v>Office Supplies</v>
      </c>
      <c r="Y455" t="s">
        <v>29</v>
      </c>
      <c r="Z455" t="s">
        <v>108</v>
      </c>
      <c r="AA455" t="str">
        <f t="shared" si="223"/>
        <v>Labels</v>
      </c>
      <c r="AB455" t="s">
        <v>3699</v>
      </c>
      <c r="AC455" t="s">
        <v>55</v>
      </c>
      <c r="AD455" t="str">
        <f t="shared" si="241"/>
        <v>First Class</v>
      </c>
      <c r="AE455" t="str">
        <f t="shared" si="230"/>
        <v>OK</v>
      </c>
      <c r="AF455">
        <v>1</v>
      </c>
      <c r="AG455">
        <v>4306.6499999999996</v>
      </c>
      <c r="AH455">
        <v>0</v>
      </c>
      <c r="AI455">
        <f t="shared" si="231"/>
        <v>0</v>
      </c>
      <c r="AJ455" t="str">
        <f t="shared" si="232"/>
        <v>OK</v>
      </c>
      <c r="AK455">
        <v>4306.6499999999996</v>
      </c>
      <c r="AL455">
        <v>2568.8200000000002</v>
      </c>
      <c r="AM455">
        <v>1737.83</v>
      </c>
      <c r="AN455" t="s">
        <v>33</v>
      </c>
      <c r="AO455" t="str">
        <f t="shared" si="224"/>
        <v>PAID</v>
      </c>
      <c r="AP455" t="str">
        <f t="shared" si="233"/>
        <v>OK</v>
      </c>
      <c r="AQ455" t="s">
        <v>34</v>
      </c>
      <c r="AR455" t="str">
        <f t="shared" si="225"/>
        <v>COMPLETED</v>
      </c>
      <c r="AS455" t="str">
        <f t="shared" si="234"/>
        <v>OK</v>
      </c>
      <c r="AT455">
        <f t="shared" si="235"/>
        <v>4306.6499999999996</v>
      </c>
      <c r="AU455">
        <f t="shared" si="236"/>
        <v>1737.8299999999995</v>
      </c>
      <c r="AV455" s="6">
        <f t="shared" si="237"/>
        <v>0.17005839805881603</v>
      </c>
      <c r="AW455" t="str">
        <f t="shared" si="238"/>
        <v>WARNING</v>
      </c>
      <c r="AX455" s="10" t="str">
        <f t="shared" si="239"/>
        <v>MATCH</v>
      </c>
      <c r="AY455" t="str">
        <f t="shared" si="240"/>
        <v>MATCH</v>
      </c>
    </row>
    <row r="456" spans="1:51">
      <c r="A456" t="s">
        <v>3705</v>
      </c>
      <c r="B456">
        <f t="shared" si="216"/>
        <v>1</v>
      </c>
      <c r="C456" t="s">
        <v>3706</v>
      </c>
      <c r="D456" s="3">
        <v>45605</v>
      </c>
      <c r="E456" t="str">
        <f t="shared" si="217"/>
        <v>2024/11/09</v>
      </c>
      <c r="F456" t="str">
        <f t="shared" si="226"/>
        <v>November</v>
      </c>
      <c r="G456">
        <f t="shared" si="227"/>
        <v>2024</v>
      </c>
      <c r="H456" t="s">
        <v>3707</v>
      </c>
      <c r="I456" s="4">
        <v>45611</v>
      </c>
      <c r="J456" s="8">
        <f t="shared" si="218"/>
        <v>6</v>
      </c>
      <c r="K456" s="8" t="str">
        <f t="shared" si="228"/>
        <v>OK</v>
      </c>
      <c r="L456" t="s">
        <v>3708</v>
      </c>
      <c r="M456" t="s">
        <v>52</v>
      </c>
      <c r="N456" t="str">
        <f t="shared" si="219"/>
        <v>Isha Nair</v>
      </c>
      <c r="O456" t="s">
        <v>114</v>
      </c>
      <c r="P456" t="str">
        <f t="shared" si="211"/>
        <v>Home Office</v>
      </c>
      <c r="Q456" t="s">
        <v>26</v>
      </c>
      <c r="R456" t="str">
        <f t="shared" ref="R456:R491" si="242">PROPER(TRIM(SUBSTITUTE(Q456,CHAR(160)," ")))</f>
        <v>North</v>
      </c>
      <c r="S456" t="str">
        <f t="shared" si="229"/>
        <v>OK</v>
      </c>
      <c r="T456" t="s">
        <v>27</v>
      </c>
      <c r="U456" t="str">
        <f t="shared" si="220"/>
        <v>Rajasthan</v>
      </c>
      <c r="V456" t="s">
        <v>28</v>
      </c>
      <c r="W456" t="str">
        <f t="shared" si="221"/>
        <v>Jaipur</v>
      </c>
      <c r="X456" t="str">
        <f t="shared" si="222"/>
        <v>Technology</v>
      </c>
      <c r="Y456" t="s">
        <v>85</v>
      </c>
      <c r="Z456" t="s">
        <v>93</v>
      </c>
      <c r="AA456" t="str">
        <f t="shared" si="223"/>
        <v>Copiers</v>
      </c>
      <c r="AB456" t="s">
        <v>3709</v>
      </c>
      <c r="AC456" t="s">
        <v>66</v>
      </c>
      <c r="AD456" t="str">
        <f t="shared" si="241"/>
        <v>Standard Class</v>
      </c>
      <c r="AE456" t="str">
        <f t="shared" si="230"/>
        <v>OK</v>
      </c>
      <c r="AF456">
        <v>1</v>
      </c>
      <c r="AG456">
        <v>3665.97</v>
      </c>
      <c r="AH456">
        <v>0.2</v>
      </c>
      <c r="AI456">
        <f t="shared" si="231"/>
        <v>0.2</v>
      </c>
      <c r="AJ456" t="str">
        <f t="shared" si="232"/>
        <v>OK</v>
      </c>
      <c r="AK456">
        <v>2932.78</v>
      </c>
      <c r="AL456">
        <v>1900.35</v>
      </c>
      <c r="AM456">
        <v>1032.43</v>
      </c>
      <c r="AN456" t="s">
        <v>199</v>
      </c>
      <c r="AO456" t="str">
        <f t="shared" si="224"/>
        <v>FAILED</v>
      </c>
      <c r="AP456" t="str">
        <f t="shared" si="233"/>
        <v>EXCLUDE_FROM_SALES</v>
      </c>
      <c r="AQ456" t="s">
        <v>77</v>
      </c>
      <c r="AR456" t="str">
        <f t="shared" si="225"/>
        <v>CANCELLED</v>
      </c>
      <c r="AS456" t="str">
        <f t="shared" si="234"/>
        <v>EXCLUDE_FROM_SALES</v>
      </c>
      <c r="AT456">
        <f t="shared" si="235"/>
        <v>2932.7759999999998</v>
      </c>
      <c r="AU456">
        <f t="shared" si="236"/>
        <v>1032.4259999999999</v>
      </c>
      <c r="AV456" s="6">
        <f t="shared" si="237"/>
        <v>0.35773956142576152</v>
      </c>
      <c r="AW456" t="str">
        <f t="shared" si="238"/>
        <v>CLEAN</v>
      </c>
      <c r="AX456" s="10" t="str">
        <f t="shared" si="239"/>
        <v>MATCH</v>
      </c>
      <c r="AY456" t="str">
        <f t="shared" si="240"/>
        <v>MATCH</v>
      </c>
    </row>
    <row r="457" spans="1:51">
      <c r="A457" t="s">
        <v>3721</v>
      </c>
      <c r="B457">
        <f t="shared" si="216"/>
        <v>1</v>
      </c>
      <c r="C457" t="s">
        <v>3722</v>
      </c>
      <c r="D457" s="3">
        <v>45355</v>
      </c>
      <c r="E457" t="str">
        <f t="shared" si="217"/>
        <v>2024/03/04</v>
      </c>
      <c r="F457" t="str">
        <f t="shared" si="226"/>
        <v>March</v>
      </c>
      <c r="G457">
        <f t="shared" si="227"/>
        <v>2024</v>
      </c>
      <c r="H457" t="s">
        <v>3723</v>
      </c>
      <c r="I457" s="4">
        <v>45508</v>
      </c>
      <c r="J457" s="8">
        <f t="shared" si="218"/>
        <v>153</v>
      </c>
      <c r="K457" s="8" t="str">
        <f t="shared" si="228"/>
        <v>OK</v>
      </c>
      <c r="L457" t="s">
        <v>2533</v>
      </c>
      <c r="M457" t="s">
        <v>365</v>
      </c>
      <c r="N457" t="str">
        <f t="shared" si="219"/>
        <v>Kabir Singh</v>
      </c>
      <c r="O457" t="s">
        <v>114</v>
      </c>
      <c r="P457" t="str">
        <f t="shared" ref="P457:P520" si="243">PROPER(TRIM(SUBSTITUTE(O457,CHAR(160)," ")))</f>
        <v>Home Office</v>
      </c>
      <c r="Q457" t="s">
        <v>72</v>
      </c>
      <c r="R457" t="str">
        <f t="shared" si="242"/>
        <v>West</v>
      </c>
      <c r="S457" t="str">
        <f t="shared" si="229"/>
        <v>OK</v>
      </c>
      <c r="T457" t="s">
        <v>234</v>
      </c>
      <c r="U457" t="str">
        <f t="shared" si="220"/>
        <v>Gujarat</v>
      </c>
      <c r="V457" t="s">
        <v>235</v>
      </c>
      <c r="W457" t="str">
        <f t="shared" si="221"/>
        <v>Ahmedabad</v>
      </c>
      <c r="X457" t="str">
        <f t="shared" si="222"/>
        <v>Technology</v>
      </c>
      <c r="Y457" t="s">
        <v>85</v>
      </c>
      <c r="Z457" t="s">
        <v>93</v>
      </c>
      <c r="AA457" t="str">
        <f t="shared" si="223"/>
        <v>Copiers</v>
      </c>
      <c r="AB457" t="s">
        <v>3724</v>
      </c>
      <c r="AC457" t="s">
        <v>55</v>
      </c>
      <c r="AD457" t="str">
        <f t="shared" si="241"/>
        <v>First Class</v>
      </c>
      <c r="AE457" t="str">
        <f t="shared" si="230"/>
        <v>OK</v>
      </c>
      <c r="AF457">
        <v>1</v>
      </c>
      <c r="AG457">
        <v>3151.85</v>
      </c>
      <c r="AH457">
        <v>0.25</v>
      </c>
      <c r="AI457">
        <f t="shared" si="231"/>
        <v>0.25</v>
      </c>
      <c r="AJ457" t="str">
        <f t="shared" si="232"/>
        <v>OK</v>
      </c>
      <c r="AK457">
        <v>2363.89</v>
      </c>
      <c r="AL457">
        <v>1471.51</v>
      </c>
      <c r="AM457">
        <v>892.38</v>
      </c>
      <c r="AN457" t="s">
        <v>33</v>
      </c>
      <c r="AO457" t="str">
        <f t="shared" si="224"/>
        <v>PAID</v>
      </c>
      <c r="AP457" t="str">
        <f t="shared" si="233"/>
        <v>OK</v>
      </c>
      <c r="AQ457" t="s">
        <v>34</v>
      </c>
      <c r="AR457" t="str">
        <f t="shared" si="225"/>
        <v>COMPLETED</v>
      </c>
      <c r="AS457" t="str">
        <f t="shared" si="234"/>
        <v>OK</v>
      </c>
      <c r="AT457">
        <f t="shared" si="235"/>
        <v>2363.8874999999998</v>
      </c>
      <c r="AU457">
        <f t="shared" si="236"/>
        <v>892.37749999999983</v>
      </c>
      <c r="AV457" s="6">
        <f t="shared" si="237"/>
        <v>0.11308913812522801</v>
      </c>
      <c r="AW457" t="str">
        <f t="shared" si="238"/>
        <v>CLEAN</v>
      </c>
      <c r="AX457" s="10" t="str">
        <f t="shared" si="239"/>
        <v>MATCH</v>
      </c>
      <c r="AY457" t="str">
        <f t="shared" si="240"/>
        <v>MATCH</v>
      </c>
    </row>
    <row r="458" spans="1:51">
      <c r="A458" t="s">
        <v>3725</v>
      </c>
      <c r="B458">
        <f t="shared" si="216"/>
        <v>1</v>
      </c>
      <c r="C458" t="s">
        <v>3726</v>
      </c>
      <c r="D458" s="2">
        <v>45638</v>
      </c>
      <c r="E458" t="str">
        <f t="shared" si="217"/>
        <v>2024/12/12</v>
      </c>
      <c r="F458" t="str">
        <f t="shared" si="226"/>
        <v>December</v>
      </c>
      <c r="G458">
        <f t="shared" si="227"/>
        <v>2024</v>
      </c>
      <c r="H458" t="s">
        <v>3727</v>
      </c>
      <c r="I458" s="4">
        <v>45645</v>
      </c>
      <c r="J458" s="8">
        <f t="shared" si="218"/>
        <v>7</v>
      </c>
      <c r="K458" s="8" t="str">
        <f t="shared" si="228"/>
        <v>OK</v>
      </c>
      <c r="L458" t="s">
        <v>3728</v>
      </c>
      <c r="M458" t="s">
        <v>179</v>
      </c>
      <c r="N458" t="str">
        <f t="shared" si="219"/>
        <v>Rohan Mehta</v>
      </c>
      <c r="O458" t="s">
        <v>114</v>
      </c>
      <c r="P458" t="str">
        <f t="shared" si="243"/>
        <v>Home Office</v>
      </c>
      <c r="Q458" t="s">
        <v>26</v>
      </c>
      <c r="R458" t="str">
        <f t="shared" si="242"/>
        <v>North</v>
      </c>
      <c r="S458" t="str">
        <f t="shared" si="229"/>
        <v>OK</v>
      </c>
      <c r="T458" t="s">
        <v>322</v>
      </c>
      <c r="U458" t="str">
        <f t="shared" si="220"/>
        <v>Haryana</v>
      </c>
      <c r="V458" t="s">
        <v>323</v>
      </c>
      <c r="W458" t="str">
        <f t="shared" si="221"/>
        <v>Gurugram</v>
      </c>
      <c r="X458" t="str">
        <f t="shared" si="222"/>
        <v>Technology</v>
      </c>
      <c r="Y458" t="s">
        <v>85</v>
      </c>
      <c r="Z458" t="s">
        <v>86</v>
      </c>
      <c r="AA458" t="str">
        <f t="shared" si="223"/>
        <v>Accessories</v>
      </c>
      <c r="AB458" t="s">
        <v>3729</v>
      </c>
      <c r="AC458" t="s">
        <v>55</v>
      </c>
      <c r="AD458" t="str">
        <f t="shared" si="241"/>
        <v>First Class</v>
      </c>
      <c r="AE458" t="str">
        <f t="shared" si="230"/>
        <v>OK</v>
      </c>
      <c r="AF458">
        <v>2</v>
      </c>
      <c r="AG458">
        <v>1610.75</v>
      </c>
      <c r="AH458">
        <v>0.2</v>
      </c>
      <c r="AI458">
        <f t="shared" si="231"/>
        <v>0.2</v>
      </c>
      <c r="AJ458" t="str">
        <f t="shared" si="232"/>
        <v>OK</v>
      </c>
      <c r="AK458">
        <v>2577.1999999999998</v>
      </c>
      <c r="AL458">
        <v>1475.87</v>
      </c>
      <c r="AM458">
        <v>1101.33</v>
      </c>
      <c r="AN458" t="s">
        <v>33</v>
      </c>
      <c r="AO458" t="str">
        <f t="shared" si="224"/>
        <v>PAID</v>
      </c>
      <c r="AP458" t="str">
        <f t="shared" si="233"/>
        <v>OK</v>
      </c>
      <c r="AQ458" t="s">
        <v>34</v>
      </c>
      <c r="AR458" t="str">
        <f t="shared" si="225"/>
        <v>COMPLETED</v>
      </c>
      <c r="AS458" t="str">
        <f t="shared" si="234"/>
        <v>OK</v>
      </c>
      <c r="AT458">
        <f t="shared" si="235"/>
        <v>2577.2000000000003</v>
      </c>
      <c r="AU458">
        <f t="shared" si="236"/>
        <v>1101.3300000000004</v>
      </c>
      <c r="AV458" s="6">
        <f t="shared" si="237"/>
        <v>3.6773989213099498</v>
      </c>
      <c r="AW458" t="str">
        <f t="shared" si="238"/>
        <v>CLEAN</v>
      </c>
      <c r="AX458" s="10" t="str">
        <f t="shared" si="239"/>
        <v>MATCH</v>
      </c>
      <c r="AY458" t="str">
        <f t="shared" si="240"/>
        <v>MATCH</v>
      </c>
    </row>
    <row r="459" spans="1:51">
      <c r="A459" t="s">
        <v>3730</v>
      </c>
      <c r="B459">
        <f t="shared" si="216"/>
        <v>1</v>
      </c>
      <c r="C459" t="s">
        <v>809</v>
      </c>
      <c r="D459" s="3">
        <v>45458</v>
      </c>
      <c r="E459" t="str">
        <f t="shared" si="217"/>
        <v>2024/06/15</v>
      </c>
      <c r="F459" t="str">
        <f t="shared" si="226"/>
        <v>June</v>
      </c>
      <c r="G459">
        <f t="shared" si="227"/>
        <v>2024</v>
      </c>
      <c r="H459" t="s">
        <v>3731</v>
      </c>
      <c r="I459" s="4">
        <v>45463</v>
      </c>
      <c r="J459" s="8">
        <f t="shared" si="218"/>
        <v>5</v>
      </c>
      <c r="K459" s="8" t="str">
        <f t="shared" si="228"/>
        <v>OK</v>
      </c>
      <c r="L459" t="s">
        <v>3732</v>
      </c>
      <c r="M459" t="s">
        <v>167</v>
      </c>
      <c r="N459" t="str">
        <f t="shared" si="219"/>
        <v>Sneha Kapoor</v>
      </c>
      <c r="O459" t="s">
        <v>40</v>
      </c>
      <c r="P459" t="str">
        <f t="shared" si="243"/>
        <v>Small Business</v>
      </c>
      <c r="Q459" t="s">
        <v>41</v>
      </c>
      <c r="R459" t="str">
        <f t="shared" si="242"/>
        <v>East</v>
      </c>
      <c r="S459" t="str">
        <f t="shared" si="229"/>
        <v>OK</v>
      </c>
      <c r="T459" t="s">
        <v>310</v>
      </c>
      <c r="U459" t="str">
        <f t="shared" si="220"/>
        <v>Jharkhand</v>
      </c>
      <c r="V459" t="s">
        <v>311</v>
      </c>
      <c r="W459" t="str">
        <f t="shared" si="221"/>
        <v>Ranchi</v>
      </c>
      <c r="X459" t="str">
        <f t="shared" si="222"/>
        <v>Furniture</v>
      </c>
      <c r="Y459" t="s">
        <v>44</v>
      </c>
      <c r="Z459" t="s">
        <v>45</v>
      </c>
      <c r="AA459" t="str">
        <f t="shared" si="223"/>
        <v>Tables</v>
      </c>
      <c r="AB459" t="s">
        <v>3733</v>
      </c>
      <c r="AC459" t="s">
        <v>55</v>
      </c>
      <c r="AD459" t="str">
        <f t="shared" si="241"/>
        <v>First Class</v>
      </c>
      <c r="AE459" t="str">
        <f t="shared" si="230"/>
        <v>OK</v>
      </c>
      <c r="AF459">
        <v>8</v>
      </c>
      <c r="AG459">
        <v>2228.4699999999998</v>
      </c>
      <c r="AH459">
        <v>0</v>
      </c>
      <c r="AI459">
        <f t="shared" si="231"/>
        <v>0</v>
      </c>
      <c r="AJ459" t="str">
        <f t="shared" si="232"/>
        <v>OK</v>
      </c>
      <c r="AK459">
        <v>17827.759999999998</v>
      </c>
      <c r="AL459">
        <v>14122.13</v>
      </c>
      <c r="AM459">
        <v>3705.63</v>
      </c>
      <c r="AN459" t="s">
        <v>33</v>
      </c>
      <c r="AO459" t="str">
        <f t="shared" si="224"/>
        <v>PAID</v>
      </c>
      <c r="AP459" t="str">
        <f t="shared" si="233"/>
        <v>OK</v>
      </c>
      <c r="AQ459" t="s">
        <v>34</v>
      </c>
      <c r="AR459" t="str">
        <f t="shared" si="225"/>
        <v>COMPLETED</v>
      </c>
      <c r="AS459" t="str">
        <f t="shared" si="234"/>
        <v>OK</v>
      </c>
      <c r="AT459">
        <f t="shared" si="235"/>
        <v>17827.759999999998</v>
      </c>
      <c r="AU459">
        <f t="shared" si="236"/>
        <v>3705.6299999999992</v>
      </c>
      <c r="AV459" s="6">
        <f t="shared" si="237"/>
        <v>5.6611991635516744E-2</v>
      </c>
      <c r="AW459" t="str">
        <f t="shared" si="238"/>
        <v>CLEAN</v>
      </c>
      <c r="AX459" s="10" t="str">
        <f t="shared" si="239"/>
        <v>MATCH</v>
      </c>
      <c r="AY459" t="str">
        <f t="shared" si="240"/>
        <v>MATCH</v>
      </c>
    </row>
    <row r="460" spans="1:51">
      <c r="A460" t="s">
        <v>3741</v>
      </c>
      <c r="B460">
        <f t="shared" si="216"/>
        <v>1</v>
      </c>
      <c r="C460" t="s">
        <v>2441</v>
      </c>
      <c r="D460" s="3">
        <v>45295</v>
      </c>
      <c r="E460" t="str">
        <f t="shared" si="217"/>
        <v>2024/01/04</v>
      </c>
      <c r="F460" t="str">
        <f t="shared" si="226"/>
        <v>January</v>
      </c>
      <c r="G460">
        <f t="shared" si="227"/>
        <v>2024</v>
      </c>
      <c r="H460" t="s">
        <v>3742</v>
      </c>
      <c r="I460" s="4">
        <v>45390</v>
      </c>
      <c r="J460" s="8">
        <f t="shared" si="218"/>
        <v>95</v>
      </c>
      <c r="K460" s="8" t="str">
        <f t="shared" si="228"/>
        <v>OK</v>
      </c>
      <c r="L460" t="s">
        <v>3743</v>
      </c>
      <c r="M460" t="s">
        <v>209</v>
      </c>
      <c r="N460" t="str">
        <f t="shared" si="219"/>
        <v>Diya Patel</v>
      </c>
      <c r="O460" t="s">
        <v>25</v>
      </c>
      <c r="P460" t="str">
        <f t="shared" si="243"/>
        <v>Consumer</v>
      </c>
      <c r="Q460" t="s">
        <v>41</v>
      </c>
      <c r="R460" t="str">
        <f t="shared" si="242"/>
        <v>East</v>
      </c>
      <c r="S460" t="str">
        <f t="shared" si="229"/>
        <v>OK</v>
      </c>
      <c r="T460" t="s">
        <v>42</v>
      </c>
      <c r="U460" t="str">
        <f t="shared" si="220"/>
        <v>Odisha</v>
      </c>
      <c r="V460" t="s">
        <v>43</v>
      </c>
      <c r="W460" t="str">
        <f t="shared" si="221"/>
        <v>Bhubaneswar</v>
      </c>
      <c r="X460" t="str">
        <f t="shared" si="222"/>
        <v>Technology</v>
      </c>
      <c r="Y460" t="s">
        <v>85</v>
      </c>
      <c r="Z460" t="s">
        <v>381</v>
      </c>
      <c r="AA460" t="str">
        <f t="shared" si="223"/>
        <v>Machines</v>
      </c>
      <c r="AB460" t="s">
        <v>3744</v>
      </c>
      <c r="AC460" t="s">
        <v>66</v>
      </c>
      <c r="AD460" t="str">
        <f t="shared" si="241"/>
        <v>Standard Class</v>
      </c>
      <c r="AE460" t="str">
        <f t="shared" si="230"/>
        <v>OK</v>
      </c>
      <c r="AF460">
        <v>7</v>
      </c>
      <c r="AG460">
        <v>715.81</v>
      </c>
      <c r="AH460">
        <v>0.15</v>
      </c>
      <c r="AI460">
        <f t="shared" si="231"/>
        <v>0.15</v>
      </c>
      <c r="AJ460" t="str">
        <f t="shared" si="232"/>
        <v>OK</v>
      </c>
      <c r="AK460">
        <v>4259.07</v>
      </c>
      <c r="AL460">
        <v>3130.32</v>
      </c>
      <c r="AM460">
        <v>1128.75</v>
      </c>
      <c r="AN460" t="s">
        <v>136</v>
      </c>
      <c r="AO460" t="str">
        <f t="shared" si="224"/>
        <v>PENDING</v>
      </c>
      <c r="AP460" t="str">
        <f t="shared" si="233"/>
        <v>OK</v>
      </c>
      <c r="AQ460" t="s">
        <v>77</v>
      </c>
      <c r="AR460" t="str">
        <f t="shared" si="225"/>
        <v>CANCELLED</v>
      </c>
      <c r="AS460" t="str">
        <f t="shared" si="234"/>
        <v>EXCLUDE_FROM_SALES</v>
      </c>
      <c r="AT460">
        <f t="shared" si="235"/>
        <v>4259.0694999999996</v>
      </c>
      <c r="AU460">
        <f t="shared" si="236"/>
        <v>1128.7494999999994</v>
      </c>
      <c r="AW460" t="str">
        <f t="shared" si="238"/>
        <v>CLEAN</v>
      </c>
      <c r="AX460" s="10" t="str">
        <f t="shared" si="239"/>
        <v>MATCH</v>
      </c>
      <c r="AY460" t="str">
        <f t="shared" si="240"/>
        <v>MATCH</v>
      </c>
    </row>
    <row r="461" spans="1:51">
      <c r="A461" t="s">
        <v>3745</v>
      </c>
      <c r="B461">
        <f t="shared" si="216"/>
        <v>1</v>
      </c>
      <c r="C461" t="s">
        <v>3746</v>
      </c>
      <c r="D461" s="3">
        <v>45623</v>
      </c>
      <c r="E461" t="str">
        <f t="shared" si="217"/>
        <v>2024/11/27</v>
      </c>
      <c r="F461" t="str">
        <f t="shared" si="226"/>
        <v>November</v>
      </c>
      <c r="G461">
        <f t="shared" si="227"/>
        <v>2024</v>
      </c>
      <c r="H461" t="s">
        <v>3747</v>
      </c>
      <c r="I461" s="4">
        <v>45626</v>
      </c>
      <c r="J461" s="8">
        <f t="shared" si="218"/>
        <v>3</v>
      </c>
      <c r="K461" s="8" t="str">
        <f t="shared" si="228"/>
        <v>OK</v>
      </c>
      <c r="L461" t="s">
        <v>3748</v>
      </c>
      <c r="M461" t="s">
        <v>147</v>
      </c>
      <c r="N461" t="str">
        <f t="shared" si="219"/>
        <v>Rahul Verma</v>
      </c>
      <c r="O461" t="s">
        <v>40</v>
      </c>
      <c r="P461" t="str">
        <f t="shared" si="243"/>
        <v>Small Business</v>
      </c>
      <c r="Q461" t="s">
        <v>41</v>
      </c>
      <c r="R461" t="str">
        <f t="shared" si="242"/>
        <v>East</v>
      </c>
      <c r="S461" t="str">
        <f t="shared" si="229"/>
        <v>OK</v>
      </c>
      <c r="T461" t="s">
        <v>310</v>
      </c>
      <c r="U461" t="str">
        <f t="shared" si="220"/>
        <v>Jharkhand</v>
      </c>
      <c r="V461" t="s">
        <v>311</v>
      </c>
      <c r="W461" t="str">
        <f t="shared" si="221"/>
        <v>Ranchi</v>
      </c>
      <c r="X461" t="str">
        <f t="shared" si="222"/>
        <v>Furniture</v>
      </c>
      <c r="Y461" t="s">
        <v>44</v>
      </c>
      <c r="Z461" t="s">
        <v>64</v>
      </c>
      <c r="AA461" t="str">
        <f t="shared" si="223"/>
        <v>Furnishings</v>
      </c>
      <c r="AB461" t="s">
        <v>3749</v>
      </c>
      <c r="AC461" t="s">
        <v>55</v>
      </c>
      <c r="AD461" t="str">
        <f t="shared" si="241"/>
        <v>First Class</v>
      </c>
      <c r="AE461" t="str">
        <f t="shared" si="230"/>
        <v>OK</v>
      </c>
      <c r="AF461">
        <v>1</v>
      </c>
      <c r="AG461">
        <v>874.3</v>
      </c>
      <c r="AH461">
        <v>0.1</v>
      </c>
      <c r="AI461">
        <f t="shared" si="231"/>
        <v>0.1</v>
      </c>
      <c r="AJ461" t="str">
        <f t="shared" si="232"/>
        <v>OK</v>
      </c>
      <c r="AK461">
        <v>786.87</v>
      </c>
      <c r="AL461">
        <v>498.5</v>
      </c>
      <c r="AM461">
        <v>288.37</v>
      </c>
      <c r="AN461" t="s">
        <v>33</v>
      </c>
      <c r="AO461" t="str">
        <f t="shared" si="224"/>
        <v>PAID</v>
      </c>
      <c r="AP461" t="str">
        <f t="shared" si="233"/>
        <v>OK</v>
      </c>
      <c r="AQ461" t="s">
        <v>34</v>
      </c>
      <c r="AR461" t="str">
        <f t="shared" si="225"/>
        <v>COMPLETED</v>
      </c>
      <c r="AS461" t="str">
        <f t="shared" si="234"/>
        <v>OK</v>
      </c>
      <c r="AT461">
        <f t="shared" si="235"/>
        <v>786.87</v>
      </c>
      <c r="AU461">
        <f t="shared" si="236"/>
        <v>288.37</v>
      </c>
      <c r="AV461" s="6">
        <f t="shared" si="237"/>
        <v>2.5587136375767279</v>
      </c>
      <c r="AW461" t="str">
        <f t="shared" si="238"/>
        <v>CLEAN</v>
      </c>
      <c r="AX461" s="10" t="str">
        <f t="shared" si="239"/>
        <v>MATCH</v>
      </c>
      <c r="AY461" t="str">
        <f t="shared" si="240"/>
        <v>MATCH</v>
      </c>
    </row>
    <row r="462" spans="1:51">
      <c r="A462" t="s">
        <v>3755</v>
      </c>
      <c r="B462">
        <f t="shared" si="216"/>
        <v>1</v>
      </c>
      <c r="C462" t="s">
        <v>3756</v>
      </c>
      <c r="D462" s="2">
        <v>45564</v>
      </c>
      <c r="E462" t="str">
        <f t="shared" si="217"/>
        <v>2024/09/29</v>
      </c>
      <c r="F462" t="str">
        <f t="shared" si="226"/>
        <v>September</v>
      </c>
      <c r="G462">
        <f t="shared" si="227"/>
        <v>2024</v>
      </c>
      <c r="H462" t="s">
        <v>3237</v>
      </c>
      <c r="I462" s="4">
        <v>45422</v>
      </c>
      <c r="J462" s="8">
        <f t="shared" si="218"/>
        <v>-142</v>
      </c>
      <c r="K462" s="8" t="str">
        <f t="shared" si="228"/>
        <v>INVAILD_SHIPPING</v>
      </c>
      <c r="L462" t="s">
        <v>3757</v>
      </c>
      <c r="M462" t="s">
        <v>141</v>
      </c>
      <c r="N462" t="str">
        <f t="shared" si="219"/>
        <v>Priya Menon</v>
      </c>
      <c r="O462" t="s">
        <v>40</v>
      </c>
      <c r="P462" t="str">
        <f t="shared" si="243"/>
        <v>Small Business</v>
      </c>
      <c r="Q462" t="s">
        <v>72</v>
      </c>
      <c r="R462" t="str">
        <f t="shared" si="242"/>
        <v>West</v>
      </c>
      <c r="S462" t="str">
        <f t="shared" si="229"/>
        <v>OK</v>
      </c>
      <c r="T462" t="s">
        <v>73</v>
      </c>
      <c r="U462" t="str">
        <f t="shared" si="220"/>
        <v>Maharashtra</v>
      </c>
      <c r="V462" t="s">
        <v>74</v>
      </c>
      <c r="W462" t="str">
        <f t="shared" si="221"/>
        <v>Mumbai</v>
      </c>
      <c r="X462" t="str">
        <f t="shared" si="222"/>
        <v>Office Supplies</v>
      </c>
      <c r="Y462" t="s">
        <v>29</v>
      </c>
      <c r="Z462" t="s">
        <v>108</v>
      </c>
      <c r="AA462" t="str">
        <f t="shared" si="223"/>
        <v>Labels</v>
      </c>
      <c r="AB462" t="s">
        <v>3758</v>
      </c>
      <c r="AC462" t="s">
        <v>55</v>
      </c>
      <c r="AD462" t="str">
        <f t="shared" si="241"/>
        <v>First Class</v>
      </c>
      <c r="AE462" t="str">
        <f t="shared" si="230"/>
        <v>OK</v>
      </c>
      <c r="AF462">
        <v>8</v>
      </c>
      <c r="AG462">
        <v>1981.04</v>
      </c>
      <c r="AH462">
        <v>-0.14000000000000001</v>
      </c>
      <c r="AI462">
        <f t="shared" si="231"/>
        <v>-0.14000000000000001</v>
      </c>
      <c r="AJ462" t="str">
        <f t="shared" si="232"/>
        <v>Invalid Negative Discount</v>
      </c>
      <c r="AK462">
        <v>12678.66</v>
      </c>
      <c r="AL462">
        <v>10088.65</v>
      </c>
      <c r="AM462">
        <v>2590.0100000000002</v>
      </c>
      <c r="AN462" t="s">
        <v>33</v>
      </c>
      <c r="AO462" t="str">
        <f t="shared" si="224"/>
        <v>PAID</v>
      </c>
      <c r="AP462" t="str">
        <f t="shared" si="233"/>
        <v>OK</v>
      </c>
      <c r="AQ462" t="s">
        <v>34</v>
      </c>
      <c r="AR462" t="str">
        <f t="shared" si="225"/>
        <v>COMPLETED</v>
      </c>
      <c r="AS462" t="str">
        <f t="shared" si="234"/>
        <v>OK</v>
      </c>
      <c r="AT462" t="str">
        <f t="shared" si="235"/>
        <v>INVAILD</v>
      </c>
      <c r="AU462" t="str">
        <f t="shared" si="236"/>
        <v>INVAILD</v>
      </c>
      <c r="AW462" t="str">
        <f t="shared" si="238"/>
        <v>INVALID</v>
      </c>
      <c r="AX462" s="10" t="s">
        <v>4116</v>
      </c>
      <c r="AY462" t="s">
        <v>4116</v>
      </c>
    </row>
    <row r="463" spans="1:51">
      <c r="A463" t="s">
        <v>3759</v>
      </c>
      <c r="B463">
        <f t="shared" si="216"/>
        <v>1</v>
      </c>
      <c r="C463" t="s">
        <v>1593</v>
      </c>
      <c r="D463" s="3">
        <v>45504</v>
      </c>
      <c r="E463" t="str">
        <f t="shared" si="217"/>
        <v>2024/07/31</v>
      </c>
      <c r="F463" t="str">
        <f t="shared" si="226"/>
        <v>July</v>
      </c>
      <c r="G463">
        <f t="shared" si="227"/>
        <v>2024</v>
      </c>
      <c r="H463" t="s">
        <v>3760</v>
      </c>
      <c r="I463" s="4">
        <v>45504</v>
      </c>
      <c r="J463" s="8">
        <f t="shared" si="218"/>
        <v>0</v>
      </c>
      <c r="K463" s="8" t="str">
        <f t="shared" si="228"/>
        <v>OK</v>
      </c>
      <c r="L463" t="s">
        <v>3761</v>
      </c>
      <c r="M463" t="s">
        <v>24</v>
      </c>
      <c r="N463" t="str">
        <f t="shared" si="219"/>
        <v>Karan Malhotra</v>
      </c>
      <c r="O463" t="s">
        <v>114</v>
      </c>
      <c r="P463" t="str">
        <f t="shared" si="243"/>
        <v>Home Office</v>
      </c>
      <c r="Q463" t="s">
        <v>61</v>
      </c>
      <c r="R463" t="str">
        <f t="shared" si="242"/>
        <v>South</v>
      </c>
      <c r="S463" t="str">
        <f t="shared" si="229"/>
        <v>OK</v>
      </c>
      <c r="T463" t="s">
        <v>241</v>
      </c>
      <c r="U463" t="str">
        <f t="shared" si="220"/>
        <v>Kerala</v>
      </c>
      <c r="V463" t="s">
        <v>242</v>
      </c>
      <c r="W463" t="str">
        <f t="shared" si="221"/>
        <v>Kochi</v>
      </c>
      <c r="X463" t="str">
        <f t="shared" si="222"/>
        <v>Technology</v>
      </c>
      <c r="Y463" t="s">
        <v>85</v>
      </c>
      <c r="Z463" t="s">
        <v>3762</v>
      </c>
      <c r="AA463" t="str">
        <f t="shared" si="223"/>
        <v>Machines</v>
      </c>
      <c r="AB463" t="s">
        <v>3763</v>
      </c>
      <c r="AC463" t="s">
        <v>66</v>
      </c>
      <c r="AD463" t="str">
        <f t="shared" si="241"/>
        <v>Standard Class</v>
      </c>
      <c r="AE463" t="str">
        <f t="shared" si="230"/>
        <v>OK</v>
      </c>
      <c r="AF463">
        <v>8</v>
      </c>
      <c r="AG463">
        <v>4246.01</v>
      </c>
      <c r="AH463">
        <v>0</v>
      </c>
      <c r="AI463">
        <f t="shared" si="231"/>
        <v>0</v>
      </c>
      <c r="AJ463" t="str">
        <f t="shared" si="232"/>
        <v>OK</v>
      </c>
      <c r="AK463">
        <v>33968.080000000002</v>
      </c>
      <c r="AL463">
        <v>26902.44</v>
      </c>
      <c r="AM463">
        <v>7065.64</v>
      </c>
      <c r="AN463" t="s">
        <v>199</v>
      </c>
      <c r="AO463" t="str">
        <f t="shared" si="224"/>
        <v>FAILED</v>
      </c>
      <c r="AP463" t="str">
        <f t="shared" si="233"/>
        <v>EXCLUDE_FROM_SALES</v>
      </c>
      <c r="AQ463" t="s">
        <v>77</v>
      </c>
      <c r="AR463" t="str">
        <f t="shared" si="225"/>
        <v>CANCELLED</v>
      </c>
      <c r="AS463" t="str">
        <f t="shared" si="234"/>
        <v>EXCLUDE_FROM_SALES</v>
      </c>
      <c r="AT463">
        <f t="shared" si="235"/>
        <v>33968.080000000002</v>
      </c>
      <c r="AU463">
        <f t="shared" si="236"/>
        <v>7065.6400000000031</v>
      </c>
      <c r="AV463" s="6">
        <f t="shared" si="237"/>
        <v>0.25885183972717901</v>
      </c>
      <c r="AW463" t="str">
        <f t="shared" si="238"/>
        <v>CLEAN</v>
      </c>
      <c r="AX463" s="10" t="str">
        <f t="shared" si="239"/>
        <v>MATCH</v>
      </c>
      <c r="AY463" t="str">
        <f t="shared" si="240"/>
        <v>MATCH</v>
      </c>
    </row>
    <row r="464" spans="1:51">
      <c r="A464" t="s">
        <v>3769</v>
      </c>
      <c r="B464">
        <f t="shared" si="216"/>
        <v>1</v>
      </c>
      <c r="C464" t="s">
        <v>3770</v>
      </c>
      <c r="D464" s="3">
        <v>45358</v>
      </c>
      <c r="E464" t="str">
        <f t="shared" si="217"/>
        <v>2024/03/07</v>
      </c>
      <c r="F464" t="str">
        <f t="shared" si="226"/>
        <v>March</v>
      </c>
      <c r="G464">
        <f t="shared" si="227"/>
        <v>2024</v>
      </c>
      <c r="H464" t="s">
        <v>3771</v>
      </c>
      <c r="I464" s="4">
        <v>45450</v>
      </c>
      <c r="J464" s="8">
        <f t="shared" si="218"/>
        <v>92</v>
      </c>
      <c r="K464" s="8" t="str">
        <f t="shared" si="228"/>
        <v>OK</v>
      </c>
      <c r="L464" t="s">
        <v>3772</v>
      </c>
      <c r="M464" t="s">
        <v>161</v>
      </c>
      <c r="N464" t="str">
        <f t="shared" si="219"/>
        <v>Aarav Sharma</v>
      </c>
      <c r="O464" t="s">
        <v>107</v>
      </c>
      <c r="P464" t="str">
        <f t="shared" si="243"/>
        <v>Corporate</v>
      </c>
      <c r="Q464" t="s">
        <v>61</v>
      </c>
      <c r="R464" t="str">
        <f t="shared" si="242"/>
        <v>South</v>
      </c>
      <c r="S464" t="str">
        <f t="shared" si="229"/>
        <v>OK</v>
      </c>
      <c r="T464" t="s">
        <v>228</v>
      </c>
      <c r="U464" t="str">
        <f t="shared" si="220"/>
        <v>Karnataka</v>
      </c>
      <c r="V464" t="s">
        <v>229</v>
      </c>
      <c r="W464" t="str">
        <f t="shared" si="221"/>
        <v>Bengaluru</v>
      </c>
      <c r="X464" t="str">
        <f t="shared" si="222"/>
        <v>Technology</v>
      </c>
      <c r="Y464" t="s">
        <v>85</v>
      </c>
      <c r="Z464" t="s">
        <v>86</v>
      </c>
      <c r="AA464" t="str">
        <f t="shared" si="223"/>
        <v>Accessories</v>
      </c>
      <c r="AB464" t="s">
        <v>3773</v>
      </c>
      <c r="AC464" t="s">
        <v>55</v>
      </c>
      <c r="AD464" t="str">
        <f t="shared" si="241"/>
        <v>First Class</v>
      </c>
      <c r="AE464" t="str">
        <f t="shared" si="230"/>
        <v>OK</v>
      </c>
      <c r="AF464">
        <v>7</v>
      </c>
      <c r="AG464">
        <v>1942.49</v>
      </c>
      <c r="AH464">
        <v>0.2</v>
      </c>
      <c r="AI464">
        <f t="shared" si="231"/>
        <v>0.2</v>
      </c>
      <c r="AJ464" t="str">
        <f t="shared" si="232"/>
        <v>OK</v>
      </c>
      <c r="AK464">
        <v>10877.94</v>
      </c>
      <c r="AL464">
        <v>9110.14</v>
      </c>
      <c r="AM464">
        <v>1767.8</v>
      </c>
      <c r="AN464" t="s">
        <v>33</v>
      </c>
      <c r="AO464" t="str">
        <f t="shared" si="224"/>
        <v>PAID</v>
      </c>
      <c r="AP464" t="str">
        <f t="shared" si="233"/>
        <v>OK</v>
      </c>
      <c r="AQ464" t="s">
        <v>34</v>
      </c>
      <c r="AR464" t="str">
        <f t="shared" si="225"/>
        <v>COMPLETED</v>
      </c>
      <c r="AS464" t="str">
        <f t="shared" si="234"/>
        <v>OK</v>
      </c>
      <c r="AT464">
        <f t="shared" si="235"/>
        <v>10877.944000000001</v>
      </c>
      <c r="AU464">
        <f t="shared" si="236"/>
        <v>1767.8040000000019</v>
      </c>
      <c r="AV464" s="6">
        <f t="shared" si="237"/>
        <v>0.17263868981123634</v>
      </c>
      <c r="AW464" t="str">
        <f t="shared" si="238"/>
        <v>CLEAN</v>
      </c>
      <c r="AX464" s="10" t="str">
        <f t="shared" si="239"/>
        <v>MATCH</v>
      </c>
      <c r="AY464" t="str">
        <f t="shared" si="240"/>
        <v>MATCH</v>
      </c>
    </row>
    <row r="465" spans="1:51">
      <c r="A465" t="s">
        <v>3774</v>
      </c>
      <c r="B465">
        <f t="shared" si="216"/>
        <v>1</v>
      </c>
      <c r="C465" t="s">
        <v>3775</v>
      </c>
      <c r="D465" s="3">
        <v>45636</v>
      </c>
      <c r="E465" t="str">
        <f t="shared" si="217"/>
        <v>2024/12/10</v>
      </c>
      <c r="F465" t="str">
        <f t="shared" si="226"/>
        <v>December</v>
      </c>
      <c r="G465">
        <f t="shared" si="227"/>
        <v>2024</v>
      </c>
      <c r="H465" t="s">
        <v>3776</v>
      </c>
      <c r="I465" s="4">
        <v>45573</v>
      </c>
      <c r="J465" s="8">
        <f t="shared" si="218"/>
        <v>-63</v>
      </c>
      <c r="K465" s="8" t="str">
        <f t="shared" si="228"/>
        <v>INVAILD_SHIPPING</v>
      </c>
      <c r="L465" t="s">
        <v>3777</v>
      </c>
      <c r="M465" t="s">
        <v>39</v>
      </c>
      <c r="N465" t="str">
        <f t="shared" si="219"/>
        <v>Mira Das</v>
      </c>
      <c r="O465" t="s">
        <v>107</v>
      </c>
      <c r="P465" t="str">
        <f t="shared" si="243"/>
        <v>Corporate</v>
      </c>
      <c r="Q465" t="s">
        <v>41</v>
      </c>
      <c r="R465" t="str">
        <f t="shared" si="242"/>
        <v>East</v>
      </c>
      <c r="S465" t="str">
        <f t="shared" si="229"/>
        <v>OK</v>
      </c>
      <c r="T465" t="s">
        <v>215</v>
      </c>
      <c r="U465" t="str">
        <f t="shared" si="220"/>
        <v>Assam</v>
      </c>
      <c r="V465" t="s">
        <v>216</v>
      </c>
      <c r="W465" t="str">
        <f t="shared" si="221"/>
        <v>Guwahati</v>
      </c>
      <c r="X465" t="str">
        <f t="shared" si="222"/>
        <v>Furniture</v>
      </c>
      <c r="Y465" t="s">
        <v>44</v>
      </c>
      <c r="Z465" t="s">
        <v>64</v>
      </c>
      <c r="AA465" t="str">
        <f t="shared" si="223"/>
        <v>Furnishings</v>
      </c>
      <c r="AB465" t="s">
        <v>3778</v>
      </c>
      <c r="AC465" t="s">
        <v>32</v>
      </c>
      <c r="AD465" t="str">
        <f t="shared" si="241"/>
        <v>Second Class</v>
      </c>
      <c r="AE465" t="str">
        <f t="shared" si="230"/>
        <v>OK</v>
      </c>
      <c r="AF465">
        <v>4</v>
      </c>
      <c r="AG465">
        <v>3202.04</v>
      </c>
      <c r="AH465">
        <v>0.2</v>
      </c>
      <c r="AI465">
        <f t="shared" si="231"/>
        <v>0.2</v>
      </c>
      <c r="AJ465" t="str">
        <f t="shared" si="232"/>
        <v>OK</v>
      </c>
      <c r="AK465">
        <v>10246.530000000001</v>
      </c>
      <c r="AL465">
        <v>8634.42</v>
      </c>
      <c r="AM465">
        <v>1612.11</v>
      </c>
      <c r="AN465" t="s">
        <v>136</v>
      </c>
      <c r="AO465" t="str">
        <f t="shared" si="224"/>
        <v>PENDING</v>
      </c>
      <c r="AP465" t="str">
        <f t="shared" si="233"/>
        <v>OK</v>
      </c>
      <c r="AQ465" t="s">
        <v>124</v>
      </c>
      <c r="AR465" t="str">
        <f t="shared" si="225"/>
        <v>RETURNED</v>
      </c>
      <c r="AS465" t="str">
        <f t="shared" si="234"/>
        <v>RETURNED_ORDER</v>
      </c>
      <c r="AT465">
        <f t="shared" si="235"/>
        <v>10246.528</v>
      </c>
      <c r="AU465">
        <f t="shared" si="236"/>
        <v>1612.1080000000002</v>
      </c>
      <c r="AV465" s="6">
        <f t="shared" si="237"/>
        <v>8.0418947764550081E-2</v>
      </c>
      <c r="AW465" t="str">
        <f t="shared" si="238"/>
        <v>CLEAN</v>
      </c>
      <c r="AX465" s="10" t="str">
        <f t="shared" si="239"/>
        <v>MATCH</v>
      </c>
      <c r="AY465" t="str">
        <f t="shared" si="240"/>
        <v>MATCH</v>
      </c>
    </row>
    <row r="466" spans="1:51">
      <c r="A466" t="s">
        <v>3796</v>
      </c>
      <c r="B466">
        <f t="shared" si="216"/>
        <v>1</v>
      </c>
      <c r="C466" t="s">
        <v>3797</v>
      </c>
      <c r="D466" s="2">
        <v>45620</v>
      </c>
      <c r="E466" t="str">
        <f t="shared" si="217"/>
        <v>2024/11/24</v>
      </c>
      <c r="F466" t="str">
        <f t="shared" si="226"/>
        <v>November</v>
      </c>
      <c r="G466">
        <f t="shared" si="227"/>
        <v>2024</v>
      </c>
      <c r="H466" t="s">
        <v>1749</v>
      </c>
      <c r="I466" s="4">
        <v>45303</v>
      </c>
      <c r="J466" s="8">
        <f t="shared" si="218"/>
        <v>-317</v>
      </c>
      <c r="K466" s="8" t="str">
        <f t="shared" si="228"/>
        <v>INVAILD_SHIPPING</v>
      </c>
      <c r="L466" t="s">
        <v>3798</v>
      </c>
      <c r="M466" t="s">
        <v>141</v>
      </c>
      <c r="N466" t="str">
        <f t="shared" si="219"/>
        <v>Priya Menon</v>
      </c>
      <c r="O466" t="s">
        <v>114</v>
      </c>
      <c r="P466" t="str">
        <f t="shared" si="243"/>
        <v>Home Office</v>
      </c>
      <c r="Q466" t="s">
        <v>61</v>
      </c>
      <c r="R466" t="str">
        <f t="shared" si="242"/>
        <v>South</v>
      </c>
      <c r="S466" t="str">
        <f t="shared" si="229"/>
        <v>OK</v>
      </c>
      <c r="T466" t="s">
        <v>338</v>
      </c>
      <c r="U466" t="str">
        <f t="shared" si="220"/>
        <v>Tamil Nadu</v>
      </c>
      <c r="V466" t="s">
        <v>339</v>
      </c>
      <c r="W466" t="str">
        <f t="shared" si="221"/>
        <v>Chennai</v>
      </c>
      <c r="X466" t="str">
        <f t="shared" si="222"/>
        <v>Office Supplies</v>
      </c>
      <c r="Y466" t="s">
        <v>29</v>
      </c>
      <c r="Z466" t="s">
        <v>30</v>
      </c>
      <c r="AA466" t="str">
        <f t="shared" si="223"/>
        <v>Paper</v>
      </c>
      <c r="AB466" t="s">
        <v>3799</v>
      </c>
      <c r="AC466" t="s">
        <v>47</v>
      </c>
      <c r="AD466" t="str">
        <f t="shared" si="241"/>
        <v>Same Day</v>
      </c>
      <c r="AE466" t="str">
        <f t="shared" si="230"/>
        <v>OK</v>
      </c>
      <c r="AF466">
        <v>1</v>
      </c>
      <c r="AG466">
        <v>844.89</v>
      </c>
      <c r="AH466">
        <v>0.25</v>
      </c>
      <c r="AI466">
        <f t="shared" si="231"/>
        <v>0.25</v>
      </c>
      <c r="AJ466" t="str">
        <f t="shared" si="232"/>
        <v>OK</v>
      </c>
      <c r="AK466">
        <v>633.66999999999996</v>
      </c>
      <c r="AL466">
        <v>520.47</v>
      </c>
      <c r="AM466">
        <v>113.2</v>
      </c>
      <c r="AN466" t="s">
        <v>33</v>
      </c>
      <c r="AO466" t="str">
        <f t="shared" si="224"/>
        <v>PAID</v>
      </c>
      <c r="AP466" t="str">
        <f t="shared" si="233"/>
        <v>OK</v>
      </c>
      <c r="AQ466" t="s">
        <v>77</v>
      </c>
      <c r="AR466" t="str">
        <f t="shared" si="225"/>
        <v>CANCELLED</v>
      </c>
      <c r="AS466" t="str">
        <f t="shared" si="234"/>
        <v>EXCLUDE_FROM_SALES</v>
      </c>
      <c r="AT466">
        <f t="shared" si="235"/>
        <v>633.66750000000002</v>
      </c>
      <c r="AU466">
        <f t="shared" si="236"/>
        <v>113.19749999999999</v>
      </c>
      <c r="AV466" s="6">
        <f t="shared" si="237"/>
        <v>11.389963979531851</v>
      </c>
      <c r="AW466" t="str">
        <f t="shared" si="238"/>
        <v>CLEAN</v>
      </c>
      <c r="AX466" s="10" t="str">
        <f t="shared" si="239"/>
        <v>MATCH</v>
      </c>
      <c r="AY466" t="str">
        <f t="shared" si="240"/>
        <v>MATCH</v>
      </c>
    </row>
    <row r="467" spans="1:51">
      <c r="A467" t="s">
        <v>3805</v>
      </c>
      <c r="B467">
        <f t="shared" si="216"/>
        <v>1</v>
      </c>
      <c r="C467" t="s">
        <v>3806</v>
      </c>
      <c r="D467" s="3">
        <v>45348</v>
      </c>
      <c r="E467" t="str">
        <f t="shared" si="217"/>
        <v>2024/02/26</v>
      </c>
      <c r="F467" t="str">
        <f t="shared" si="226"/>
        <v>February</v>
      </c>
      <c r="G467">
        <f t="shared" si="227"/>
        <v>2024</v>
      </c>
      <c r="H467" t="s">
        <v>1473</v>
      </c>
      <c r="I467" s="4">
        <v>45350</v>
      </c>
      <c r="J467" s="8">
        <f t="shared" si="218"/>
        <v>2</v>
      </c>
      <c r="K467" s="8" t="str">
        <f t="shared" si="228"/>
        <v>OK</v>
      </c>
      <c r="L467" t="s">
        <v>3807</v>
      </c>
      <c r="M467" t="s">
        <v>106</v>
      </c>
      <c r="N467" t="str">
        <f t="shared" si="219"/>
        <v>Aditi Sen</v>
      </c>
      <c r="O467" t="s">
        <v>40</v>
      </c>
      <c r="P467" t="str">
        <f t="shared" si="243"/>
        <v>Small Business</v>
      </c>
      <c r="Q467" t="s">
        <v>72</v>
      </c>
      <c r="R467" t="str">
        <f t="shared" si="242"/>
        <v>West</v>
      </c>
      <c r="S467" t="str">
        <f t="shared" si="229"/>
        <v>OK</v>
      </c>
      <c r="T467" t="s">
        <v>248</v>
      </c>
      <c r="U467" t="str">
        <f t="shared" si="220"/>
        <v>Goa</v>
      </c>
      <c r="V467" t="s">
        <v>249</v>
      </c>
      <c r="W467" t="str">
        <f t="shared" si="221"/>
        <v>Panaji</v>
      </c>
      <c r="X467" t="str">
        <f t="shared" si="222"/>
        <v>Furniture</v>
      </c>
      <c r="Y467" t="s">
        <v>44</v>
      </c>
      <c r="Z467" t="s">
        <v>64</v>
      </c>
      <c r="AA467" t="str">
        <f t="shared" si="223"/>
        <v>Furnishings</v>
      </c>
      <c r="AB467" t="s">
        <v>3808</v>
      </c>
      <c r="AC467" t="s">
        <v>32</v>
      </c>
      <c r="AD467" t="str">
        <f t="shared" si="241"/>
        <v>Second Class</v>
      </c>
      <c r="AE467" t="str">
        <f t="shared" si="230"/>
        <v>OK</v>
      </c>
      <c r="AF467">
        <v>7</v>
      </c>
      <c r="AG467">
        <v>1035.1400000000001</v>
      </c>
      <c r="AH467">
        <v>0.1</v>
      </c>
      <c r="AI467">
        <f t="shared" si="231"/>
        <v>0.1</v>
      </c>
      <c r="AJ467" t="str">
        <f t="shared" si="232"/>
        <v>OK</v>
      </c>
      <c r="AK467">
        <v>6521.38</v>
      </c>
      <c r="AL467">
        <v>4511.1000000000004</v>
      </c>
      <c r="AM467">
        <v>2010.28</v>
      </c>
      <c r="AN467" t="s">
        <v>33</v>
      </c>
      <c r="AO467" t="str">
        <f t="shared" si="224"/>
        <v>PAID</v>
      </c>
      <c r="AP467" t="str">
        <f t="shared" si="233"/>
        <v>OK</v>
      </c>
      <c r="AQ467" t="s">
        <v>34</v>
      </c>
      <c r="AR467" t="str">
        <f t="shared" si="225"/>
        <v>COMPLETED</v>
      </c>
      <c r="AS467" t="str">
        <f t="shared" si="234"/>
        <v>OK</v>
      </c>
      <c r="AT467">
        <f t="shared" si="235"/>
        <v>6521.3820000000005</v>
      </c>
      <c r="AU467">
        <f t="shared" si="236"/>
        <v>2010.2820000000002</v>
      </c>
      <c r="AV467" s="6">
        <f t="shared" si="237"/>
        <v>0.48402623861015953</v>
      </c>
      <c r="AW467" t="str">
        <f t="shared" si="238"/>
        <v>CLEAN</v>
      </c>
      <c r="AX467" s="10" t="str">
        <f t="shared" si="239"/>
        <v>MATCH</v>
      </c>
      <c r="AY467" t="str">
        <f t="shared" si="240"/>
        <v>MATCH</v>
      </c>
    </row>
    <row r="468" spans="1:51">
      <c r="A468" t="s">
        <v>3820</v>
      </c>
      <c r="B468">
        <f t="shared" si="216"/>
        <v>1</v>
      </c>
      <c r="C468" t="s">
        <v>3821</v>
      </c>
      <c r="D468" s="3">
        <v>45388</v>
      </c>
      <c r="E468" t="str">
        <f t="shared" si="217"/>
        <v>2024/04/06</v>
      </c>
      <c r="F468" t="str">
        <f t="shared" si="226"/>
        <v>April</v>
      </c>
      <c r="G468">
        <f t="shared" si="227"/>
        <v>2024</v>
      </c>
      <c r="H468" t="s">
        <v>3822</v>
      </c>
      <c r="I468" s="4">
        <v>45447</v>
      </c>
      <c r="J468" s="8">
        <f t="shared" si="218"/>
        <v>59</v>
      </c>
      <c r="K468" s="8" t="str">
        <f t="shared" si="228"/>
        <v>OK</v>
      </c>
      <c r="L468" t="s">
        <v>3823</v>
      </c>
      <c r="M468" t="s">
        <v>147</v>
      </c>
      <c r="N468" t="str">
        <f t="shared" si="219"/>
        <v>Rahul Verma</v>
      </c>
      <c r="O468" t="s">
        <v>114</v>
      </c>
      <c r="P468" t="str">
        <f t="shared" si="243"/>
        <v>Home Office</v>
      </c>
      <c r="Q468" t="s">
        <v>41</v>
      </c>
      <c r="R468" t="str">
        <f t="shared" si="242"/>
        <v>East</v>
      </c>
      <c r="S468" t="str">
        <f t="shared" si="229"/>
        <v>OK</v>
      </c>
      <c r="T468" t="s">
        <v>120</v>
      </c>
      <c r="U468" t="str">
        <f t="shared" si="220"/>
        <v>West Bengal</v>
      </c>
      <c r="V468" t="s">
        <v>121</v>
      </c>
      <c r="W468" t="str">
        <f t="shared" si="221"/>
        <v>Kolkata</v>
      </c>
      <c r="X468" t="str">
        <f t="shared" si="222"/>
        <v>Furniture</v>
      </c>
      <c r="Y468" t="s">
        <v>44</v>
      </c>
      <c r="Z468" t="s">
        <v>203</v>
      </c>
      <c r="AA468" t="str">
        <f t="shared" si="223"/>
        <v>Bookcases</v>
      </c>
      <c r="AB468" t="s">
        <v>3824</v>
      </c>
      <c r="AC468" t="s">
        <v>55</v>
      </c>
      <c r="AD468" t="str">
        <f t="shared" si="241"/>
        <v>First Class</v>
      </c>
      <c r="AE468" t="str">
        <f t="shared" si="230"/>
        <v>OK</v>
      </c>
      <c r="AF468">
        <v>6</v>
      </c>
      <c r="AG468">
        <v>3949.4</v>
      </c>
      <c r="AH468">
        <v>0</v>
      </c>
      <c r="AI468">
        <f t="shared" si="231"/>
        <v>0</v>
      </c>
      <c r="AJ468" t="str">
        <f t="shared" si="232"/>
        <v>OK</v>
      </c>
      <c r="AK468">
        <v>23696.400000000001</v>
      </c>
      <c r="AL468">
        <v>18109.77</v>
      </c>
      <c r="AM468">
        <v>5586.63</v>
      </c>
      <c r="AN468" t="s">
        <v>33</v>
      </c>
      <c r="AO468" t="str">
        <f t="shared" si="224"/>
        <v>PAID</v>
      </c>
      <c r="AP468" t="str">
        <f t="shared" si="233"/>
        <v>OK</v>
      </c>
      <c r="AQ468" t="s">
        <v>34</v>
      </c>
      <c r="AR468" t="str">
        <f t="shared" si="225"/>
        <v>COMPLETED</v>
      </c>
      <c r="AS468" t="str">
        <f t="shared" si="234"/>
        <v>OK</v>
      </c>
      <c r="AT468">
        <f t="shared" si="235"/>
        <v>23696.400000000001</v>
      </c>
      <c r="AU468">
        <f t="shared" si="236"/>
        <v>5586.630000000001</v>
      </c>
      <c r="AV468" s="6">
        <f t="shared" si="237"/>
        <v>0.29126120423355456</v>
      </c>
      <c r="AW468" t="str">
        <f t="shared" si="238"/>
        <v>CLEAN</v>
      </c>
      <c r="AX468" s="10" t="str">
        <f t="shared" si="239"/>
        <v>MATCH</v>
      </c>
      <c r="AY468" t="str">
        <f t="shared" si="240"/>
        <v>MATCH</v>
      </c>
    </row>
    <row r="469" spans="1:51">
      <c r="A469" t="s">
        <v>3825</v>
      </c>
      <c r="B469">
        <f t="shared" si="216"/>
        <v>1</v>
      </c>
      <c r="C469" t="s">
        <v>232</v>
      </c>
      <c r="D469" s="3">
        <v>45583</v>
      </c>
      <c r="E469" t="str">
        <f t="shared" si="217"/>
        <v>2024/10/18</v>
      </c>
      <c r="F469" t="str">
        <f t="shared" si="226"/>
        <v>October</v>
      </c>
      <c r="G469">
        <f t="shared" si="227"/>
        <v>2024</v>
      </c>
      <c r="H469" t="s">
        <v>3826</v>
      </c>
      <c r="I469" s="4">
        <v>45587</v>
      </c>
      <c r="J469" s="8">
        <f t="shared" si="218"/>
        <v>4</v>
      </c>
      <c r="K469" s="8" t="str">
        <f t="shared" si="228"/>
        <v>OK</v>
      </c>
      <c r="L469" t="s">
        <v>3827</v>
      </c>
      <c r="M469" t="s">
        <v>161</v>
      </c>
      <c r="N469" t="str">
        <f t="shared" si="219"/>
        <v>Aarav Sharma</v>
      </c>
      <c r="O469" t="s">
        <v>114</v>
      </c>
      <c r="P469" t="str">
        <f t="shared" si="243"/>
        <v>Home Office</v>
      </c>
      <c r="Q469" t="s">
        <v>61</v>
      </c>
      <c r="R469" t="str">
        <f t="shared" si="242"/>
        <v>South</v>
      </c>
      <c r="S469" t="str">
        <f t="shared" si="229"/>
        <v>OK</v>
      </c>
      <c r="T469" t="s">
        <v>62</v>
      </c>
      <c r="U469" t="str">
        <f t="shared" si="220"/>
        <v>Telangana</v>
      </c>
      <c r="V469" t="s">
        <v>63</v>
      </c>
      <c r="W469" t="str">
        <f t="shared" si="221"/>
        <v>Hyderabad</v>
      </c>
      <c r="X469" t="str">
        <f t="shared" si="222"/>
        <v>Office Supplies</v>
      </c>
      <c r="Y469" t="s">
        <v>29</v>
      </c>
      <c r="Z469" t="s">
        <v>53</v>
      </c>
      <c r="AA469" t="str">
        <f t="shared" si="223"/>
        <v>Art</v>
      </c>
      <c r="AB469" t="s">
        <v>3828</v>
      </c>
      <c r="AC469" t="s">
        <v>55</v>
      </c>
      <c r="AD469" t="str">
        <f t="shared" si="241"/>
        <v>First Class</v>
      </c>
      <c r="AE469" t="str">
        <f t="shared" si="230"/>
        <v>OK</v>
      </c>
      <c r="AF469">
        <v>6</v>
      </c>
      <c r="AG469">
        <v>674.61</v>
      </c>
      <c r="AH469">
        <v>0</v>
      </c>
      <c r="AI469">
        <f t="shared" si="231"/>
        <v>0</v>
      </c>
      <c r="AJ469" t="str">
        <f t="shared" si="232"/>
        <v>OK</v>
      </c>
      <c r="AK469">
        <v>4047.66</v>
      </c>
      <c r="AL469">
        <v>3078.93</v>
      </c>
      <c r="AM469">
        <v>1279.79</v>
      </c>
      <c r="AN469" t="s">
        <v>33</v>
      </c>
      <c r="AO469" t="str">
        <f t="shared" si="224"/>
        <v>PAID</v>
      </c>
      <c r="AP469" t="str">
        <f t="shared" si="233"/>
        <v>OK</v>
      </c>
      <c r="AQ469" t="s">
        <v>34</v>
      </c>
      <c r="AR469" t="str">
        <f t="shared" si="225"/>
        <v>COMPLETED</v>
      </c>
      <c r="AS469" t="str">
        <f t="shared" si="234"/>
        <v>OK</v>
      </c>
      <c r="AT469">
        <f t="shared" si="235"/>
        <v>4047.66</v>
      </c>
      <c r="AU469">
        <f t="shared" si="236"/>
        <v>968.73</v>
      </c>
      <c r="AV469" s="6">
        <f t="shared" si="237"/>
        <v>1.5694870616603174</v>
      </c>
      <c r="AW469" t="str">
        <f t="shared" si="238"/>
        <v>CLEAN</v>
      </c>
      <c r="AX469" s="10" t="str">
        <f t="shared" si="239"/>
        <v>MATCH</v>
      </c>
      <c r="AY469" t="str">
        <f t="shared" si="240"/>
        <v>MISMATCH</v>
      </c>
    </row>
    <row r="470" spans="1:51">
      <c r="A470" t="s">
        <v>3832</v>
      </c>
      <c r="B470">
        <f t="shared" si="216"/>
        <v>1</v>
      </c>
      <c r="C470" t="s">
        <v>2461</v>
      </c>
      <c r="D470" s="3">
        <v>45641</v>
      </c>
      <c r="E470" t="str">
        <f t="shared" si="217"/>
        <v>2024/12/15</v>
      </c>
      <c r="F470" t="str">
        <f t="shared" si="226"/>
        <v>December</v>
      </c>
      <c r="G470">
        <f t="shared" si="227"/>
        <v>2024</v>
      </c>
      <c r="H470" t="s">
        <v>3833</v>
      </c>
      <c r="I470" s="4">
        <v>45644</v>
      </c>
      <c r="J470" s="8">
        <f t="shared" si="218"/>
        <v>3</v>
      </c>
      <c r="K470" s="8" t="str">
        <f t="shared" si="228"/>
        <v>OK</v>
      </c>
      <c r="L470" t="s">
        <v>3834</v>
      </c>
      <c r="M470" t="s">
        <v>52</v>
      </c>
      <c r="N470" t="str">
        <f t="shared" si="219"/>
        <v>Isha Nair</v>
      </c>
      <c r="O470" t="s">
        <v>40</v>
      </c>
      <c r="P470" t="str">
        <f t="shared" si="243"/>
        <v>Small Business</v>
      </c>
      <c r="Q470" t="s">
        <v>26</v>
      </c>
      <c r="R470" t="str">
        <f t="shared" si="242"/>
        <v>North</v>
      </c>
      <c r="S470" t="str">
        <f t="shared" si="229"/>
        <v>OK</v>
      </c>
      <c r="T470" t="s">
        <v>27</v>
      </c>
      <c r="U470" t="str">
        <f t="shared" si="220"/>
        <v>Rajasthan</v>
      </c>
      <c r="V470" t="s">
        <v>28</v>
      </c>
      <c r="W470" t="str">
        <f t="shared" si="221"/>
        <v>Jaipur</v>
      </c>
      <c r="X470" t="str">
        <f t="shared" si="222"/>
        <v>Office Supplies</v>
      </c>
      <c r="Y470" t="s">
        <v>29</v>
      </c>
      <c r="Z470" t="s">
        <v>108</v>
      </c>
      <c r="AA470" t="str">
        <f t="shared" si="223"/>
        <v>Labels</v>
      </c>
      <c r="AB470" t="s">
        <v>3835</v>
      </c>
      <c r="AC470" t="s">
        <v>32</v>
      </c>
      <c r="AD470" t="str">
        <f t="shared" si="241"/>
        <v>Second Class</v>
      </c>
      <c r="AE470" t="str">
        <f t="shared" si="230"/>
        <v>OK</v>
      </c>
      <c r="AF470">
        <v>2</v>
      </c>
      <c r="AG470">
        <v>537.11</v>
      </c>
      <c r="AH470">
        <v>0</v>
      </c>
      <c r="AI470">
        <f t="shared" si="231"/>
        <v>0</v>
      </c>
      <c r="AJ470" t="str">
        <f t="shared" si="232"/>
        <v>OK</v>
      </c>
      <c r="AK470">
        <v>1074.22</v>
      </c>
      <c r="AL470">
        <v>850.86</v>
      </c>
      <c r="AM470">
        <v>223.36</v>
      </c>
      <c r="AN470" t="s">
        <v>33</v>
      </c>
      <c r="AO470" t="str">
        <f t="shared" si="224"/>
        <v>PAID</v>
      </c>
      <c r="AP470" t="str">
        <f t="shared" si="233"/>
        <v>OK</v>
      </c>
      <c r="AQ470" t="s">
        <v>34</v>
      </c>
      <c r="AR470" t="str">
        <f t="shared" si="225"/>
        <v>COMPLETED</v>
      </c>
      <c r="AS470" t="str">
        <f t="shared" si="234"/>
        <v>OK</v>
      </c>
      <c r="AT470">
        <f t="shared" si="235"/>
        <v>1074.22</v>
      </c>
      <c r="AU470">
        <f t="shared" si="236"/>
        <v>223.36</v>
      </c>
      <c r="AV470" s="6">
        <f t="shared" si="237"/>
        <v>2.3388467911600972</v>
      </c>
      <c r="AW470" t="str">
        <f t="shared" si="238"/>
        <v>CLEAN</v>
      </c>
      <c r="AX470" s="10" t="str">
        <f t="shared" si="239"/>
        <v>MATCH</v>
      </c>
      <c r="AY470" t="str">
        <f t="shared" si="240"/>
        <v>MATCH</v>
      </c>
    </row>
    <row r="471" spans="1:51">
      <c r="A471" t="s">
        <v>3844</v>
      </c>
      <c r="B471">
        <f t="shared" si="216"/>
        <v>1</v>
      </c>
      <c r="C471" t="s">
        <v>3845</v>
      </c>
      <c r="D471" s="3">
        <v>45555</v>
      </c>
      <c r="E471" t="str">
        <f t="shared" si="217"/>
        <v>2024/09/20</v>
      </c>
      <c r="F471" t="str">
        <f t="shared" si="226"/>
        <v>September</v>
      </c>
      <c r="G471">
        <f t="shared" si="227"/>
        <v>2024</v>
      </c>
      <c r="H471" t="s">
        <v>3846</v>
      </c>
      <c r="I471" s="4">
        <v>45557</v>
      </c>
      <c r="J471" s="8">
        <f t="shared" si="218"/>
        <v>2</v>
      </c>
      <c r="K471" s="8" t="str">
        <f t="shared" si="228"/>
        <v>OK</v>
      </c>
      <c r="L471" t="s">
        <v>3847</v>
      </c>
      <c r="M471" t="s">
        <v>179</v>
      </c>
      <c r="N471" t="str">
        <f t="shared" si="219"/>
        <v>Rohan Mehta</v>
      </c>
      <c r="O471" t="s">
        <v>114</v>
      </c>
      <c r="P471" t="str">
        <f t="shared" si="243"/>
        <v>Home Office</v>
      </c>
      <c r="Q471" t="s">
        <v>41</v>
      </c>
      <c r="R471" t="str">
        <f t="shared" si="242"/>
        <v>East</v>
      </c>
      <c r="S471" t="str">
        <f t="shared" si="229"/>
        <v>OK</v>
      </c>
      <c r="T471" t="s">
        <v>42</v>
      </c>
      <c r="U471" t="str">
        <f t="shared" si="220"/>
        <v>Odisha</v>
      </c>
      <c r="V471" t="s">
        <v>43</v>
      </c>
      <c r="W471" t="str">
        <f t="shared" si="221"/>
        <v>Bhubaneswar</v>
      </c>
      <c r="X471" t="str">
        <f t="shared" si="222"/>
        <v>Technology</v>
      </c>
      <c r="Y471" t="s">
        <v>85</v>
      </c>
      <c r="Z471" t="s">
        <v>222</v>
      </c>
      <c r="AA471" t="str">
        <f t="shared" si="223"/>
        <v>Phones</v>
      </c>
      <c r="AB471" t="s">
        <v>3848</v>
      </c>
      <c r="AC471" t="s">
        <v>66</v>
      </c>
      <c r="AD471" t="str">
        <f t="shared" si="241"/>
        <v>Standard Class</v>
      </c>
      <c r="AE471" t="str">
        <f t="shared" si="230"/>
        <v>OK</v>
      </c>
      <c r="AF471">
        <v>8</v>
      </c>
      <c r="AG471">
        <v>531.42999999999995</v>
      </c>
      <c r="AH471">
        <v>0.1</v>
      </c>
      <c r="AI471">
        <f t="shared" si="231"/>
        <v>0.1</v>
      </c>
      <c r="AJ471" t="str">
        <f t="shared" si="232"/>
        <v>OK</v>
      </c>
      <c r="AK471">
        <v>3826.3</v>
      </c>
      <c r="AL471">
        <v>2194.12</v>
      </c>
      <c r="AM471">
        <v>1632.18</v>
      </c>
      <c r="AN471" t="s">
        <v>33</v>
      </c>
      <c r="AO471" t="str">
        <f t="shared" si="224"/>
        <v>PAID</v>
      </c>
      <c r="AP471" t="str">
        <f t="shared" si="233"/>
        <v>OK</v>
      </c>
      <c r="AQ471" t="s">
        <v>34</v>
      </c>
      <c r="AR471" t="str">
        <f t="shared" si="225"/>
        <v>COMPLETED</v>
      </c>
      <c r="AS471" t="str">
        <f t="shared" si="234"/>
        <v>OK</v>
      </c>
      <c r="AT471">
        <f t="shared" si="235"/>
        <v>3826.2959999999998</v>
      </c>
      <c r="AU471">
        <f t="shared" si="236"/>
        <v>1632.1759999999999</v>
      </c>
      <c r="AV471" s="6">
        <f t="shared" si="237"/>
        <v>0.66317660735081663</v>
      </c>
      <c r="AW471" t="str">
        <f t="shared" si="238"/>
        <v>CLEAN</v>
      </c>
      <c r="AX471" s="10" t="str">
        <f t="shared" si="239"/>
        <v>MATCH</v>
      </c>
      <c r="AY471" t="str">
        <f t="shared" si="240"/>
        <v>MATCH</v>
      </c>
    </row>
    <row r="472" spans="1:51">
      <c r="A472" t="s">
        <v>3857</v>
      </c>
      <c r="B472">
        <f t="shared" si="216"/>
        <v>1</v>
      </c>
      <c r="C472" t="s">
        <v>3858</v>
      </c>
      <c r="D472" s="3">
        <v>45382</v>
      </c>
      <c r="E472" t="str">
        <f t="shared" si="217"/>
        <v>2024/03/31</v>
      </c>
      <c r="F472" t="str">
        <f t="shared" si="226"/>
        <v>March</v>
      </c>
      <c r="G472">
        <f t="shared" si="227"/>
        <v>2024</v>
      </c>
      <c r="H472" t="s">
        <v>3859</v>
      </c>
      <c r="I472" s="4">
        <v>45381</v>
      </c>
      <c r="J472" s="8">
        <f t="shared" si="218"/>
        <v>-1</v>
      </c>
      <c r="K472" s="8" t="str">
        <f t="shared" si="228"/>
        <v>INVAILD_SHIPPING</v>
      </c>
      <c r="L472" t="s">
        <v>3860</v>
      </c>
      <c r="M472" t="s">
        <v>3861</v>
      </c>
      <c r="N472" t="str">
        <f t="shared" si="219"/>
        <v>Kabir Singh</v>
      </c>
      <c r="O472" t="s">
        <v>25</v>
      </c>
      <c r="P472" t="str">
        <f t="shared" si="243"/>
        <v>Consumer</v>
      </c>
      <c r="Q472" t="s">
        <v>26</v>
      </c>
      <c r="R472" t="str">
        <f t="shared" si="242"/>
        <v>North</v>
      </c>
      <c r="S472" t="str">
        <f t="shared" si="229"/>
        <v>OK</v>
      </c>
      <c r="T472" t="s">
        <v>322</v>
      </c>
      <c r="U472" t="str">
        <f t="shared" si="220"/>
        <v>Haryana</v>
      </c>
      <c r="V472" t="s">
        <v>323</v>
      </c>
      <c r="W472" t="str">
        <f t="shared" si="221"/>
        <v>Gurugram</v>
      </c>
      <c r="X472" t="str">
        <f t="shared" si="222"/>
        <v>Technology</v>
      </c>
      <c r="Y472" t="s">
        <v>85</v>
      </c>
      <c r="Z472" t="s">
        <v>381</v>
      </c>
      <c r="AA472" t="str">
        <f t="shared" si="223"/>
        <v>Machines</v>
      </c>
      <c r="AB472" t="s">
        <v>3862</v>
      </c>
      <c r="AC472" t="s">
        <v>55</v>
      </c>
      <c r="AD472" t="str">
        <f t="shared" si="241"/>
        <v>First Class</v>
      </c>
      <c r="AE472" t="str">
        <f t="shared" si="230"/>
        <v>OK</v>
      </c>
      <c r="AF472">
        <v>4</v>
      </c>
      <c r="AG472">
        <v>2192.08</v>
      </c>
      <c r="AH472">
        <v>0.15</v>
      </c>
      <c r="AI472">
        <f t="shared" si="231"/>
        <v>0.15</v>
      </c>
      <c r="AJ472" t="str">
        <f t="shared" si="232"/>
        <v>OK</v>
      </c>
      <c r="AK472">
        <v>7453.07</v>
      </c>
      <c r="AL472">
        <v>5133.78</v>
      </c>
      <c r="AM472">
        <v>2319.29</v>
      </c>
      <c r="AN472" t="s">
        <v>33</v>
      </c>
      <c r="AO472" t="str">
        <f t="shared" si="224"/>
        <v>PAID</v>
      </c>
      <c r="AP472" t="str">
        <f t="shared" si="233"/>
        <v>OK</v>
      </c>
      <c r="AQ472" t="s">
        <v>124</v>
      </c>
      <c r="AR472" t="str">
        <f t="shared" si="225"/>
        <v>RETURNED</v>
      </c>
      <c r="AS472" t="str">
        <f t="shared" si="234"/>
        <v>RETURNED_ORDER</v>
      </c>
      <c r="AT472">
        <f t="shared" si="235"/>
        <v>7453.0719999999992</v>
      </c>
      <c r="AU472">
        <f t="shared" si="236"/>
        <v>2319.2919999999995</v>
      </c>
      <c r="AV472" s="6">
        <f t="shared" si="237"/>
        <v>1.0147322473203</v>
      </c>
      <c r="AW472" t="str">
        <f t="shared" si="238"/>
        <v>CLEAN</v>
      </c>
      <c r="AX472" s="10" t="str">
        <f t="shared" si="239"/>
        <v>MATCH</v>
      </c>
      <c r="AY472" t="str">
        <f t="shared" si="240"/>
        <v>MATCH</v>
      </c>
    </row>
    <row r="473" spans="1:51">
      <c r="A473" t="s">
        <v>3872</v>
      </c>
      <c r="B473">
        <f t="shared" si="216"/>
        <v>1</v>
      </c>
      <c r="C473" t="s">
        <v>2771</v>
      </c>
      <c r="D473" s="3">
        <v>45345</v>
      </c>
      <c r="E473" t="str">
        <f t="shared" si="217"/>
        <v>2024/02/23</v>
      </c>
      <c r="F473" t="str">
        <f t="shared" si="226"/>
        <v>February</v>
      </c>
      <c r="G473">
        <f t="shared" si="227"/>
        <v>2024</v>
      </c>
      <c r="H473" t="s">
        <v>3873</v>
      </c>
      <c r="I473" s="4">
        <v>45349</v>
      </c>
      <c r="J473" s="8">
        <f t="shared" si="218"/>
        <v>4</v>
      </c>
      <c r="K473" s="8" t="str">
        <f t="shared" si="228"/>
        <v>OK</v>
      </c>
      <c r="L473" t="s">
        <v>892</v>
      </c>
      <c r="M473" t="s">
        <v>24</v>
      </c>
      <c r="N473" t="str">
        <f t="shared" si="219"/>
        <v>Karan Malhotra</v>
      </c>
      <c r="O473" t="s">
        <v>25</v>
      </c>
      <c r="P473" t="str">
        <f t="shared" si="243"/>
        <v>Consumer</v>
      </c>
      <c r="Q473" t="s">
        <v>41</v>
      </c>
      <c r="R473" t="str">
        <f t="shared" si="242"/>
        <v>East</v>
      </c>
      <c r="S473" t="str">
        <f t="shared" si="229"/>
        <v>OK</v>
      </c>
      <c r="T473" t="s">
        <v>42</v>
      </c>
      <c r="U473" t="str">
        <f t="shared" si="220"/>
        <v>Odisha</v>
      </c>
      <c r="V473" t="s">
        <v>43</v>
      </c>
      <c r="W473" t="str">
        <f t="shared" si="221"/>
        <v>Bhubaneswar</v>
      </c>
      <c r="X473" t="str">
        <f t="shared" si="222"/>
        <v>Furniture</v>
      </c>
      <c r="Y473" t="s">
        <v>44</v>
      </c>
      <c r="Z473" t="s">
        <v>45</v>
      </c>
      <c r="AA473" t="str">
        <f t="shared" si="223"/>
        <v>Tables</v>
      </c>
      <c r="AB473" t="s">
        <v>3874</v>
      </c>
      <c r="AC473" t="s">
        <v>55</v>
      </c>
      <c r="AD473" t="str">
        <f t="shared" si="241"/>
        <v>First Class</v>
      </c>
      <c r="AE473" t="str">
        <f t="shared" si="230"/>
        <v>OK</v>
      </c>
      <c r="AF473">
        <v>9</v>
      </c>
      <c r="AG473">
        <v>3616.23</v>
      </c>
      <c r="AH473">
        <v>0.25</v>
      </c>
      <c r="AI473">
        <f t="shared" si="231"/>
        <v>0.25</v>
      </c>
      <c r="AJ473" t="str">
        <f t="shared" si="232"/>
        <v>OK</v>
      </c>
      <c r="AK473">
        <v>24409.55</v>
      </c>
      <c r="AL473">
        <v>17157.580000000002</v>
      </c>
      <c r="AM473">
        <v>7251.97</v>
      </c>
      <c r="AN473" t="s">
        <v>136</v>
      </c>
      <c r="AO473" t="str">
        <f t="shared" si="224"/>
        <v>PENDING</v>
      </c>
      <c r="AP473" t="str">
        <f t="shared" si="233"/>
        <v>OK</v>
      </c>
      <c r="AQ473" t="s">
        <v>124</v>
      </c>
      <c r="AR473" t="str">
        <f t="shared" si="225"/>
        <v>RETURNED</v>
      </c>
      <c r="AS473" t="str">
        <f t="shared" si="234"/>
        <v>RETURNED_ORDER</v>
      </c>
      <c r="AT473">
        <f t="shared" si="235"/>
        <v>24409.552499999998</v>
      </c>
      <c r="AU473">
        <f t="shared" si="236"/>
        <v>7251.9724999999962</v>
      </c>
      <c r="AV473" s="6">
        <f t="shared" si="237"/>
        <v>1.9149060598304696E-2</v>
      </c>
      <c r="AW473" t="str">
        <f t="shared" si="238"/>
        <v>CLEAN</v>
      </c>
      <c r="AX473" s="10" t="str">
        <f t="shared" si="239"/>
        <v>MATCH</v>
      </c>
      <c r="AY473" t="str">
        <f t="shared" si="240"/>
        <v>MATCH</v>
      </c>
    </row>
    <row r="474" spans="1:51">
      <c r="A474" t="s">
        <v>3875</v>
      </c>
      <c r="B474">
        <f t="shared" si="216"/>
        <v>1</v>
      </c>
      <c r="C474" t="s">
        <v>3876</v>
      </c>
      <c r="D474" s="3">
        <v>45396</v>
      </c>
      <c r="E474" t="str">
        <f t="shared" si="217"/>
        <v>2024/04/14</v>
      </c>
      <c r="F474" t="str">
        <f t="shared" si="226"/>
        <v>April</v>
      </c>
      <c r="G474">
        <f t="shared" si="227"/>
        <v>2024</v>
      </c>
      <c r="H474" t="s">
        <v>3877</v>
      </c>
      <c r="I474" s="4">
        <v>45404</v>
      </c>
      <c r="J474" s="8">
        <f t="shared" si="218"/>
        <v>8</v>
      </c>
      <c r="K474" s="8" t="str">
        <f t="shared" si="228"/>
        <v>OK</v>
      </c>
      <c r="L474" t="s">
        <v>3878</v>
      </c>
      <c r="M474" t="s">
        <v>141</v>
      </c>
      <c r="N474" t="str">
        <f t="shared" si="219"/>
        <v>Priya Menon</v>
      </c>
      <c r="O474" t="s">
        <v>40</v>
      </c>
      <c r="P474" t="str">
        <f t="shared" si="243"/>
        <v>Small Business</v>
      </c>
      <c r="Q474" t="s">
        <v>72</v>
      </c>
      <c r="R474" t="str">
        <f t="shared" si="242"/>
        <v>West</v>
      </c>
      <c r="S474" t="str">
        <f t="shared" si="229"/>
        <v>OK</v>
      </c>
      <c r="T474" t="s">
        <v>234</v>
      </c>
      <c r="U474" t="str">
        <f t="shared" si="220"/>
        <v>Gujarat</v>
      </c>
      <c r="V474" t="s">
        <v>235</v>
      </c>
      <c r="W474" t="str">
        <f t="shared" si="221"/>
        <v>Ahmedabad</v>
      </c>
      <c r="X474" t="str">
        <f t="shared" si="222"/>
        <v>Furniture</v>
      </c>
      <c r="Y474" t="s">
        <v>44</v>
      </c>
      <c r="Z474" t="s">
        <v>203</v>
      </c>
      <c r="AA474" t="str">
        <f t="shared" si="223"/>
        <v>Bookcases</v>
      </c>
      <c r="AB474" t="s">
        <v>3879</v>
      </c>
      <c r="AC474" t="s">
        <v>66</v>
      </c>
      <c r="AD474" t="str">
        <f t="shared" si="241"/>
        <v>Standard Class</v>
      </c>
      <c r="AE474" t="str">
        <f t="shared" si="230"/>
        <v>OK</v>
      </c>
      <c r="AF474">
        <v>2</v>
      </c>
      <c r="AG474">
        <v>3977.52</v>
      </c>
      <c r="AH474">
        <v>0</v>
      </c>
      <c r="AI474">
        <f t="shared" si="231"/>
        <v>0</v>
      </c>
      <c r="AJ474" t="str">
        <f t="shared" si="232"/>
        <v>OK</v>
      </c>
      <c r="AK474">
        <v>7955.04</v>
      </c>
      <c r="AL474">
        <v>5580.68</v>
      </c>
      <c r="AM474">
        <v>2374.36</v>
      </c>
      <c r="AN474" t="s">
        <v>136</v>
      </c>
      <c r="AO474" t="str">
        <f t="shared" si="224"/>
        <v>PENDING</v>
      </c>
      <c r="AP474" t="str">
        <f t="shared" si="233"/>
        <v>OK</v>
      </c>
      <c r="AQ474" t="s">
        <v>124</v>
      </c>
      <c r="AR474" t="str">
        <f t="shared" si="225"/>
        <v>RETURNED</v>
      </c>
      <c r="AS474" t="str">
        <f t="shared" si="234"/>
        <v>RETURNED_ORDER</v>
      </c>
      <c r="AT474">
        <f t="shared" si="235"/>
        <v>7955.04</v>
      </c>
      <c r="AU474">
        <f t="shared" si="236"/>
        <v>2374.3599999999997</v>
      </c>
      <c r="AV474" s="6">
        <f t="shared" si="237"/>
        <v>0.82290472455198216</v>
      </c>
      <c r="AW474" t="str">
        <f t="shared" si="238"/>
        <v>CLEAN</v>
      </c>
      <c r="AX474" s="10" t="str">
        <f t="shared" si="239"/>
        <v>MATCH</v>
      </c>
      <c r="AY474" t="str">
        <f t="shared" si="240"/>
        <v>MATCH</v>
      </c>
    </row>
    <row r="475" spans="1:51">
      <c r="A475" t="s">
        <v>3889</v>
      </c>
      <c r="B475">
        <f t="shared" si="216"/>
        <v>2</v>
      </c>
      <c r="C475" t="s">
        <v>3890</v>
      </c>
      <c r="D475" s="3">
        <v>45446</v>
      </c>
      <c r="E475" t="str">
        <f t="shared" si="217"/>
        <v>2024/06/03</v>
      </c>
      <c r="F475" t="str">
        <f t="shared" si="226"/>
        <v>June</v>
      </c>
      <c r="G475">
        <f t="shared" si="227"/>
        <v>2024</v>
      </c>
      <c r="H475" t="s">
        <v>1070</v>
      </c>
      <c r="I475" s="4">
        <v>45629</v>
      </c>
      <c r="J475" s="8">
        <f t="shared" si="218"/>
        <v>183</v>
      </c>
      <c r="K475" s="8" t="str">
        <f t="shared" si="228"/>
        <v>OK</v>
      </c>
      <c r="L475" t="s">
        <v>3891</v>
      </c>
      <c r="M475" t="s">
        <v>52</v>
      </c>
      <c r="N475" t="str">
        <f t="shared" si="219"/>
        <v>Isha Nair</v>
      </c>
      <c r="O475" t="s">
        <v>114</v>
      </c>
      <c r="P475" t="str">
        <f t="shared" si="243"/>
        <v>Home Office</v>
      </c>
      <c r="Q475" t="s">
        <v>72</v>
      </c>
      <c r="R475" t="str">
        <f t="shared" si="242"/>
        <v>West</v>
      </c>
      <c r="S475" t="str">
        <f t="shared" si="229"/>
        <v>OK</v>
      </c>
      <c r="T475" t="s">
        <v>234</v>
      </c>
      <c r="U475" t="str">
        <f t="shared" si="220"/>
        <v>Gujarat</v>
      </c>
      <c r="V475" t="s">
        <v>235</v>
      </c>
      <c r="W475" t="str">
        <f t="shared" si="221"/>
        <v>Ahmedabad</v>
      </c>
      <c r="X475" t="str">
        <f t="shared" si="222"/>
        <v>Furniture</v>
      </c>
      <c r="Y475" t="s">
        <v>44</v>
      </c>
      <c r="Z475" t="s">
        <v>203</v>
      </c>
      <c r="AA475" t="str">
        <f t="shared" si="223"/>
        <v>Bookcases</v>
      </c>
      <c r="AB475" t="s">
        <v>3892</v>
      </c>
      <c r="AC475" t="s">
        <v>66</v>
      </c>
      <c r="AD475" t="str">
        <f t="shared" si="241"/>
        <v>Standard Class</v>
      </c>
      <c r="AE475" t="str">
        <f t="shared" si="230"/>
        <v>OK</v>
      </c>
      <c r="AF475">
        <v>3</v>
      </c>
      <c r="AG475">
        <v>679.63</v>
      </c>
      <c r="AH475">
        <v>0.2</v>
      </c>
      <c r="AI475">
        <f t="shared" si="231"/>
        <v>0.2</v>
      </c>
      <c r="AJ475" t="str">
        <f t="shared" si="232"/>
        <v>OK</v>
      </c>
      <c r="AK475">
        <v>1631.11</v>
      </c>
      <c r="AL475">
        <v>898.73</v>
      </c>
      <c r="AM475">
        <v>396.58</v>
      </c>
      <c r="AN475" t="s">
        <v>33</v>
      </c>
      <c r="AO475" t="str">
        <f t="shared" si="224"/>
        <v>PAID</v>
      </c>
      <c r="AP475" t="str">
        <f t="shared" si="233"/>
        <v>OK</v>
      </c>
      <c r="AQ475" t="s">
        <v>34</v>
      </c>
      <c r="AR475" t="str">
        <f t="shared" si="225"/>
        <v>COMPLETED</v>
      </c>
      <c r="AS475" t="str">
        <f t="shared" si="234"/>
        <v>OK</v>
      </c>
      <c r="AT475">
        <f t="shared" si="235"/>
        <v>1631.1120000000001</v>
      </c>
      <c r="AU475">
        <f t="shared" si="236"/>
        <v>732.38200000000006</v>
      </c>
      <c r="AV475" s="6">
        <f t="shared" si="237"/>
        <v>1.4222003148772127</v>
      </c>
      <c r="AW475" t="str">
        <f t="shared" si="238"/>
        <v>CLEAN</v>
      </c>
      <c r="AX475" s="10" t="str">
        <f t="shared" si="239"/>
        <v>MATCH</v>
      </c>
      <c r="AY475" t="str">
        <f t="shared" si="240"/>
        <v>MISMATCH</v>
      </c>
    </row>
    <row r="476" spans="1:51">
      <c r="A476" t="s">
        <v>3889</v>
      </c>
      <c r="B476">
        <f t="shared" si="216"/>
        <v>2</v>
      </c>
      <c r="C476" t="s">
        <v>3890</v>
      </c>
      <c r="D476" s="3">
        <v>45446</v>
      </c>
      <c r="E476" t="str">
        <f t="shared" si="217"/>
        <v>2024/06/03</v>
      </c>
      <c r="F476" t="str">
        <f t="shared" si="226"/>
        <v>June</v>
      </c>
      <c r="G476">
        <f t="shared" si="227"/>
        <v>2024</v>
      </c>
      <c r="H476" t="s">
        <v>1070</v>
      </c>
      <c r="I476" s="4">
        <v>45629</v>
      </c>
      <c r="J476" s="8">
        <f t="shared" si="218"/>
        <v>183</v>
      </c>
      <c r="K476" s="8" t="str">
        <f t="shared" si="228"/>
        <v>OK</v>
      </c>
      <c r="L476" t="s">
        <v>3891</v>
      </c>
      <c r="M476" t="s">
        <v>52</v>
      </c>
      <c r="N476" t="str">
        <f t="shared" si="219"/>
        <v>Isha Nair</v>
      </c>
      <c r="O476" t="s">
        <v>114</v>
      </c>
      <c r="P476" t="str">
        <f t="shared" si="243"/>
        <v>Home Office</v>
      </c>
      <c r="Q476" t="s">
        <v>72</v>
      </c>
      <c r="R476" t="str">
        <f t="shared" si="242"/>
        <v>West</v>
      </c>
      <c r="S476" t="str">
        <f t="shared" si="229"/>
        <v>OK</v>
      </c>
      <c r="T476" t="s">
        <v>234</v>
      </c>
      <c r="U476" t="str">
        <f t="shared" si="220"/>
        <v>Gujarat</v>
      </c>
      <c r="V476" t="s">
        <v>235</v>
      </c>
      <c r="W476" t="str">
        <f t="shared" si="221"/>
        <v>Ahmedabad</v>
      </c>
      <c r="X476" t="str">
        <f t="shared" si="222"/>
        <v>Furniture</v>
      </c>
      <c r="Y476" t="s">
        <v>44</v>
      </c>
      <c r="Z476" t="s">
        <v>203</v>
      </c>
      <c r="AA476" t="str">
        <f t="shared" si="223"/>
        <v>Bookcases</v>
      </c>
      <c r="AB476" t="s">
        <v>3892</v>
      </c>
      <c r="AC476" t="s">
        <v>66</v>
      </c>
      <c r="AD476" t="str">
        <f t="shared" si="241"/>
        <v>Standard Class</v>
      </c>
      <c r="AE476" t="str">
        <f t="shared" si="230"/>
        <v>OK</v>
      </c>
      <c r="AF476">
        <v>3</v>
      </c>
      <c r="AG476">
        <v>679.63</v>
      </c>
      <c r="AH476">
        <v>0.2</v>
      </c>
      <c r="AI476">
        <f t="shared" si="231"/>
        <v>0.2</v>
      </c>
      <c r="AJ476" t="str">
        <f t="shared" si="232"/>
        <v>OK</v>
      </c>
      <c r="AK476">
        <v>1631.11</v>
      </c>
      <c r="AL476">
        <v>898.73</v>
      </c>
      <c r="AM476">
        <v>396.58</v>
      </c>
      <c r="AN476" t="s">
        <v>33</v>
      </c>
      <c r="AO476" t="str">
        <f t="shared" si="224"/>
        <v>PAID</v>
      </c>
      <c r="AP476" t="str">
        <f t="shared" si="233"/>
        <v>OK</v>
      </c>
      <c r="AQ476" t="s">
        <v>34</v>
      </c>
      <c r="AR476" t="str">
        <f t="shared" si="225"/>
        <v>COMPLETED</v>
      </c>
      <c r="AS476" t="str">
        <f t="shared" si="234"/>
        <v>OK</v>
      </c>
      <c r="AT476">
        <f t="shared" si="235"/>
        <v>1631.1120000000001</v>
      </c>
      <c r="AU476">
        <f t="shared" si="236"/>
        <v>732.38200000000006</v>
      </c>
      <c r="AV476" s="6">
        <f t="shared" si="237"/>
        <v>2.7073217535031313</v>
      </c>
      <c r="AW476" t="str">
        <f t="shared" si="238"/>
        <v>CLEAN</v>
      </c>
      <c r="AX476" s="10" t="str">
        <f t="shared" si="239"/>
        <v>MATCH</v>
      </c>
      <c r="AY476" t="str">
        <f t="shared" si="240"/>
        <v>MISMATCH</v>
      </c>
    </row>
    <row r="477" spans="1:51">
      <c r="A477" t="s">
        <v>3893</v>
      </c>
      <c r="B477">
        <f t="shared" si="216"/>
        <v>1</v>
      </c>
      <c r="C477" t="s">
        <v>2103</v>
      </c>
      <c r="D477" s="3">
        <v>45473</v>
      </c>
      <c r="E477" t="str">
        <f t="shared" si="217"/>
        <v>2024/06/30</v>
      </c>
      <c r="F477" t="str">
        <f t="shared" si="226"/>
        <v>June</v>
      </c>
      <c r="G477">
        <f t="shared" si="227"/>
        <v>2024</v>
      </c>
      <c r="H477" t="s">
        <v>3770</v>
      </c>
      <c r="I477" s="4">
        <v>45476</v>
      </c>
      <c r="J477" s="8">
        <f t="shared" si="218"/>
        <v>3</v>
      </c>
      <c r="K477" s="8" t="str">
        <f t="shared" si="228"/>
        <v>OK</v>
      </c>
      <c r="L477" t="s">
        <v>3894</v>
      </c>
      <c r="M477" t="s">
        <v>141</v>
      </c>
      <c r="N477" t="str">
        <f t="shared" si="219"/>
        <v>Priya Menon</v>
      </c>
      <c r="O477" t="s">
        <v>114</v>
      </c>
      <c r="P477" t="str">
        <f t="shared" si="243"/>
        <v>Home Office</v>
      </c>
      <c r="Q477" t="s">
        <v>41</v>
      </c>
      <c r="R477" t="str">
        <f t="shared" si="242"/>
        <v>East</v>
      </c>
      <c r="S477" t="str">
        <f t="shared" si="229"/>
        <v>OK</v>
      </c>
      <c r="T477" t="s">
        <v>120</v>
      </c>
      <c r="U477" t="str">
        <f t="shared" si="220"/>
        <v>West Bengal</v>
      </c>
      <c r="V477" t="s">
        <v>121</v>
      </c>
      <c r="W477" t="str">
        <f t="shared" si="221"/>
        <v>Kolkata</v>
      </c>
      <c r="X477" t="str">
        <f t="shared" si="222"/>
        <v>Office Supplies</v>
      </c>
      <c r="Y477" t="s">
        <v>29</v>
      </c>
      <c r="Z477" t="s">
        <v>30</v>
      </c>
      <c r="AA477" t="str">
        <f t="shared" si="223"/>
        <v>Paper</v>
      </c>
      <c r="AB477" t="s">
        <v>3895</v>
      </c>
      <c r="AC477" t="s">
        <v>55</v>
      </c>
      <c r="AD477" t="str">
        <f t="shared" si="241"/>
        <v>First Class</v>
      </c>
      <c r="AE477" t="str">
        <f t="shared" si="230"/>
        <v>OK</v>
      </c>
      <c r="AF477">
        <v>6</v>
      </c>
      <c r="AG477">
        <v>1211.01</v>
      </c>
      <c r="AH477">
        <v>0</v>
      </c>
      <c r="AI477">
        <f t="shared" si="231"/>
        <v>0</v>
      </c>
      <c r="AJ477" t="str">
        <f t="shared" si="232"/>
        <v>OK</v>
      </c>
      <c r="AK477">
        <v>7266.06</v>
      </c>
      <c r="AL477">
        <v>6216.89</v>
      </c>
      <c r="AM477">
        <v>1049.17</v>
      </c>
      <c r="AN477" t="s">
        <v>33</v>
      </c>
      <c r="AO477" t="str">
        <f t="shared" si="224"/>
        <v>PAID</v>
      </c>
      <c r="AP477" t="str">
        <f t="shared" si="233"/>
        <v>OK</v>
      </c>
      <c r="AQ477" t="s">
        <v>34</v>
      </c>
      <c r="AR477" t="str">
        <f t="shared" si="225"/>
        <v>COMPLETED</v>
      </c>
      <c r="AS477" t="str">
        <f t="shared" si="234"/>
        <v>OK</v>
      </c>
      <c r="AT477">
        <f t="shared" si="235"/>
        <v>7266.0599999999995</v>
      </c>
      <c r="AU477">
        <f t="shared" si="236"/>
        <v>1049.1699999999992</v>
      </c>
      <c r="AV477" s="6">
        <f t="shared" si="237"/>
        <v>3.8745413607925078E-2</v>
      </c>
      <c r="AW477" t="str">
        <f t="shared" si="238"/>
        <v>CLEAN</v>
      </c>
      <c r="AX477" s="10" t="str">
        <f t="shared" si="239"/>
        <v>MATCH</v>
      </c>
      <c r="AY477" t="str">
        <f t="shared" si="240"/>
        <v>MATCH</v>
      </c>
    </row>
    <row r="478" spans="1:51">
      <c r="A478" t="s">
        <v>3896</v>
      </c>
      <c r="B478">
        <f t="shared" si="216"/>
        <v>1</v>
      </c>
      <c r="C478" t="s">
        <v>805</v>
      </c>
      <c r="D478" s="3">
        <v>45377</v>
      </c>
      <c r="E478" t="str">
        <f t="shared" si="217"/>
        <v>2024/03/26</v>
      </c>
      <c r="F478" t="str">
        <f t="shared" si="226"/>
        <v>March</v>
      </c>
      <c r="G478">
        <f t="shared" si="227"/>
        <v>2024</v>
      </c>
      <c r="H478" t="s">
        <v>3153</v>
      </c>
      <c r="I478" s="4">
        <v>45383</v>
      </c>
      <c r="J478" s="8">
        <f t="shared" si="218"/>
        <v>6</v>
      </c>
      <c r="K478" s="8" t="str">
        <f t="shared" si="228"/>
        <v>OK</v>
      </c>
      <c r="L478" t="s">
        <v>3897</v>
      </c>
      <c r="M478" t="s">
        <v>24</v>
      </c>
      <c r="N478" t="str">
        <f t="shared" si="219"/>
        <v>Karan Malhotra</v>
      </c>
      <c r="O478" t="s">
        <v>40</v>
      </c>
      <c r="P478" t="str">
        <f t="shared" si="243"/>
        <v>Small Business</v>
      </c>
      <c r="Q478" t="s">
        <v>72</v>
      </c>
      <c r="R478" t="str">
        <f t="shared" si="242"/>
        <v>West</v>
      </c>
      <c r="S478" t="str">
        <f t="shared" si="229"/>
        <v>OK</v>
      </c>
      <c r="T478" t="s">
        <v>234</v>
      </c>
      <c r="U478" t="str">
        <f t="shared" si="220"/>
        <v>Gujarat</v>
      </c>
      <c r="V478" t="s">
        <v>235</v>
      </c>
      <c r="W478" t="str">
        <f t="shared" si="221"/>
        <v>Ahmedabad</v>
      </c>
      <c r="X478" t="str">
        <f t="shared" si="222"/>
        <v>Technology</v>
      </c>
      <c r="Y478" t="s">
        <v>85</v>
      </c>
      <c r="Z478" t="s">
        <v>86</v>
      </c>
      <c r="AA478" t="str">
        <f t="shared" si="223"/>
        <v>Accessories</v>
      </c>
      <c r="AB478" t="s">
        <v>3898</v>
      </c>
      <c r="AC478" t="s">
        <v>55</v>
      </c>
      <c r="AD478" t="str">
        <f t="shared" si="241"/>
        <v>First Class</v>
      </c>
      <c r="AE478" t="str">
        <f t="shared" si="230"/>
        <v>OK</v>
      </c>
      <c r="AF478">
        <v>2</v>
      </c>
      <c r="AG478">
        <v>1161.3</v>
      </c>
      <c r="AH478">
        <v>0.2</v>
      </c>
      <c r="AI478">
        <f t="shared" si="231"/>
        <v>0.2</v>
      </c>
      <c r="AJ478" t="str">
        <f t="shared" si="232"/>
        <v>OK</v>
      </c>
      <c r="AK478">
        <v>1858.08</v>
      </c>
      <c r="AL478">
        <v>1590.75</v>
      </c>
      <c r="AM478">
        <v>267.33</v>
      </c>
      <c r="AN478" t="s">
        <v>33</v>
      </c>
      <c r="AO478" t="str">
        <f t="shared" si="224"/>
        <v>PAID</v>
      </c>
      <c r="AP478" t="str">
        <f t="shared" si="233"/>
        <v>OK</v>
      </c>
      <c r="AQ478" t="s">
        <v>34</v>
      </c>
      <c r="AR478" t="str">
        <f t="shared" si="225"/>
        <v>COMPLETED</v>
      </c>
      <c r="AS478" t="str">
        <f t="shared" si="234"/>
        <v>OK</v>
      </c>
      <c r="AT478">
        <f t="shared" si="235"/>
        <v>1858.08</v>
      </c>
      <c r="AU478">
        <f t="shared" si="236"/>
        <v>267.32999999999993</v>
      </c>
      <c r="AV478" s="6">
        <f t="shared" si="237"/>
        <v>4.7427290536467765</v>
      </c>
      <c r="AW478" t="str">
        <f t="shared" si="238"/>
        <v>CLEAN</v>
      </c>
      <c r="AX478" s="10" t="str">
        <f t="shared" si="239"/>
        <v>MATCH</v>
      </c>
      <c r="AY478" t="str">
        <f t="shared" si="240"/>
        <v>MATCH</v>
      </c>
    </row>
    <row r="479" spans="1:51">
      <c r="A479" t="s">
        <v>3899</v>
      </c>
      <c r="B479">
        <f t="shared" si="216"/>
        <v>1</v>
      </c>
      <c r="C479" t="s">
        <v>3900</v>
      </c>
      <c r="D479" s="3">
        <v>45383</v>
      </c>
      <c r="E479" t="str">
        <f t="shared" si="217"/>
        <v>2024/04/01</v>
      </c>
      <c r="F479" t="str">
        <f t="shared" si="226"/>
        <v>April</v>
      </c>
      <c r="G479">
        <f t="shared" si="227"/>
        <v>2024</v>
      </c>
      <c r="H479" t="s">
        <v>3723</v>
      </c>
      <c r="I479" s="4">
        <v>45508</v>
      </c>
      <c r="J479" s="8">
        <f t="shared" si="218"/>
        <v>125</v>
      </c>
      <c r="K479" s="8" t="str">
        <f t="shared" si="228"/>
        <v>OK</v>
      </c>
      <c r="L479" t="s">
        <v>3901</v>
      </c>
      <c r="M479" t="s">
        <v>71</v>
      </c>
      <c r="N479" t="str">
        <f t="shared" si="219"/>
        <v>Ananya Rao</v>
      </c>
      <c r="O479" t="s">
        <v>25</v>
      </c>
      <c r="P479" t="str">
        <f t="shared" si="243"/>
        <v>Consumer</v>
      </c>
      <c r="Q479" t="s">
        <v>41</v>
      </c>
      <c r="R479" t="str">
        <f t="shared" si="242"/>
        <v>East</v>
      </c>
      <c r="S479" t="str">
        <f t="shared" si="229"/>
        <v>OK</v>
      </c>
      <c r="T479" t="s">
        <v>215</v>
      </c>
      <c r="U479" t="str">
        <f t="shared" si="220"/>
        <v>Assam</v>
      </c>
      <c r="V479" t="s">
        <v>216</v>
      </c>
      <c r="W479" t="str">
        <f t="shared" si="221"/>
        <v>Guwahati</v>
      </c>
      <c r="X479" t="str">
        <f t="shared" si="222"/>
        <v>Furniture</v>
      </c>
      <c r="Y479" t="s">
        <v>44</v>
      </c>
      <c r="Z479" t="s">
        <v>45</v>
      </c>
      <c r="AA479" t="str">
        <f t="shared" si="223"/>
        <v>Tables</v>
      </c>
      <c r="AB479" t="s">
        <v>3902</v>
      </c>
      <c r="AC479" t="s">
        <v>32</v>
      </c>
      <c r="AD479" t="str">
        <f t="shared" si="241"/>
        <v>Second Class</v>
      </c>
      <c r="AE479" t="str">
        <f t="shared" si="230"/>
        <v>OK</v>
      </c>
      <c r="AF479">
        <v>7</v>
      </c>
      <c r="AG479">
        <v>4205.3500000000004</v>
      </c>
      <c r="AH479">
        <v>0.15</v>
      </c>
      <c r="AI479">
        <f t="shared" si="231"/>
        <v>0.15</v>
      </c>
      <c r="AJ479" t="str">
        <f t="shared" si="232"/>
        <v>OK</v>
      </c>
      <c r="AK479">
        <v>25021.83</v>
      </c>
      <c r="AL479">
        <v>15544.44</v>
      </c>
      <c r="AM479">
        <v>9477.39</v>
      </c>
      <c r="AN479" t="s">
        <v>136</v>
      </c>
      <c r="AO479" t="str">
        <f t="shared" si="224"/>
        <v>PENDING</v>
      </c>
      <c r="AP479" t="str">
        <f t="shared" si="233"/>
        <v>OK</v>
      </c>
      <c r="AQ479" t="s">
        <v>77</v>
      </c>
      <c r="AR479" t="str">
        <f t="shared" si="225"/>
        <v>CANCELLED</v>
      </c>
      <c r="AS479" t="str">
        <f t="shared" si="234"/>
        <v>EXCLUDE_FROM_SALES</v>
      </c>
      <c r="AT479">
        <f t="shared" si="235"/>
        <v>25021.832500000004</v>
      </c>
      <c r="AU479">
        <f t="shared" si="236"/>
        <v>9477.3925000000036</v>
      </c>
      <c r="AV479" s="6">
        <f t="shared" si="237"/>
        <v>3.9010811858004382E-2</v>
      </c>
      <c r="AW479" t="str">
        <f t="shared" si="238"/>
        <v>CLEAN</v>
      </c>
      <c r="AX479" s="10" t="str">
        <f t="shared" si="239"/>
        <v>MATCH</v>
      </c>
      <c r="AY479" t="str">
        <f t="shared" si="240"/>
        <v>MATCH</v>
      </c>
    </row>
    <row r="480" spans="1:51">
      <c r="A480" t="s">
        <v>3912</v>
      </c>
      <c r="B480">
        <f t="shared" si="216"/>
        <v>1</v>
      </c>
      <c r="C480" t="s">
        <v>737</v>
      </c>
      <c r="D480" s="3">
        <v>45498</v>
      </c>
      <c r="E480" t="str">
        <f t="shared" si="217"/>
        <v>2024/07/25</v>
      </c>
      <c r="F480" t="str">
        <f t="shared" si="226"/>
        <v>July</v>
      </c>
      <c r="G480">
        <f t="shared" si="227"/>
        <v>2024</v>
      </c>
      <c r="H480" t="s">
        <v>3913</v>
      </c>
      <c r="I480" s="4">
        <v>45506</v>
      </c>
      <c r="J480" s="8">
        <f t="shared" si="218"/>
        <v>8</v>
      </c>
      <c r="K480" s="8" t="str">
        <f t="shared" si="228"/>
        <v>OK</v>
      </c>
      <c r="L480" t="s">
        <v>1715</v>
      </c>
      <c r="M480" t="s">
        <v>147</v>
      </c>
      <c r="N480" t="str">
        <f t="shared" si="219"/>
        <v>Rahul Verma</v>
      </c>
      <c r="O480" t="s">
        <v>25</v>
      </c>
      <c r="P480" t="str">
        <f t="shared" si="243"/>
        <v>Consumer</v>
      </c>
      <c r="Q480" t="s">
        <v>26</v>
      </c>
      <c r="R480" t="str">
        <f t="shared" si="242"/>
        <v>North</v>
      </c>
      <c r="S480" t="str">
        <f t="shared" si="229"/>
        <v>OK</v>
      </c>
      <c r="T480" t="s">
        <v>27</v>
      </c>
      <c r="U480" t="str">
        <f t="shared" si="220"/>
        <v>Rajasthan</v>
      </c>
      <c r="V480" t="s">
        <v>28</v>
      </c>
      <c r="W480" t="str">
        <f t="shared" si="221"/>
        <v>Jaipur</v>
      </c>
      <c r="X480" t="str">
        <f t="shared" si="222"/>
        <v>Office Supplies</v>
      </c>
      <c r="Y480" t="s">
        <v>29</v>
      </c>
      <c r="Z480" t="s">
        <v>3914</v>
      </c>
      <c r="AA480" t="str">
        <f t="shared" si="223"/>
        <v>Labels</v>
      </c>
      <c r="AB480" t="s">
        <v>3915</v>
      </c>
      <c r="AC480" t="s">
        <v>32</v>
      </c>
      <c r="AD480" t="str">
        <f t="shared" si="241"/>
        <v>Second Class</v>
      </c>
      <c r="AE480" t="str">
        <f t="shared" si="230"/>
        <v>OK</v>
      </c>
      <c r="AF480">
        <v>2</v>
      </c>
      <c r="AG480">
        <v>2073.5300000000002</v>
      </c>
      <c r="AH480">
        <v>0.25</v>
      </c>
      <c r="AI480">
        <f t="shared" si="231"/>
        <v>0.25</v>
      </c>
      <c r="AJ480" t="str">
        <f t="shared" si="232"/>
        <v>OK</v>
      </c>
      <c r="AK480">
        <v>3110.3</v>
      </c>
      <c r="AL480">
        <v>2101.0300000000002</v>
      </c>
      <c r="AM480">
        <v>1009.27</v>
      </c>
      <c r="AN480" t="s">
        <v>33</v>
      </c>
      <c r="AO480" t="str">
        <f t="shared" si="224"/>
        <v>PAID</v>
      </c>
      <c r="AP480" t="str">
        <f t="shared" si="233"/>
        <v>OK</v>
      </c>
      <c r="AQ480" t="s">
        <v>34</v>
      </c>
      <c r="AR480" t="str">
        <f t="shared" si="225"/>
        <v>COMPLETED</v>
      </c>
      <c r="AS480" t="str">
        <f t="shared" si="234"/>
        <v>OK</v>
      </c>
      <c r="AT480">
        <f t="shared" si="235"/>
        <v>3110.2950000000001</v>
      </c>
      <c r="AU480">
        <f t="shared" si="236"/>
        <v>1009.2649999999999</v>
      </c>
      <c r="AV480" s="6">
        <f t="shared" si="237"/>
        <v>0.21873118144741893</v>
      </c>
      <c r="AW480" t="str">
        <f t="shared" si="238"/>
        <v>CLEAN</v>
      </c>
      <c r="AX480" s="10" t="str">
        <f t="shared" si="239"/>
        <v>MATCH</v>
      </c>
      <c r="AY480" t="str">
        <f t="shared" si="240"/>
        <v>MATCH</v>
      </c>
    </row>
    <row r="481" spans="1:51">
      <c r="A481" t="s">
        <v>3916</v>
      </c>
      <c r="B481">
        <f t="shared" si="216"/>
        <v>1</v>
      </c>
      <c r="C481" t="s">
        <v>3917</v>
      </c>
      <c r="D481" s="3">
        <v>45632</v>
      </c>
      <c r="E481" t="str">
        <f t="shared" si="217"/>
        <v>2024/12/06</v>
      </c>
      <c r="F481" t="str">
        <f t="shared" si="226"/>
        <v>December</v>
      </c>
      <c r="G481">
        <f t="shared" si="227"/>
        <v>2024</v>
      </c>
      <c r="H481" t="s">
        <v>689</v>
      </c>
      <c r="I481" s="4">
        <v>45462</v>
      </c>
      <c r="J481" s="8">
        <f t="shared" si="218"/>
        <v>-170</v>
      </c>
      <c r="K481" s="8" t="str">
        <f t="shared" si="228"/>
        <v>INVAILD_SHIPPING</v>
      </c>
      <c r="L481" t="s">
        <v>1978</v>
      </c>
      <c r="M481" t="s">
        <v>179</v>
      </c>
      <c r="N481" t="str">
        <f t="shared" si="219"/>
        <v>Rohan Mehta</v>
      </c>
      <c r="O481" t="s">
        <v>114</v>
      </c>
      <c r="P481" t="str">
        <f t="shared" si="243"/>
        <v>Home Office</v>
      </c>
      <c r="Q481" t="s">
        <v>61</v>
      </c>
      <c r="R481" t="str">
        <f t="shared" si="242"/>
        <v>South</v>
      </c>
      <c r="S481" t="str">
        <f t="shared" si="229"/>
        <v>OK</v>
      </c>
      <c r="T481" t="s">
        <v>338</v>
      </c>
      <c r="U481" t="str">
        <f t="shared" si="220"/>
        <v>Tamil Nadu</v>
      </c>
      <c r="V481" t="s">
        <v>339</v>
      </c>
      <c r="W481" t="str">
        <f t="shared" si="221"/>
        <v>Chennai</v>
      </c>
      <c r="X481" t="str">
        <f t="shared" si="222"/>
        <v>Office Supplies</v>
      </c>
      <c r="Y481" t="s">
        <v>29</v>
      </c>
      <c r="Z481" t="s">
        <v>155</v>
      </c>
      <c r="AA481" t="str">
        <f t="shared" si="223"/>
        <v>Storage</v>
      </c>
      <c r="AB481" t="s">
        <v>3918</v>
      </c>
      <c r="AC481" t="s">
        <v>66</v>
      </c>
      <c r="AD481" t="str">
        <f t="shared" si="241"/>
        <v>Standard Class</v>
      </c>
      <c r="AE481" t="str">
        <f t="shared" si="230"/>
        <v>OK</v>
      </c>
      <c r="AF481">
        <v>4</v>
      </c>
      <c r="AG481">
        <v>395.1</v>
      </c>
      <c r="AH481">
        <v>-0.16</v>
      </c>
      <c r="AI481">
        <f t="shared" si="231"/>
        <v>-0.16</v>
      </c>
      <c r="AJ481" t="str">
        <f t="shared" si="232"/>
        <v>Invalid Negative Discount</v>
      </c>
      <c r="AK481">
        <v>1185.3</v>
      </c>
      <c r="AL481">
        <v>966.55</v>
      </c>
      <c r="AM481">
        <v>218.75</v>
      </c>
      <c r="AN481" t="s">
        <v>199</v>
      </c>
      <c r="AO481" t="str">
        <f t="shared" si="224"/>
        <v>FAILED</v>
      </c>
      <c r="AP481" t="str">
        <f t="shared" si="233"/>
        <v>EXCLUDE_FROM_SALES</v>
      </c>
      <c r="AQ481" t="s">
        <v>77</v>
      </c>
      <c r="AR481" t="str">
        <f t="shared" si="225"/>
        <v>CANCELLED</v>
      </c>
      <c r="AS481" t="str">
        <f t="shared" si="234"/>
        <v>EXCLUDE_FROM_SALES</v>
      </c>
      <c r="AT481" t="str">
        <f t="shared" si="235"/>
        <v>INVAILD</v>
      </c>
      <c r="AU481" t="str">
        <f t="shared" si="236"/>
        <v>INVAILD</v>
      </c>
      <c r="AW481" t="str">
        <f t="shared" si="238"/>
        <v>INVALID</v>
      </c>
      <c r="AX481" s="10" t="s">
        <v>4116</v>
      </c>
      <c r="AY481" t="s">
        <v>4116</v>
      </c>
    </row>
    <row r="482" spans="1:51">
      <c r="A482" t="s">
        <v>3919</v>
      </c>
      <c r="B482">
        <f t="shared" si="216"/>
        <v>1</v>
      </c>
      <c r="C482" t="s">
        <v>3920</v>
      </c>
      <c r="D482" s="2">
        <v>45388</v>
      </c>
      <c r="E482" t="str">
        <f t="shared" si="217"/>
        <v>2024/04/06</v>
      </c>
      <c r="F482" t="str">
        <f t="shared" si="226"/>
        <v>April</v>
      </c>
      <c r="G482">
        <f t="shared" si="227"/>
        <v>2024</v>
      </c>
      <c r="H482" t="s">
        <v>3921</v>
      </c>
      <c r="I482" s="4">
        <v>45388</v>
      </c>
      <c r="J482" s="8">
        <f t="shared" si="218"/>
        <v>0</v>
      </c>
      <c r="K482" s="8" t="str">
        <f t="shared" si="228"/>
        <v>OK</v>
      </c>
      <c r="L482" t="s">
        <v>3234</v>
      </c>
      <c r="M482" t="s">
        <v>167</v>
      </c>
      <c r="N482" t="str">
        <f t="shared" si="219"/>
        <v>Sneha Kapoor</v>
      </c>
      <c r="O482" t="s">
        <v>114</v>
      </c>
      <c r="P482" t="str">
        <f t="shared" si="243"/>
        <v>Home Office</v>
      </c>
      <c r="Q482" t="s">
        <v>61</v>
      </c>
      <c r="R482" t="str">
        <f t="shared" si="242"/>
        <v>South</v>
      </c>
      <c r="S482" t="str">
        <f t="shared" si="229"/>
        <v>OK</v>
      </c>
      <c r="T482" t="s">
        <v>241</v>
      </c>
      <c r="U482" t="str">
        <f t="shared" si="220"/>
        <v>Kerala</v>
      </c>
      <c r="V482" t="s">
        <v>242</v>
      </c>
      <c r="W482" t="str">
        <f t="shared" si="221"/>
        <v>Kochi</v>
      </c>
      <c r="X482" t="str">
        <f t="shared" si="222"/>
        <v>Office Supplies</v>
      </c>
      <c r="Y482" t="s">
        <v>29</v>
      </c>
      <c r="Z482" t="s">
        <v>155</v>
      </c>
      <c r="AA482" t="str">
        <f t="shared" si="223"/>
        <v>Storage</v>
      </c>
      <c r="AB482" t="s">
        <v>3922</v>
      </c>
      <c r="AC482" t="s">
        <v>55</v>
      </c>
      <c r="AD482" t="str">
        <f t="shared" si="241"/>
        <v>First Class</v>
      </c>
      <c r="AE482" t="str">
        <f t="shared" si="230"/>
        <v>OK</v>
      </c>
      <c r="AF482">
        <v>6</v>
      </c>
      <c r="AG482">
        <v>2708.97</v>
      </c>
      <c r="AH482">
        <v>0.25</v>
      </c>
      <c r="AI482">
        <f t="shared" si="231"/>
        <v>0.25</v>
      </c>
      <c r="AJ482" t="str">
        <f t="shared" si="232"/>
        <v>OK</v>
      </c>
      <c r="AK482">
        <v>12190.36</v>
      </c>
      <c r="AL482">
        <v>10176.99</v>
      </c>
      <c r="AM482">
        <v>2013.37</v>
      </c>
      <c r="AN482" t="s">
        <v>33</v>
      </c>
      <c r="AO482" t="str">
        <f t="shared" si="224"/>
        <v>PAID</v>
      </c>
      <c r="AP482" t="str">
        <f t="shared" si="233"/>
        <v>OK</v>
      </c>
      <c r="AQ482" t="s">
        <v>34</v>
      </c>
      <c r="AR482" t="str">
        <f t="shared" si="225"/>
        <v>COMPLETED</v>
      </c>
      <c r="AS482" t="str">
        <f t="shared" si="234"/>
        <v>OK</v>
      </c>
      <c r="AT482">
        <f t="shared" si="235"/>
        <v>12190.365</v>
      </c>
      <c r="AU482">
        <f t="shared" si="236"/>
        <v>2013.375</v>
      </c>
      <c r="AV482" s="6">
        <f t="shared" si="237"/>
        <v>0.25519744486731943</v>
      </c>
      <c r="AW482" t="str">
        <f t="shared" si="238"/>
        <v>CLEAN</v>
      </c>
      <c r="AX482" s="10" t="str">
        <f t="shared" si="239"/>
        <v>MISMATCH</v>
      </c>
      <c r="AY482" t="str">
        <f t="shared" si="240"/>
        <v>MISMATCH</v>
      </c>
    </row>
    <row r="483" spans="1:51">
      <c r="A483" t="s">
        <v>3923</v>
      </c>
      <c r="B483">
        <f t="shared" si="216"/>
        <v>1</v>
      </c>
      <c r="C483" t="s">
        <v>1224</v>
      </c>
      <c r="D483" s="3">
        <v>45327</v>
      </c>
      <c r="E483" t="str">
        <f t="shared" si="217"/>
        <v>2024/02/05</v>
      </c>
      <c r="F483" t="str">
        <f t="shared" si="226"/>
        <v>February</v>
      </c>
      <c r="G483">
        <f t="shared" si="227"/>
        <v>2024</v>
      </c>
      <c r="H483" t="s">
        <v>1293</v>
      </c>
      <c r="I483" s="4">
        <v>45421</v>
      </c>
      <c r="J483" s="8">
        <f t="shared" si="218"/>
        <v>94</v>
      </c>
      <c r="K483" s="8" t="str">
        <f t="shared" si="228"/>
        <v>OK</v>
      </c>
      <c r="L483" t="s">
        <v>3924</v>
      </c>
      <c r="M483" t="s">
        <v>60</v>
      </c>
      <c r="N483" t="str">
        <f t="shared" si="219"/>
        <v>Arjun Bose</v>
      </c>
      <c r="O483" t="s">
        <v>25</v>
      </c>
      <c r="P483" t="str">
        <f t="shared" si="243"/>
        <v>Consumer</v>
      </c>
      <c r="Q483" t="s">
        <v>41</v>
      </c>
      <c r="R483" t="str">
        <f t="shared" si="242"/>
        <v>East</v>
      </c>
      <c r="S483" t="str">
        <f t="shared" si="229"/>
        <v>OK</v>
      </c>
      <c r="T483" t="s">
        <v>42</v>
      </c>
      <c r="U483" t="str">
        <f t="shared" si="220"/>
        <v>Odisha</v>
      </c>
      <c r="V483" t="s">
        <v>43</v>
      </c>
      <c r="W483" t="str">
        <f t="shared" si="221"/>
        <v>Bhubaneswar</v>
      </c>
      <c r="X483" t="str">
        <f t="shared" si="222"/>
        <v>Technology</v>
      </c>
      <c r="Y483" t="s">
        <v>85</v>
      </c>
      <c r="Z483" t="s">
        <v>86</v>
      </c>
      <c r="AA483" t="str">
        <f t="shared" si="223"/>
        <v>Accessories</v>
      </c>
      <c r="AB483" t="s">
        <v>3925</v>
      </c>
      <c r="AC483" t="s">
        <v>32</v>
      </c>
      <c r="AD483" t="str">
        <f t="shared" si="241"/>
        <v>Second Class</v>
      </c>
      <c r="AE483" t="str">
        <f t="shared" si="230"/>
        <v>OK</v>
      </c>
      <c r="AF483">
        <v>4</v>
      </c>
      <c r="AG483">
        <v>2904.86</v>
      </c>
      <c r="AH483">
        <v>0</v>
      </c>
      <c r="AI483">
        <f t="shared" si="231"/>
        <v>0</v>
      </c>
      <c r="AJ483" t="str">
        <f t="shared" si="232"/>
        <v>OK</v>
      </c>
      <c r="AK483">
        <v>11619.44</v>
      </c>
      <c r="AL483">
        <v>7184.32</v>
      </c>
      <c r="AM483">
        <v>4494.6400000000003</v>
      </c>
      <c r="AN483" t="s">
        <v>33</v>
      </c>
      <c r="AO483" t="str">
        <f t="shared" si="224"/>
        <v>PAID</v>
      </c>
      <c r="AP483" t="str">
        <f t="shared" si="233"/>
        <v>OK</v>
      </c>
      <c r="AQ483" t="s">
        <v>34</v>
      </c>
      <c r="AR483" t="str">
        <f t="shared" si="225"/>
        <v>COMPLETED</v>
      </c>
      <c r="AS483" t="str">
        <f t="shared" si="234"/>
        <v>OK</v>
      </c>
      <c r="AT483">
        <f t="shared" si="235"/>
        <v>11619.44</v>
      </c>
      <c r="AU483">
        <f t="shared" si="236"/>
        <v>4435.1200000000008</v>
      </c>
      <c r="AV483" s="6">
        <f t="shared" si="237"/>
        <v>9.6416694780471268E-2</v>
      </c>
      <c r="AW483" t="str">
        <f t="shared" si="238"/>
        <v>CLEAN</v>
      </c>
      <c r="AX483" s="10" t="str">
        <f t="shared" si="239"/>
        <v>MATCH</v>
      </c>
      <c r="AY483" t="str">
        <f t="shared" si="240"/>
        <v>MISMATCH</v>
      </c>
    </row>
    <row r="484" spans="1:51">
      <c r="A484" t="s">
        <v>3926</v>
      </c>
      <c r="B484">
        <f t="shared" si="216"/>
        <v>1</v>
      </c>
      <c r="C484" t="s">
        <v>3504</v>
      </c>
      <c r="D484" s="3">
        <v>45592</v>
      </c>
      <c r="E484" t="str">
        <f t="shared" si="217"/>
        <v>2024/10/27</v>
      </c>
      <c r="F484" t="str">
        <f t="shared" si="226"/>
        <v>October</v>
      </c>
      <c r="G484">
        <f t="shared" si="227"/>
        <v>2024</v>
      </c>
      <c r="H484" t="s">
        <v>3927</v>
      </c>
      <c r="I484" s="4">
        <v>45597</v>
      </c>
      <c r="J484" s="8">
        <f t="shared" si="218"/>
        <v>5</v>
      </c>
      <c r="K484" s="8" t="str">
        <f t="shared" si="228"/>
        <v>OK</v>
      </c>
      <c r="L484" t="s">
        <v>3928</v>
      </c>
      <c r="M484" t="s">
        <v>106</v>
      </c>
      <c r="N484" t="str">
        <f t="shared" si="219"/>
        <v>Aditi Sen</v>
      </c>
      <c r="O484" t="s">
        <v>107</v>
      </c>
      <c r="P484" t="str">
        <f t="shared" si="243"/>
        <v>Corporate</v>
      </c>
      <c r="Q484" t="s">
        <v>61</v>
      </c>
      <c r="R484" t="str">
        <f t="shared" si="242"/>
        <v>South</v>
      </c>
      <c r="S484" t="str">
        <f t="shared" si="229"/>
        <v>OK</v>
      </c>
      <c r="T484" t="s">
        <v>338</v>
      </c>
      <c r="U484" t="str">
        <f t="shared" si="220"/>
        <v>Tamil Nadu</v>
      </c>
      <c r="V484" t="s">
        <v>339</v>
      </c>
      <c r="W484" t="str">
        <f t="shared" si="221"/>
        <v>Chennai</v>
      </c>
      <c r="X484" t="str">
        <f t="shared" si="222"/>
        <v>Technology</v>
      </c>
      <c r="Y484" t="s">
        <v>85</v>
      </c>
      <c r="Z484" t="s">
        <v>222</v>
      </c>
      <c r="AA484" t="str">
        <f t="shared" si="223"/>
        <v>Phones</v>
      </c>
      <c r="AB484" t="s">
        <v>3929</v>
      </c>
      <c r="AC484" t="s">
        <v>66</v>
      </c>
      <c r="AD484" t="str">
        <f t="shared" si="241"/>
        <v>Standard Class</v>
      </c>
      <c r="AE484" t="str">
        <f t="shared" si="230"/>
        <v>OK</v>
      </c>
      <c r="AF484">
        <v>6</v>
      </c>
      <c r="AG484">
        <v>4399.2</v>
      </c>
      <c r="AH484">
        <v>0.05</v>
      </c>
      <c r="AI484">
        <f t="shared" si="231"/>
        <v>0.05</v>
      </c>
      <c r="AJ484" t="str">
        <f t="shared" si="232"/>
        <v>OK</v>
      </c>
      <c r="AK484">
        <v>25075.439999999999</v>
      </c>
      <c r="AL484">
        <v>16282.74</v>
      </c>
      <c r="AM484">
        <v>8792.7000000000007</v>
      </c>
      <c r="AN484" t="s">
        <v>33</v>
      </c>
      <c r="AO484" t="str">
        <f t="shared" si="224"/>
        <v>PAID</v>
      </c>
      <c r="AP484" t="str">
        <f t="shared" si="233"/>
        <v>OK</v>
      </c>
      <c r="AQ484" t="s">
        <v>34</v>
      </c>
      <c r="AR484" t="str">
        <f t="shared" si="225"/>
        <v>COMPLETED</v>
      </c>
      <c r="AS484" t="str">
        <f t="shared" si="234"/>
        <v>OK</v>
      </c>
      <c r="AT484">
        <f t="shared" si="235"/>
        <v>25075.439999999995</v>
      </c>
      <c r="AU484">
        <f t="shared" si="236"/>
        <v>8792.6999999999953</v>
      </c>
      <c r="AV484" s="6">
        <f t="shared" si="237"/>
        <v>4.4677501172461949E-2</v>
      </c>
      <c r="AW484" t="str">
        <f t="shared" si="238"/>
        <v>CLEAN</v>
      </c>
      <c r="AX484" s="10" t="str">
        <f t="shared" si="239"/>
        <v>MATCH</v>
      </c>
      <c r="AY484" t="str">
        <f t="shared" si="240"/>
        <v>MATCH</v>
      </c>
    </row>
    <row r="485" spans="1:51">
      <c r="A485" t="s">
        <v>3930</v>
      </c>
      <c r="B485">
        <f t="shared" si="216"/>
        <v>1</v>
      </c>
      <c r="C485" t="s">
        <v>742</v>
      </c>
      <c r="D485" s="2">
        <v>45324</v>
      </c>
      <c r="E485" t="str">
        <f t="shared" si="217"/>
        <v>2024/02/02</v>
      </c>
      <c r="F485" t="str">
        <f t="shared" si="226"/>
        <v>February</v>
      </c>
      <c r="G485">
        <f t="shared" si="227"/>
        <v>2024</v>
      </c>
      <c r="H485" t="s">
        <v>3931</v>
      </c>
      <c r="I485" s="4">
        <v>45326</v>
      </c>
      <c r="J485" s="8">
        <f t="shared" si="218"/>
        <v>2</v>
      </c>
      <c r="K485" s="8" t="str">
        <f t="shared" si="228"/>
        <v>OK</v>
      </c>
      <c r="L485" t="s">
        <v>3932</v>
      </c>
      <c r="M485" t="s">
        <v>82</v>
      </c>
      <c r="N485" t="str">
        <f t="shared" si="219"/>
        <v>Vikram Iyer</v>
      </c>
      <c r="O485" t="s">
        <v>114</v>
      </c>
      <c r="P485" t="str">
        <f t="shared" si="243"/>
        <v>Home Office</v>
      </c>
      <c r="Q485" t="s">
        <v>26</v>
      </c>
      <c r="R485" t="str">
        <f t="shared" si="242"/>
        <v>North</v>
      </c>
      <c r="S485" t="str">
        <f t="shared" si="229"/>
        <v>OK</v>
      </c>
      <c r="T485" t="s">
        <v>173</v>
      </c>
      <c r="U485" t="str">
        <f t="shared" si="220"/>
        <v>Uttar Pradesh</v>
      </c>
      <c r="V485" t="s">
        <v>174</v>
      </c>
      <c r="W485" t="str">
        <f t="shared" si="221"/>
        <v>Noida</v>
      </c>
      <c r="X485" t="str">
        <f t="shared" si="222"/>
        <v>Office Supplies</v>
      </c>
      <c r="Y485" t="s">
        <v>29</v>
      </c>
      <c r="Z485" t="s">
        <v>155</v>
      </c>
      <c r="AA485" t="str">
        <f t="shared" si="223"/>
        <v>Storage</v>
      </c>
      <c r="AB485" t="s">
        <v>3933</v>
      </c>
      <c r="AC485" t="s">
        <v>32</v>
      </c>
      <c r="AD485" t="str">
        <f t="shared" si="241"/>
        <v>Second Class</v>
      </c>
      <c r="AE485" t="str">
        <f t="shared" si="230"/>
        <v>OK</v>
      </c>
      <c r="AF485">
        <v>1</v>
      </c>
      <c r="AG485">
        <v>4397.32</v>
      </c>
      <c r="AH485">
        <v>0.05</v>
      </c>
      <c r="AI485">
        <f t="shared" si="231"/>
        <v>0.05</v>
      </c>
      <c r="AJ485" t="str">
        <f t="shared" si="232"/>
        <v>OK</v>
      </c>
      <c r="AK485">
        <v>4177.45</v>
      </c>
      <c r="AL485">
        <v>2299.5</v>
      </c>
      <c r="AM485">
        <v>1877.95</v>
      </c>
      <c r="AN485" t="s">
        <v>33</v>
      </c>
      <c r="AO485" t="str">
        <f t="shared" si="224"/>
        <v>PAID</v>
      </c>
      <c r="AP485" t="str">
        <f t="shared" si="233"/>
        <v>OK</v>
      </c>
      <c r="AQ485" t="s">
        <v>34</v>
      </c>
      <c r="AR485" t="str">
        <f t="shared" si="225"/>
        <v>COMPLETED</v>
      </c>
      <c r="AS485" t="str">
        <f t="shared" si="234"/>
        <v>OK</v>
      </c>
      <c r="AT485">
        <f t="shared" si="235"/>
        <v>4177.4539999999997</v>
      </c>
      <c r="AU485">
        <f t="shared" si="236"/>
        <v>1877.9539999999997</v>
      </c>
      <c r="AV485" s="6">
        <f t="shared" si="237"/>
        <v>0.14925119462715813</v>
      </c>
      <c r="AW485" t="str">
        <f t="shared" si="238"/>
        <v>CLEAN</v>
      </c>
      <c r="AX485" s="10" t="str">
        <f t="shared" si="239"/>
        <v>MATCH</v>
      </c>
      <c r="AY485" t="str">
        <f t="shared" si="240"/>
        <v>MATCH</v>
      </c>
    </row>
    <row r="486" spans="1:51">
      <c r="A486" t="s">
        <v>3958</v>
      </c>
      <c r="B486">
        <f t="shared" si="216"/>
        <v>1</v>
      </c>
      <c r="C486" t="s">
        <v>3959</v>
      </c>
      <c r="D486" s="2">
        <v>45617</v>
      </c>
      <c r="E486" t="str">
        <f t="shared" si="217"/>
        <v>2024/11/21</v>
      </c>
      <c r="F486" t="str">
        <f t="shared" si="226"/>
        <v>November</v>
      </c>
      <c r="G486">
        <f t="shared" si="227"/>
        <v>2024</v>
      </c>
      <c r="H486" t="s">
        <v>3960</v>
      </c>
      <c r="I486" s="4">
        <v>45618</v>
      </c>
      <c r="J486" s="8">
        <f t="shared" si="218"/>
        <v>1</v>
      </c>
      <c r="K486" s="8" t="str">
        <f t="shared" si="228"/>
        <v>OK</v>
      </c>
      <c r="L486" t="s">
        <v>3961</v>
      </c>
      <c r="M486" t="s">
        <v>147</v>
      </c>
      <c r="N486" t="str">
        <f t="shared" si="219"/>
        <v>Rahul Verma</v>
      </c>
      <c r="O486" t="s">
        <v>114</v>
      </c>
      <c r="P486" t="str">
        <f t="shared" si="243"/>
        <v>Home Office</v>
      </c>
      <c r="Q486" t="s">
        <v>61</v>
      </c>
      <c r="R486" t="str">
        <f t="shared" si="242"/>
        <v>South</v>
      </c>
      <c r="S486" t="str">
        <f t="shared" si="229"/>
        <v>OK</v>
      </c>
      <c r="T486" t="s">
        <v>99</v>
      </c>
      <c r="U486" t="str">
        <f t="shared" si="220"/>
        <v>Andhra Pradesh</v>
      </c>
      <c r="V486" t="s">
        <v>100</v>
      </c>
      <c r="W486" t="str">
        <f t="shared" si="221"/>
        <v>Vijayawada</v>
      </c>
      <c r="X486" t="str">
        <f t="shared" si="222"/>
        <v>Technology</v>
      </c>
      <c r="Y486" t="s">
        <v>85</v>
      </c>
      <c r="Z486" t="s">
        <v>86</v>
      </c>
      <c r="AA486" t="str">
        <f t="shared" si="223"/>
        <v>Accessories</v>
      </c>
      <c r="AB486" t="s">
        <v>3962</v>
      </c>
      <c r="AC486" t="s">
        <v>47</v>
      </c>
      <c r="AD486" t="str">
        <f t="shared" ref="AD486:AD517" si="244">PROPER(TRIM(SUBSTITUTE(AC486,CHAR(160)," ")))</f>
        <v>Same Day</v>
      </c>
      <c r="AE486" t="str">
        <f t="shared" si="230"/>
        <v>OK</v>
      </c>
      <c r="AF486">
        <v>6</v>
      </c>
      <c r="AG486">
        <v>1043.49</v>
      </c>
      <c r="AH486">
        <v>0.25</v>
      </c>
      <c r="AI486">
        <f t="shared" si="231"/>
        <v>0.25</v>
      </c>
      <c r="AJ486" t="str">
        <f t="shared" si="232"/>
        <v>OK</v>
      </c>
      <c r="AK486">
        <v>4695.7</v>
      </c>
      <c r="AL486">
        <v>3871.69</v>
      </c>
      <c r="AM486">
        <v>824.01</v>
      </c>
      <c r="AN486" t="s">
        <v>199</v>
      </c>
      <c r="AO486" t="str">
        <f t="shared" si="224"/>
        <v>FAILED</v>
      </c>
      <c r="AP486" t="str">
        <f t="shared" si="233"/>
        <v>EXCLUDE_FROM_SALES</v>
      </c>
      <c r="AQ486" t="s">
        <v>77</v>
      </c>
      <c r="AR486" t="str">
        <f t="shared" si="225"/>
        <v>CANCELLED</v>
      </c>
      <c r="AS486" t="str">
        <f t="shared" si="234"/>
        <v>EXCLUDE_FROM_SALES</v>
      </c>
      <c r="AT486">
        <f t="shared" si="235"/>
        <v>4695.7049999999999</v>
      </c>
      <c r="AU486">
        <f t="shared" si="236"/>
        <v>824.01499999999987</v>
      </c>
      <c r="AV486" s="6">
        <f t="shared" si="237"/>
        <v>0.49715601810590743</v>
      </c>
      <c r="AW486" t="str">
        <f t="shared" si="238"/>
        <v>CLEAN</v>
      </c>
      <c r="AX486" s="10" t="str">
        <f t="shared" si="239"/>
        <v>MISMATCH</v>
      </c>
      <c r="AY486" t="str">
        <f t="shared" si="240"/>
        <v>MISMATCH</v>
      </c>
    </row>
    <row r="487" spans="1:51">
      <c r="A487" t="s">
        <v>3974</v>
      </c>
      <c r="B487">
        <f t="shared" si="216"/>
        <v>1</v>
      </c>
      <c r="C487" t="s">
        <v>3975</v>
      </c>
      <c r="D487" s="3">
        <v>45342</v>
      </c>
      <c r="E487" t="str">
        <f t="shared" si="217"/>
        <v>2024/02/20</v>
      </c>
      <c r="F487" t="str">
        <f t="shared" si="226"/>
        <v>February</v>
      </c>
      <c r="G487">
        <f t="shared" si="227"/>
        <v>2024</v>
      </c>
      <c r="H487" t="s">
        <v>2829</v>
      </c>
      <c r="I487" s="4">
        <v>45344</v>
      </c>
      <c r="J487" s="8">
        <f t="shared" si="218"/>
        <v>2</v>
      </c>
      <c r="K487" s="8" t="str">
        <f t="shared" si="228"/>
        <v>OK</v>
      </c>
      <c r="L487" t="s">
        <v>3794</v>
      </c>
      <c r="M487" t="s">
        <v>92</v>
      </c>
      <c r="N487" t="str">
        <f t="shared" si="219"/>
        <v>Neha Gupta</v>
      </c>
      <c r="O487" t="s">
        <v>40</v>
      </c>
      <c r="P487" t="str">
        <f t="shared" si="243"/>
        <v>Small Business</v>
      </c>
      <c r="Q487" t="s">
        <v>61</v>
      </c>
      <c r="R487" t="str">
        <f t="shared" si="242"/>
        <v>South</v>
      </c>
      <c r="S487" t="str">
        <f t="shared" si="229"/>
        <v>OK</v>
      </c>
      <c r="T487" t="s">
        <v>62</v>
      </c>
      <c r="U487" t="str">
        <f t="shared" si="220"/>
        <v>Telangana</v>
      </c>
      <c r="V487" t="s">
        <v>63</v>
      </c>
      <c r="W487" t="str">
        <f t="shared" si="221"/>
        <v>Hyderabad</v>
      </c>
      <c r="X487" t="str">
        <f t="shared" si="222"/>
        <v>Technology</v>
      </c>
      <c r="Y487" t="s">
        <v>85</v>
      </c>
      <c r="Z487" t="s">
        <v>86</v>
      </c>
      <c r="AA487" t="str">
        <f t="shared" si="223"/>
        <v>Accessories</v>
      </c>
      <c r="AB487" t="s">
        <v>3976</v>
      </c>
      <c r="AC487" t="s">
        <v>55</v>
      </c>
      <c r="AD487" t="str">
        <f t="shared" si="244"/>
        <v>First Class</v>
      </c>
      <c r="AE487" t="str">
        <f t="shared" si="230"/>
        <v>OK</v>
      </c>
      <c r="AF487">
        <v>9</v>
      </c>
      <c r="AG487">
        <v>2186.23</v>
      </c>
      <c r="AH487">
        <v>0</v>
      </c>
      <c r="AI487">
        <f t="shared" si="231"/>
        <v>0</v>
      </c>
      <c r="AJ487" t="str">
        <f t="shared" si="232"/>
        <v>OK</v>
      </c>
      <c r="AK487">
        <v>19676.07</v>
      </c>
      <c r="AL487">
        <v>12458.62</v>
      </c>
      <c r="AM487">
        <v>7217.45</v>
      </c>
      <c r="AN487" t="s">
        <v>123</v>
      </c>
      <c r="AO487" t="str">
        <f t="shared" si="224"/>
        <v>REFUNDED</v>
      </c>
      <c r="AP487" t="str">
        <f t="shared" si="233"/>
        <v>REFUNDED_PAYMENT</v>
      </c>
      <c r="AQ487" t="s">
        <v>77</v>
      </c>
      <c r="AR487" t="str">
        <f t="shared" si="225"/>
        <v>CANCELLED</v>
      </c>
      <c r="AS487" t="str">
        <f t="shared" si="234"/>
        <v>EXCLUDE_FROM_SALES</v>
      </c>
      <c r="AT487">
        <f t="shared" si="235"/>
        <v>19676.07</v>
      </c>
      <c r="AU487">
        <f t="shared" si="236"/>
        <v>7217.4499999999989</v>
      </c>
      <c r="AV487" s="6">
        <f t="shared" si="237"/>
        <v>0.20461380245140412</v>
      </c>
      <c r="AW487" t="str">
        <f t="shared" si="238"/>
        <v>CLEAN</v>
      </c>
      <c r="AX487" s="10" t="str">
        <f t="shared" si="239"/>
        <v>MATCH</v>
      </c>
      <c r="AY487" t="str">
        <f t="shared" si="240"/>
        <v>MATCH</v>
      </c>
    </row>
    <row r="488" spans="1:51">
      <c r="A488" t="s">
        <v>3977</v>
      </c>
      <c r="B488">
        <f t="shared" si="216"/>
        <v>1</v>
      </c>
      <c r="C488" t="s">
        <v>3505</v>
      </c>
      <c r="D488" s="3">
        <v>45302</v>
      </c>
      <c r="E488" t="str">
        <f t="shared" si="217"/>
        <v>2024/01/11</v>
      </c>
      <c r="F488" t="str">
        <f t="shared" si="226"/>
        <v>January</v>
      </c>
      <c r="G488">
        <f t="shared" si="227"/>
        <v>2024</v>
      </c>
      <c r="H488" t="s">
        <v>3978</v>
      </c>
      <c r="I488" s="4">
        <v>45598</v>
      </c>
      <c r="J488" s="8">
        <f t="shared" si="218"/>
        <v>296</v>
      </c>
      <c r="K488" s="8" t="str">
        <f t="shared" si="228"/>
        <v>OK</v>
      </c>
      <c r="L488" t="s">
        <v>2961</v>
      </c>
      <c r="M488" t="s">
        <v>24</v>
      </c>
      <c r="N488" t="str">
        <f t="shared" si="219"/>
        <v>Karan Malhotra</v>
      </c>
      <c r="O488" t="s">
        <v>107</v>
      </c>
      <c r="P488" t="str">
        <f t="shared" si="243"/>
        <v>Corporate</v>
      </c>
      <c r="Q488" t="s">
        <v>41</v>
      </c>
      <c r="R488" t="str">
        <f t="shared" si="242"/>
        <v>East</v>
      </c>
      <c r="S488" t="str">
        <f t="shared" si="229"/>
        <v>OK</v>
      </c>
      <c r="T488" t="s">
        <v>120</v>
      </c>
      <c r="U488" t="str">
        <f t="shared" si="220"/>
        <v>West Bengal</v>
      </c>
      <c r="V488" t="s">
        <v>121</v>
      </c>
      <c r="W488" t="str">
        <f t="shared" si="221"/>
        <v>Kolkata</v>
      </c>
      <c r="X488" t="str">
        <f t="shared" si="222"/>
        <v>Furniture</v>
      </c>
      <c r="Y488" t="s">
        <v>44</v>
      </c>
      <c r="Z488" t="s">
        <v>64</v>
      </c>
      <c r="AA488" t="str">
        <f t="shared" si="223"/>
        <v>Furnishings</v>
      </c>
      <c r="AB488" t="s">
        <v>3979</v>
      </c>
      <c r="AC488" t="s">
        <v>66</v>
      </c>
      <c r="AD488" t="str">
        <f t="shared" si="244"/>
        <v>Standard Class</v>
      </c>
      <c r="AE488" t="str">
        <f t="shared" si="230"/>
        <v>OK</v>
      </c>
      <c r="AF488">
        <v>5</v>
      </c>
      <c r="AG488">
        <v>2212.02</v>
      </c>
      <c r="AH488">
        <v>0.2</v>
      </c>
      <c r="AI488">
        <f t="shared" si="231"/>
        <v>0.2</v>
      </c>
      <c r="AJ488" t="str">
        <f t="shared" si="232"/>
        <v>OK</v>
      </c>
      <c r="AK488">
        <v>8848.08</v>
      </c>
      <c r="AL488">
        <v>5691.56</v>
      </c>
      <c r="AM488">
        <v>3156.52</v>
      </c>
      <c r="AN488" t="s">
        <v>33</v>
      </c>
      <c r="AO488" t="str">
        <f t="shared" si="224"/>
        <v>PAID</v>
      </c>
      <c r="AP488" t="str">
        <f t="shared" si="233"/>
        <v>OK</v>
      </c>
      <c r="AQ488" t="s">
        <v>34</v>
      </c>
      <c r="AR488" t="str">
        <f t="shared" si="225"/>
        <v>COMPLETED</v>
      </c>
      <c r="AS488" t="str">
        <f t="shared" si="234"/>
        <v>OK</v>
      </c>
      <c r="AT488">
        <f t="shared" si="235"/>
        <v>8848.08</v>
      </c>
      <c r="AU488">
        <f t="shared" si="236"/>
        <v>3156.5199999999995</v>
      </c>
      <c r="AV488" s="6">
        <f t="shared" si="237"/>
        <v>0.45876031862279654</v>
      </c>
      <c r="AW488" t="str">
        <f t="shared" si="238"/>
        <v>CLEAN</v>
      </c>
      <c r="AX488" s="10" t="str">
        <f t="shared" si="239"/>
        <v>MATCH</v>
      </c>
      <c r="AY488" t="str">
        <f t="shared" si="240"/>
        <v>MATCH</v>
      </c>
    </row>
    <row r="489" spans="1:51">
      <c r="A489" t="s">
        <v>3988</v>
      </c>
      <c r="B489">
        <f t="shared" si="216"/>
        <v>1</v>
      </c>
      <c r="C489" t="s">
        <v>3989</v>
      </c>
      <c r="D489" s="2">
        <v>45573</v>
      </c>
      <c r="E489" t="str">
        <f t="shared" si="217"/>
        <v>2024/10/08</v>
      </c>
      <c r="F489" t="str">
        <f t="shared" si="226"/>
        <v>October</v>
      </c>
      <c r="G489">
        <f t="shared" si="227"/>
        <v>2024</v>
      </c>
      <c r="H489" t="s">
        <v>3990</v>
      </c>
      <c r="I489" s="4">
        <v>45515</v>
      </c>
      <c r="J489" s="8">
        <f t="shared" si="218"/>
        <v>-58</v>
      </c>
      <c r="K489" s="8" t="str">
        <f t="shared" si="228"/>
        <v>INVAILD_SHIPPING</v>
      </c>
      <c r="L489" t="s">
        <v>3991</v>
      </c>
      <c r="M489" t="s">
        <v>39</v>
      </c>
      <c r="N489" t="str">
        <f t="shared" si="219"/>
        <v>Mira Das</v>
      </c>
      <c r="O489" t="s">
        <v>107</v>
      </c>
      <c r="P489" t="str">
        <f t="shared" si="243"/>
        <v>Corporate</v>
      </c>
      <c r="Q489" t="s">
        <v>72</v>
      </c>
      <c r="R489" t="str">
        <f t="shared" si="242"/>
        <v>West</v>
      </c>
      <c r="S489" t="str">
        <f t="shared" si="229"/>
        <v>OK</v>
      </c>
      <c r="T489" t="s">
        <v>73</v>
      </c>
      <c r="U489" t="str">
        <f t="shared" si="220"/>
        <v>Maharashtra</v>
      </c>
      <c r="V489" t="s">
        <v>74</v>
      </c>
      <c r="W489" t="str">
        <f t="shared" si="221"/>
        <v>Mumbai</v>
      </c>
      <c r="X489" t="str">
        <f t="shared" si="222"/>
        <v>Technology</v>
      </c>
      <c r="Y489" t="s">
        <v>85</v>
      </c>
      <c r="Z489" t="s">
        <v>93</v>
      </c>
      <c r="AA489" t="str">
        <f t="shared" si="223"/>
        <v>Copiers</v>
      </c>
      <c r="AB489" t="s">
        <v>3992</v>
      </c>
      <c r="AC489" t="s">
        <v>55</v>
      </c>
      <c r="AD489" t="str">
        <f t="shared" si="244"/>
        <v>First Class</v>
      </c>
      <c r="AE489" t="str">
        <f t="shared" si="230"/>
        <v>OK</v>
      </c>
      <c r="AF489">
        <v>7</v>
      </c>
      <c r="AG489">
        <v>3852.62</v>
      </c>
      <c r="AH489">
        <v>0.2</v>
      </c>
      <c r="AI489">
        <f t="shared" si="231"/>
        <v>0.2</v>
      </c>
      <c r="AJ489" t="str">
        <f t="shared" si="232"/>
        <v>OK</v>
      </c>
      <c r="AK489">
        <v>21574.67</v>
      </c>
      <c r="AL489">
        <v>14672.83</v>
      </c>
      <c r="AM489">
        <v>6901.84</v>
      </c>
      <c r="AN489" t="s">
        <v>33</v>
      </c>
      <c r="AO489" t="str">
        <f t="shared" si="224"/>
        <v>PAID</v>
      </c>
      <c r="AP489" t="str">
        <f t="shared" si="233"/>
        <v>OK</v>
      </c>
      <c r="AQ489" t="s">
        <v>34</v>
      </c>
      <c r="AR489" t="str">
        <f t="shared" si="225"/>
        <v>COMPLETED</v>
      </c>
      <c r="AS489" t="str">
        <f t="shared" si="234"/>
        <v>OK</v>
      </c>
      <c r="AT489">
        <f t="shared" si="235"/>
        <v>21574.672000000002</v>
      </c>
      <c r="AU489">
        <f t="shared" si="236"/>
        <v>6901.8420000000024</v>
      </c>
      <c r="AV489" s="6">
        <f t="shared" si="237"/>
        <v>6.3165734338858082E-2</v>
      </c>
      <c r="AW489" t="str">
        <f t="shared" si="238"/>
        <v>CLEAN</v>
      </c>
      <c r="AX489" s="10" t="str">
        <f t="shared" si="239"/>
        <v>MATCH</v>
      </c>
      <c r="AY489" t="str">
        <f t="shared" si="240"/>
        <v>MATCH</v>
      </c>
    </row>
    <row r="490" spans="1:51">
      <c r="A490" t="s">
        <v>3993</v>
      </c>
      <c r="B490">
        <f t="shared" si="216"/>
        <v>1</v>
      </c>
      <c r="C490" t="s">
        <v>3994</v>
      </c>
      <c r="D490" s="3">
        <v>45614</v>
      </c>
      <c r="E490" t="str">
        <f t="shared" si="217"/>
        <v>2024/11/18</v>
      </c>
      <c r="F490" t="str">
        <f t="shared" si="226"/>
        <v>November</v>
      </c>
      <c r="G490">
        <f t="shared" si="227"/>
        <v>2024</v>
      </c>
      <c r="H490" t="s">
        <v>3995</v>
      </c>
      <c r="I490" s="4">
        <v>45616</v>
      </c>
      <c r="J490" s="8">
        <f t="shared" si="218"/>
        <v>2</v>
      </c>
      <c r="K490" s="8" t="str">
        <f t="shared" si="228"/>
        <v>OK</v>
      </c>
      <c r="L490" t="s">
        <v>3996</v>
      </c>
      <c r="M490" t="s">
        <v>141</v>
      </c>
      <c r="N490" t="str">
        <f t="shared" si="219"/>
        <v>Priya Menon</v>
      </c>
      <c r="O490" t="s">
        <v>25</v>
      </c>
      <c r="P490" t="str">
        <f t="shared" si="243"/>
        <v>Consumer</v>
      </c>
      <c r="Q490" t="s">
        <v>72</v>
      </c>
      <c r="R490" t="str">
        <f t="shared" si="242"/>
        <v>West</v>
      </c>
      <c r="S490" t="str">
        <f t="shared" si="229"/>
        <v>OK</v>
      </c>
      <c r="T490" t="s">
        <v>27</v>
      </c>
      <c r="U490" t="str">
        <f t="shared" si="220"/>
        <v>Rajasthan</v>
      </c>
      <c r="V490" t="s">
        <v>134</v>
      </c>
      <c r="W490" t="str">
        <f t="shared" si="221"/>
        <v>Udaipur</v>
      </c>
      <c r="X490" t="str">
        <f t="shared" si="222"/>
        <v>Furniture</v>
      </c>
      <c r="Y490" t="s">
        <v>44</v>
      </c>
      <c r="Z490" t="s">
        <v>75</v>
      </c>
      <c r="AA490" t="str">
        <f t="shared" si="223"/>
        <v>Chairs</v>
      </c>
      <c r="AB490" t="s">
        <v>1290</v>
      </c>
      <c r="AC490" t="s">
        <v>55</v>
      </c>
      <c r="AD490" t="str">
        <f t="shared" si="244"/>
        <v>First Class</v>
      </c>
      <c r="AE490" t="str">
        <f t="shared" si="230"/>
        <v>OK</v>
      </c>
      <c r="AF490">
        <v>6</v>
      </c>
      <c r="AG490">
        <v>3790.22</v>
      </c>
      <c r="AH490">
        <v>0</v>
      </c>
      <c r="AI490">
        <f t="shared" si="231"/>
        <v>0</v>
      </c>
      <c r="AJ490" t="str">
        <f t="shared" si="232"/>
        <v>OK</v>
      </c>
      <c r="AK490">
        <v>22741.32</v>
      </c>
      <c r="AL490">
        <v>16388.57</v>
      </c>
      <c r="AM490">
        <v>6352.75</v>
      </c>
      <c r="AN490" t="s">
        <v>33</v>
      </c>
      <c r="AO490" t="str">
        <f t="shared" si="224"/>
        <v>PAID</v>
      </c>
      <c r="AP490" t="str">
        <f t="shared" si="233"/>
        <v>OK</v>
      </c>
      <c r="AQ490" t="s">
        <v>34</v>
      </c>
      <c r="AR490" t="str">
        <f t="shared" si="225"/>
        <v>COMPLETED</v>
      </c>
      <c r="AS490" t="str">
        <f t="shared" si="234"/>
        <v>OK</v>
      </c>
      <c r="AT490">
        <f t="shared" si="235"/>
        <v>22741.32</v>
      </c>
      <c r="AU490">
        <f t="shared" si="236"/>
        <v>6352.75</v>
      </c>
      <c r="AV490" s="6">
        <f t="shared" si="237"/>
        <v>0.30088205082202801</v>
      </c>
      <c r="AW490" t="str">
        <f t="shared" si="238"/>
        <v>CLEAN</v>
      </c>
      <c r="AX490" s="10" t="str">
        <f t="shared" si="239"/>
        <v>MATCH</v>
      </c>
      <c r="AY490" t="str">
        <f t="shared" si="240"/>
        <v>MATCH</v>
      </c>
    </row>
    <row r="491" spans="1:51">
      <c r="A491" t="s">
        <v>4001</v>
      </c>
      <c r="B491">
        <f t="shared" si="216"/>
        <v>1</v>
      </c>
      <c r="C491" t="s">
        <v>2037</v>
      </c>
      <c r="D491" s="3">
        <v>45313</v>
      </c>
      <c r="E491" t="str">
        <f t="shared" si="217"/>
        <v>2024/01/22</v>
      </c>
      <c r="F491" t="str">
        <f t="shared" si="226"/>
        <v>January</v>
      </c>
      <c r="G491">
        <f t="shared" si="227"/>
        <v>2024</v>
      </c>
      <c r="H491" t="s">
        <v>2037</v>
      </c>
      <c r="I491" s="4">
        <v>45313</v>
      </c>
      <c r="J491" s="8">
        <f t="shared" si="218"/>
        <v>0</v>
      </c>
      <c r="K491" s="8" t="str">
        <f t="shared" si="228"/>
        <v>OK</v>
      </c>
      <c r="L491" t="s">
        <v>4002</v>
      </c>
      <c r="M491" t="s">
        <v>24</v>
      </c>
      <c r="N491" t="str">
        <f t="shared" si="219"/>
        <v>Karan Malhotra</v>
      </c>
      <c r="O491" t="s">
        <v>107</v>
      </c>
      <c r="P491" t="str">
        <f t="shared" si="243"/>
        <v>Corporate</v>
      </c>
      <c r="Q491" t="s">
        <v>41</v>
      </c>
      <c r="R491" t="str">
        <f t="shared" si="242"/>
        <v>East</v>
      </c>
      <c r="S491" t="str">
        <f t="shared" si="229"/>
        <v>OK</v>
      </c>
      <c r="T491" t="s">
        <v>120</v>
      </c>
      <c r="U491" t="str">
        <f t="shared" si="220"/>
        <v>West Bengal</v>
      </c>
      <c r="V491" t="s">
        <v>121</v>
      </c>
      <c r="W491" t="str">
        <f t="shared" si="221"/>
        <v>Kolkata</v>
      </c>
      <c r="X491" t="str">
        <f t="shared" si="222"/>
        <v>Office Supplies</v>
      </c>
      <c r="Y491" t="s">
        <v>29</v>
      </c>
      <c r="Z491" t="s">
        <v>30</v>
      </c>
      <c r="AA491" t="str">
        <f t="shared" si="223"/>
        <v>Paper</v>
      </c>
      <c r="AB491" t="s">
        <v>4003</v>
      </c>
      <c r="AC491" t="s">
        <v>55</v>
      </c>
      <c r="AD491" t="str">
        <f t="shared" si="244"/>
        <v>First Class</v>
      </c>
      <c r="AE491" t="str">
        <f t="shared" si="230"/>
        <v>OK</v>
      </c>
      <c r="AF491">
        <v>8</v>
      </c>
      <c r="AG491">
        <v>1557.21</v>
      </c>
      <c r="AH491">
        <v>0.05</v>
      </c>
      <c r="AI491">
        <f t="shared" si="231"/>
        <v>0.05</v>
      </c>
      <c r="AJ491" t="str">
        <f t="shared" si="232"/>
        <v>OK</v>
      </c>
      <c r="AK491">
        <v>11834.8</v>
      </c>
      <c r="AL491">
        <v>9322.36</v>
      </c>
      <c r="AM491">
        <v>2512.44</v>
      </c>
      <c r="AN491" t="s">
        <v>33</v>
      </c>
      <c r="AO491" t="str">
        <f t="shared" si="224"/>
        <v>PAID</v>
      </c>
      <c r="AP491" t="str">
        <f t="shared" si="233"/>
        <v>OK</v>
      </c>
      <c r="AQ491" t="s">
        <v>34</v>
      </c>
      <c r="AR491" t="str">
        <f t="shared" si="225"/>
        <v>COMPLETED</v>
      </c>
      <c r="AS491" t="str">
        <f t="shared" si="234"/>
        <v>OK</v>
      </c>
      <c r="AT491">
        <f t="shared" si="235"/>
        <v>11834.796</v>
      </c>
      <c r="AU491">
        <f t="shared" si="236"/>
        <v>2512.4359999999997</v>
      </c>
      <c r="AW491" t="str">
        <f t="shared" si="238"/>
        <v>CLEAN</v>
      </c>
      <c r="AX491" s="10" t="str">
        <f t="shared" si="239"/>
        <v>MATCH</v>
      </c>
      <c r="AY491" t="str">
        <f t="shared" si="240"/>
        <v>MATCH</v>
      </c>
    </row>
    <row r="492" spans="1:51">
      <c r="A492" t="s">
        <v>4008</v>
      </c>
      <c r="B492">
        <f t="shared" si="216"/>
        <v>1</v>
      </c>
      <c r="C492" t="s">
        <v>4009</v>
      </c>
      <c r="D492" s="3">
        <v>45359</v>
      </c>
      <c r="E492" t="str">
        <f t="shared" si="217"/>
        <v>2024/03/08</v>
      </c>
      <c r="F492" t="str">
        <f t="shared" si="226"/>
        <v>March</v>
      </c>
      <c r="G492">
        <f t="shared" si="227"/>
        <v>2024</v>
      </c>
      <c r="H492" t="s">
        <v>1122</v>
      </c>
      <c r="I492" s="4">
        <v>45366</v>
      </c>
      <c r="J492" s="8">
        <f t="shared" si="218"/>
        <v>7</v>
      </c>
      <c r="K492" s="8" t="str">
        <f t="shared" si="228"/>
        <v>OK</v>
      </c>
      <c r="L492" t="s">
        <v>4010</v>
      </c>
      <c r="M492" t="s">
        <v>161</v>
      </c>
      <c r="N492" t="str">
        <f t="shared" si="219"/>
        <v>Aarav Sharma</v>
      </c>
      <c r="O492" t="s">
        <v>40</v>
      </c>
      <c r="P492" t="str">
        <f t="shared" si="243"/>
        <v>Small Business</v>
      </c>
      <c r="R492" t="s">
        <v>4109</v>
      </c>
      <c r="S492" t="str">
        <f t="shared" si="229"/>
        <v>MISSING_REGION</v>
      </c>
      <c r="T492" t="s">
        <v>153</v>
      </c>
      <c r="U492" t="str">
        <f t="shared" si="220"/>
        <v>Punjab</v>
      </c>
      <c r="V492" t="s">
        <v>154</v>
      </c>
      <c r="W492" t="str">
        <f t="shared" si="221"/>
        <v>Ludhiana</v>
      </c>
      <c r="X492" t="str">
        <f t="shared" si="222"/>
        <v>Furniture</v>
      </c>
      <c r="Y492" t="s">
        <v>44</v>
      </c>
      <c r="Z492" t="s">
        <v>75</v>
      </c>
      <c r="AA492" t="str">
        <f t="shared" si="223"/>
        <v>Chairs</v>
      </c>
      <c r="AB492" t="s">
        <v>4011</v>
      </c>
      <c r="AC492" t="s">
        <v>55</v>
      </c>
      <c r="AD492" t="str">
        <f t="shared" si="244"/>
        <v>First Class</v>
      </c>
      <c r="AE492" t="str">
        <f t="shared" si="230"/>
        <v>OK</v>
      </c>
      <c r="AF492">
        <v>5</v>
      </c>
      <c r="AG492">
        <v>3234.77</v>
      </c>
      <c r="AH492">
        <v>0</v>
      </c>
      <c r="AI492">
        <f t="shared" si="231"/>
        <v>0</v>
      </c>
      <c r="AJ492" t="str">
        <f t="shared" si="232"/>
        <v>OK</v>
      </c>
      <c r="AK492">
        <v>16173.85</v>
      </c>
      <c r="AL492">
        <v>13636.34</v>
      </c>
      <c r="AM492">
        <v>2537.5100000000002</v>
      </c>
      <c r="AN492" t="s">
        <v>33</v>
      </c>
      <c r="AO492" t="str">
        <f t="shared" si="224"/>
        <v>PAID</v>
      </c>
      <c r="AP492" t="str">
        <f t="shared" si="233"/>
        <v>OK</v>
      </c>
      <c r="AQ492" t="s">
        <v>34</v>
      </c>
      <c r="AR492" t="str">
        <f t="shared" si="225"/>
        <v>COMPLETED</v>
      </c>
      <c r="AS492" t="str">
        <f t="shared" si="234"/>
        <v>OK</v>
      </c>
      <c r="AT492">
        <f t="shared" si="235"/>
        <v>16173.85</v>
      </c>
      <c r="AU492">
        <f t="shared" si="236"/>
        <v>2537.5100000000002</v>
      </c>
      <c r="AV492" s="6">
        <f t="shared" si="237"/>
        <v>9.9325887157355797E-2</v>
      </c>
      <c r="AW492" t="str">
        <f t="shared" si="238"/>
        <v>WARNING</v>
      </c>
      <c r="AX492" s="10" t="str">
        <f t="shared" si="239"/>
        <v>MATCH</v>
      </c>
      <c r="AY492" t="str">
        <f t="shared" si="240"/>
        <v>MATCH</v>
      </c>
    </row>
    <row r="493" spans="1:51">
      <c r="A493" t="s">
        <v>4012</v>
      </c>
      <c r="B493">
        <f t="shared" si="216"/>
        <v>1</v>
      </c>
      <c r="C493" t="s">
        <v>2537</v>
      </c>
      <c r="D493" s="2">
        <v>45303</v>
      </c>
      <c r="E493" t="str">
        <f t="shared" si="217"/>
        <v>2024/01/12</v>
      </c>
      <c r="F493" t="str">
        <f t="shared" si="226"/>
        <v>January</v>
      </c>
      <c r="G493">
        <f t="shared" si="227"/>
        <v>2024</v>
      </c>
      <c r="H493" t="s">
        <v>4013</v>
      </c>
      <c r="I493" s="4">
        <v>45424</v>
      </c>
      <c r="J493" s="8">
        <f t="shared" si="218"/>
        <v>121</v>
      </c>
      <c r="K493" s="8" t="str">
        <f t="shared" si="228"/>
        <v>OK</v>
      </c>
      <c r="L493" t="s">
        <v>4014</v>
      </c>
      <c r="M493" t="s">
        <v>71</v>
      </c>
      <c r="N493" t="str">
        <f t="shared" si="219"/>
        <v>Ananya Rao</v>
      </c>
      <c r="O493" t="s">
        <v>40</v>
      </c>
      <c r="P493" t="str">
        <f t="shared" si="243"/>
        <v>Small Business</v>
      </c>
      <c r="Q493" t="s">
        <v>61</v>
      </c>
      <c r="R493" t="str">
        <f t="shared" ref="R493:R524" si="245">PROPER(TRIM(SUBSTITUTE(Q493,CHAR(160)," ")))</f>
        <v>South</v>
      </c>
      <c r="S493" t="str">
        <f t="shared" si="229"/>
        <v>OK</v>
      </c>
      <c r="T493" t="s">
        <v>99</v>
      </c>
      <c r="U493" t="str">
        <f t="shared" si="220"/>
        <v>Andhra Pradesh</v>
      </c>
      <c r="V493" t="s">
        <v>100</v>
      </c>
      <c r="W493" t="str">
        <f t="shared" si="221"/>
        <v>Vijayawada</v>
      </c>
      <c r="X493" t="str">
        <f t="shared" si="222"/>
        <v>Technology</v>
      </c>
      <c r="Y493" t="s">
        <v>85</v>
      </c>
      <c r="Z493" t="s">
        <v>93</v>
      </c>
      <c r="AA493" t="str">
        <f t="shared" si="223"/>
        <v>Copiers</v>
      </c>
      <c r="AB493" t="s">
        <v>4015</v>
      </c>
      <c r="AC493" t="s">
        <v>32</v>
      </c>
      <c r="AD493" t="str">
        <f t="shared" si="244"/>
        <v>Second Class</v>
      </c>
      <c r="AE493" t="str">
        <f t="shared" si="230"/>
        <v>OK</v>
      </c>
      <c r="AF493">
        <v>9</v>
      </c>
      <c r="AG493">
        <v>3726.75</v>
      </c>
      <c r="AH493">
        <v>0.25</v>
      </c>
      <c r="AI493">
        <f t="shared" si="231"/>
        <v>0.25</v>
      </c>
      <c r="AJ493" t="str">
        <f t="shared" si="232"/>
        <v>OK</v>
      </c>
      <c r="AK493">
        <v>25155.56</v>
      </c>
      <c r="AL493">
        <v>17592.689999999999</v>
      </c>
      <c r="AM493">
        <v>7562.87</v>
      </c>
      <c r="AN493" t="s">
        <v>33</v>
      </c>
      <c r="AO493" t="str">
        <f t="shared" si="224"/>
        <v>PAID</v>
      </c>
      <c r="AP493" t="str">
        <f t="shared" si="233"/>
        <v>OK</v>
      </c>
      <c r="AQ493" t="s">
        <v>34</v>
      </c>
      <c r="AR493" t="str">
        <f t="shared" si="225"/>
        <v>COMPLETED</v>
      </c>
      <c r="AS493" t="str">
        <f t="shared" si="234"/>
        <v>OK</v>
      </c>
      <c r="AT493">
        <f t="shared" si="235"/>
        <v>25155.5625</v>
      </c>
      <c r="AU493">
        <f t="shared" si="236"/>
        <v>7562.8725000000013</v>
      </c>
      <c r="AV493" s="6">
        <f t="shared" si="237"/>
        <v>7.7270067008042495E-2</v>
      </c>
      <c r="AW493" t="str">
        <f t="shared" si="238"/>
        <v>CLEAN</v>
      </c>
      <c r="AX493" s="10" t="str">
        <f t="shared" si="239"/>
        <v>MATCH</v>
      </c>
      <c r="AY493" t="str">
        <f t="shared" si="240"/>
        <v>MATCH</v>
      </c>
    </row>
    <row r="494" spans="1:51">
      <c r="A494" t="s">
        <v>4030</v>
      </c>
      <c r="B494">
        <f t="shared" si="216"/>
        <v>1</v>
      </c>
      <c r="C494" t="s">
        <v>4031</v>
      </c>
      <c r="D494" s="3">
        <v>45413</v>
      </c>
      <c r="E494" t="str">
        <f t="shared" si="217"/>
        <v>2024/05/01</v>
      </c>
      <c r="F494" t="str">
        <f t="shared" si="226"/>
        <v>May</v>
      </c>
      <c r="G494">
        <f t="shared" si="227"/>
        <v>2024</v>
      </c>
      <c r="H494" t="s">
        <v>4031</v>
      </c>
      <c r="I494" s="4">
        <v>45296</v>
      </c>
      <c r="J494" s="8">
        <f t="shared" si="218"/>
        <v>-117</v>
      </c>
      <c r="K494" s="8" t="str">
        <f t="shared" si="228"/>
        <v>INVAILD_SHIPPING</v>
      </c>
      <c r="L494" t="s">
        <v>4032</v>
      </c>
      <c r="M494" t="s">
        <v>209</v>
      </c>
      <c r="N494" t="str">
        <f t="shared" si="219"/>
        <v>Diya Patel</v>
      </c>
      <c r="O494" t="s">
        <v>25</v>
      </c>
      <c r="P494" t="str">
        <f t="shared" si="243"/>
        <v>Consumer</v>
      </c>
      <c r="Q494" t="s">
        <v>26</v>
      </c>
      <c r="R494" t="str">
        <f t="shared" si="245"/>
        <v>North</v>
      </c>
      <c r="S494" t="str">
        <f t="shared" si="229"/>
        <v>OK</v>
      </c>
      <c r="T494" t="s">
        <v>27</v>
      </c>
      <c r="U494" t="str">
        <f t="shared" si="220"/>
        <v>Rajasthan</v>
      </c>
      <c r="V494" t="s">
        <v>28</v>
      </c>
      <c r="W494" t="str">
        <f t="shared" si="221"/>
        <v>Jaipur</v>
      </c>
      <c r="X494" t="str">
        <f t="shared" si="222"/>
        <v>Furniture</v>
      </c>
      <c r="Y494" t="s">
        <v>44</v>
      </c>
      <c r="Z494" t="s">
        <v>45</v>
      </c>
      <c r="AA494" t="str">
        <f t="shared" si="223"/>
        <v>Tables</v>
      </c>
      <c r="AB494" t="s">
        <v>4033</v>
      </c>
      <c r="AC494" t="s">
        <v>66</v>
      </c>
      <c r="AD494" t="str">
        <f t="shared" si="244"/>
        <v>Standard Class</v>
      </c>
      <c r="AE494" t="str">
        <f t="shared" si="230"/>
        <v>OK</v>
      </c>
      <c r="AF494">
        <v>1</v>
      </c>
      <c r="AG494">
        <v>2167.08</v>
      </c>
      <c r="AH494">
        <v>0.25</v>
      </c>
      <c r="AI494">
        <f t="shared" si="231"/>
        <v>0.25</v>
      </c>
      <c r="AJ494" t="str">
        <f t="shared" si="232"/>
        <v>OK</v>
      </c>
      <c r="AK494">
        <v>1625.31</v>
      </c>
      <c r="AL494">
        <v>1157.8900000000001</v>
      </c>
      <c r="AM494">
        <v>467.42</v>
      </c>
      <c r="AN494" t="s">
        <v>33</v>
      </c>
      <c r="AO494" t="str">
        <f t="shared" si="224"/>
        <v>PAID</v>
      </c>
      <c r="AP494" t="str">
        <f t="shared" si="233"/>
        <v>OK</v>
      </c>
      <c r="AQ494" t="s">
        <v>34</v>
      </c>
      <c r="AR494" t="str">
        <f t="shared" si="225"/>
        <v>COMPLETED</v>
      </c>
      <c r="AS494" t="str">
        <f t="shared" si="234"/>
        <v>OK</v>
      </c>
      <c r="AT494">
        <f t="shared" si="235"/>
        <v>1625.31</v>
      </c>
      <c r="AU494">
        <f t="shared" si="236"/>
        <v>467.41999999999985</v>
      </c>
      <c r="AV494" s="6">
        <f t="shared" si="237"/>
        <v>1.269943887627591</v>
      </c>
      <c r="AW494" t="str">
        <f t="shared" si="238"/>
        <v>CLEAN</v>
      </c>
      <c r="AX494" s="10" t="str">
        <f t="shared" si="239"/>
        <v>MATCH</v>
      </c>
      <c r="AY494" t="str">
        <f t="shared" si="240"/>
        <v>MATCH</v>
      </c>
    </row>
    <row r="495" spans="1:51">
      <c r="A495" t="s">
        <v>4039</v>
      </c>
      <c r="B495">
        <f t="shared" si="216"/>
        <v>1</v>
      </c>
      <c r="C495" t="s">
        <v>3917</v>
      </c>
      <c r="D495" s="3">
        <v>45632</v>
      </c>
      <c r="E495" t="str">
        <f t="shared" si="217"/>
        <v>2024/12/06</v>
      </c>
      <c r="F495" t="str">
        <f t="shared" si="226"/>
        <v>December</v>
      </c>
      <c r="G495">
        <f t="shared" si="227"/>
        <v>2024</v>
      </c>
      <c r="H495" t="s">
        <v>683</v>
      </c>
      <c r="I495" s="4">
        <v>45461</v>
      </c>
      <c r="J495" s="8">
        <f t="shared" si="218"/>
        <v>-171</v>
      </c>
      <c r="K495" s="8" t="str">
        <f t="shared" si="228"/>
        <v>INVAILD_SHIPPING</v>
      </c>
      <c r="L495" t="s">
        <v>4040</v>
      </c>
      <c r="M495" t="s">
        <v>161</v>
      </c>
      <c r="N495" t="str">
        <f t="shared" si="219"/>
        <v>Aarav Sharma</v>
      </c>
      <c r="O495" t="s">
        <v>40</v>
      </c>
      <c r="P495" t="str">
        <f t="shared" si="243"/>
        <v>Small Business</v>
      </c>
      <c r="Q495" t="s">
        <v>61</v>
      </c>
      <c r="R495" t="str">
        <f t="shared" si="245"/>
        <v>South</v>
      </c>
      <c r="S495" t="str">
        <f t="shared" si="229"/>
        <v>OK</v>
      </c>
      <c r="T495" t="s">
        <v>99</v>
      </c>
      <c r="U495" t="str">
        <f t="shared" si="220"/>
        <v>Andhra Pradesh</v>
      </c>
      <c r="V495" t="s">
        <v>100</v>
      </c>
      <c r="W495" t="str">
        <f t="shared" si="221"/>
        <v>Vijayawada</v>
      </c>
      <c r="X495" t="str">
        <f t="shared" si="222"/>
        <v>Office Supplies</v>
      </c>
      <c r="Y495" t="s">
        <v>29</v>
      </c>
      <c r="Z495" t="s">
        <v>53</v>
      </c>
      <c r="AA495" t="str">
        <f t="shared" si="223"/>
        <v>Art</v>
      </c>
      <c r="AB495" t="s">
        <v>4041</v>
      </c>
      <c r="AC495" t="s">
        <v>66</v>
      </c>
      <c r="AD495" t="str">
        <f t="shared" si="244"/>
        <v>Standard Class</v>
      </c>
      <c r="AE495" t="str">
        <f t="shared" si="230"/>
        <v>OK</v>
      </c>
      <c r="AF495">
        <v>4</v>
      </c>
      <c r="AG495">
        <v>4176.13</v>
      </c>
      <c r="AH495">
        <v>0</v>
      </c>
      <c r="AI495">
        <f t="shared" si="231"/>
        <v>0</v>
      </c>
      <c r="AJ495" t="str">
        <f t="shared" si="232"/>
        <v>OK</v>
      </c>
      <c r="AK495">
        <v>16704.52</v>
      </c>
      <c r="AL495">
        <v>10158.280000000001</v>
      </c>
      <c r="AM495">
        <v>6546.24</v>
      </c>
      <c r="AN495" t="s">
        <v>33</v>
      </c>
      <c r="AO495" t="str">
        <f t="shared" si="224"/>
        <v>PAID</v>
      </c>
      <c r="AP495" t="str">
        <f t="shared" si="233"/>
        <v>OK</v>
      </c>
      <c r="AQ495" t="s">
        <v>34</v>
      </c>
      <c r="AR495" t="str">
        <f t="shared" si="225"/>
        <v>COMPLETED</v>
      </c>
      <c r="AS495" t="str">
        <f t="shared" si="234"/>
        <v>OK</v>
      </c>
      <c r="AT495">
        <f t="shared" si="235"/>
        <v>16704.52</v>
      </c>
      <c r="AU495">
        <f t="shared" si="236"/>
        <v>6546.24</v>
      </c>
      <c r="AV495" s="6">
        <f t="shared" si="237"/>
        <v>5.8570075644196898E-3</v>
      </c>
      <c r="AW495" t="str">
        <f t="shared" si="238"/>
        <v>CLEAN</v>
      </c>
      <c r="AX495" s="10" t="str">
        <f t="shared" si="239"/>
        <v>MATCH</v>
      </c>
      <c r="AY495" t="str">
        <f t="shared" si="240"/>
        <v>MATCH</v>
      </c>
    </row>
    <row r="496" spans="1:51">
      <c r="A496" t="s">
        <v>4050</v>
      </c>
      <c r="B496">
        <f t="shared" si="216"/>
        <v>1</v>
      </c>
      <c r="C496" t="s">
        <v>159</v>
      </c>
      <c r="D496" s="3">
        <v>45427</v>
      </c>
      <c r="E496" t="str">
        <f t="shared" si="217"/>
        <v>2024/05/15</v>
      </c>
      <c r="F496" t="str">
        <f t="shared" si="226"/>
        <v>May</v>
      </c>
      <c r="G496">
        <f t="shared" si="227"/>
        <v>2024</v>
      </c>
      <c r="H496" t="s">
        <v>1139</v>
      </c>
      <c r="I496" s="4">
        <v>45433</v>
      </c>
      <c r="J496" s="8">
        <f t="shared" si="218"/>
        <v>6</v>
      </c>
      <c r="K496" s="8" t="str">
        <f t="shared" si="228"/>
        <v>OK</v>
      </c>
      <c r="L496" t="s">
        <v>4051</v>
      </c>
      <c r="M496" t="s">
        <v>24</v>
      </c>
      <c r="N496" t="str">
        <f t="shared" si="219"/>
        <v>Karan Malhotra</v>
      </c>
      <c r="O496" t="s">
        <v>25</v>
      </c>
      <c r="P496" t="str">
        <f t="shared" si="243"/>
        <v>Consumer</v>
      </c>
      <c r="Q496" t="s">
        <v>72</v>
      </c>
      <c r="R496" t="str">
        <f t="shared" si="245"/>
        <v>West</v>
      </c>
      <c r="S496" t="str">
        <f t="shared" si="229"/>
        <v>OK</v>
      </c>
      <c r="T496" t="s">
        <v>248</v>
      </c>
      <c r="U496" t="str">
        <f t="shared" si="220"/>
        <v>Goa</v>
      </c>
      <c r="V496" t="s">
        <v>249</v>
      </c>
      <c r="W496" t="str">
        <f t="shared" si="221"/>
        <v>Panaji</v>
      </c>
      <c r="X496" t="str">
        <f t="shared" si="222"/>
        <v>Office Supplies</v>
      </c>
      <c r="Y496" t="s">
        <v>29</v>
      </c>
      <c r="Z496" t="s">
        <v>155</v>
      </c>
      <c r="AA496" t="str">
        <f t="shared" si="223"/>
        <v>Storage</v>
      </c>
      <c r="AB496" t="s">
        <v>4052</v>
      </c>
      <c r="AC496" t="s">
        <v>66</v>
      </c>
      <c r="AD496" t="str">
        <f t="shared" si="244"/>
        <v>Standard Class</v>
      </c>
      <c r="AE496" t="str">
        <f t="shared" si="230"/>
        <v>OK</v>
      </c>
      <c r="AF496">
        <v>6</v>
      </c>
      <c r="AG496">
        <v>2909.56</v>
      </c>
      <c r="AH496">
        <v>0.2</v>
      </c>
      <c r="AI496">
        <f t="shared" si="231"/>
        <v>0.2</v>
      </c>
      <c r="AJ496" t="str">
        <f t="shared" si="232"/>
        <v>OK</v>
      </c>
      <c r="AK496">
        <v>13965.89</v>
      </c>
      <c r="AL496">
        <v>11646.12</v>
      </c>
      <c r="AM496">
        <v>2319.77</v>
      </c>
      <c r="AN496" t="s">
        <v>33</v>
      </c>
      <c r="AO496" t="str">
        <f t="shared" si="224"/>
        <v>PAID</v>
      </c>
      <c r="AP496" t="str">
        <f t="shared" si="233"/>
        <v>OK</v>
      </c>
      <c r="AQ496" t="s">
        <v>34</v>
      </c>
      <c r="AR496" t="str">
        <f t="shared" si="225"/>
        <v>COMPLETED</v>
      </c>
      <c r="AS496" t="str">
        <f t="shared" si="234"/>
        <v>OK</v>
      </c>
      <c r="AT496">
        <f t="shared" si="235"/>
        <v>13965.888000000001</v>
      </c>
      <c r="AU496">
        <f t="shared" si="236"/>
        <v>2319.768</v>
      </c>
      <c r="AV496" s="6">
        <f t="shared" si="237"/>
        <v>0.72055568539572989</v>
      </c>
      <c r="AW496" t="str">
        <f t="shared" si="238"/>
        <v>CLEAN</v>
      </c>
      <c r="AX496" s="10" t="str">
        <f t="shared" si="239"/>
        <v>MATCH</v>
      </c>
      <c r="AY496" t="str">
        <f t="shared" si="240"/>
        <v>MATCH</v>
      </c>
    </row>
    <row r="497" spans="1:51">
      <c r="A497" t="s">
        <v>4053</v>
      </c>
      <c r="B497">
        <f t="shared" si="216"/>
        <v>1</v>
      </c>
      <c r="C497" t="s">
        <v>3776</v>
      </c>
      <c r="D497" s="2">
        <v>45514</v>
      </c>
      <c r="E497" t="str">
        <f t="shared" si="217"/>
        <v>2024/08/10</v>
      </c>
      <c r="F497" t="str">
        <f t="shared" si="226"/>
        <v>August</v>
      </c>
      <c r="G497">
        <f t="shared" si="227"/>
        <v>2024</v>
      </c>
      <c r="H497" t="s">
        <v>2557</v>
      </c>
      <c r="I497" s="4">
        <v>45545</v>
      </c>
      <c r="J497" s="8">
        <f t="shared" si="218"/>
        <v>31</v>
      </c>
      <c r="K497" s="8" t="str">
        <f t="shared" si="228"/>
        <v>OK</v>
      </c>
      <c r="L497" t="s">
        <v>4054</v>
      </c>
      <c r="M497" t="s">
        <v>365</v>
      </c>
      <c r="N497" t="str">
        <f t="shared" si="219"/>
        <v>Kabir Singh</v>
      </c>
      <c r="O497" t="s">
        <v>107</v>
      </c>
      <c r="P497" t="str">
        <f t="shared" si="243"/>
        <v>Corporate</v>
      </c>
      <c r="Q497" t="s">
        <v>61</v>
      </c>
      <c r="R497" t="str">
        <f t="shared" si="245"/>
        <v>South</v>
      </c>
      <c r="S497" t="str">
        <f t="shared" si="229"/>
        <v>OK</v>
      </c>
      <c r="T497" t="s">
        <v>338</v>
      </c>
      <c r="U497" t="str">
        <f t="shared" si="220"/>
        <v>Tamil Nadu</v>
      </c>
      <c r="V497" t="s">
        <v>339</v>
      </c>
      <c r="W497" t="str">
        <f t="shared" si="221"/>
        <v>Chennai</v>
      </c>
      <c r="X497" t="str">
        <f t="shared" si="222"/>
        <v>Technology</v>
      </c>
      <c r="Y497" t="s">
        <v>85</v>
      </c>
      <c r="Z497" t="s">
        <v>381</v>
      </c>
      <c r="AA497" t="str">
        <f t="shared" si="223"/>
        <v>Machines</v>
      </c>
      <c r="AB497" t="s">
        <v>4055</v>
      </c>
      <c r="AC497" t="s">
        <v>47</v>
      </c>
      <c r="AD497" t="str">
        <f t="shared" si="244"/>
        <v>Same Day</v>
      </c>
      <c r="AE497" t="str">
        <f t="shared" si="230"/>
        <v>OK</v>
      </c>
      <c r="AF497">
        <v>5</v>
      </c>
      <c r="AG497">
        <v>2407.9699999999998</v>
      </c>
      <c r="AH497">
        <v>0.1</v>
      </c>
      <c r="AI497">
        <f t="shared" si="231"/>
        <v>0.1</v>
      </c>
      <c r="AJ497" t="str">
        <f t="shared" si="232"/>
        <v>OK</v>
      </c>
      <c r="AK497">
        <v>10835.86</v>
      </c>
      <c r="AL497">
        <v>6419.92</v>
      </c>
      <c r="AM497">
        <v>4415.9399999999996</v>
      </c>
      <c r="AN497" t="s">
        <v>199</v>
      </c>
      <c r="AO497" t="str">
        <f t="shared" si="224"/>
        <v>FAILED</v>
      </c>
      <c r="AP497" t="str">
        <f t="shared" si="233"/>
        <v>EXCLUDE_FROM_SALES</v>
      </c>
      <c r="AQ497" t="s">
        <v>77</v>
      </c>
      <c r="AR497" t="str">
        <f t="shared" si="225"/>
        <v>CANCELLED</v>
      </c>
      <c r="AS497" t="str">
        <f t="shared" si="234"/>
        <v>EXCLUDE_FROM_SALES</v>
      </c>
      <c r="AT497">
        <f t="shared" si="235"/>
        <v>10835.865</v>
      </c>
      <c r="AU497">
        <f t="shared" si="236"/>
        <v>4415.9449999999997</v>
      </c>
      <c r="AV497" s="6">
        <f t="shared" si="237"/>
        <v>0.21366951323221542</v>
      </c>
      <c r="AW497" t="str">
        <f t="shared" si="238"/>
        <v>CLEAN</v>
      </c>
      <c r="AX497" s="10" t="str">
        <f t="shared" si="239"/>
        <v>MISMATCH</v>
      </c>
      <c r="AY497" t="str">
        <f t="shared" si="240"/>
        <v>MISMATCH</v>
      </c>
    </row>
    <row r="498" spans="1:51">
      <c r="A498" t="s">
        <v>4060</v>
      </c>
      <c r="B498">
        <f t="shared" si="216"/>
        <v>1</v>
      </c>
      <c r="C498" t="s">
        <v>4061</v>
      </c>
      <c r="D498" s="2">
        <v>45449</v>
      </c>
      <c r="E498" t="str">
        <f t="shared" si="217"/>
        <v>2024/06/06</v>
      </c>
      <c r="F498" t="str">
        <f t="shared" si="226"/>
        <v>June</v>
      </c>
      <c r="G498">
        <f t="shared" si="227"/>
        <v>2024</v>
      </c>
      <c r="H498" t="s">
        <v>4062</v>
      </c>
      <c r="I498" s="4">
        <v>45451</v>
      </c>
      <c r="J498" s="8">
        <f t="shared" si="218"/>
        <v>2</v>
      </c>
      <c r="K498" s="8" t="str">
        <f t="shared" si="228"/>
        <v>OK</v>
      </c>
      <c r="L498" t="s">
        <v>4063</v>
      </c>
      <c r="M498" t="s">
        <v>161</v>
      </c>
      <c r="N498" t="str">
        <f t="shared" si="219"/>
        <v>Aarav Sharma</v>
      </c>
      <c r="O498" t="s">
        <v>107</v>
      </c>
      <c r="P498" t="str">
        <f t="shared" si="243"/>
        <v>Corporate</v>
      </c>
      <c r="Q498" t="s">
        <v>61</v>
      </c>
      <c r="R498" t="str">
        <f t="shared" si="245"/>
        <v>South</v>
      </c>
      <c r="S498" t="str">
        <f t="shared" si="229"/>
        <v>OK</v>
      </c>
      <c r="T498" t="s">
        <v>228</v>
      </c>
      <c r="U498" t="str">
        <f t="shared" si="220"/>
        <v>Karnataka</v>
      </c>
      <c r="V498" t="s">
        <v>229</v>
      </c>
      <c r="W498" t="str">
        <f t="shared" si="221"/>
        <v>Bengaluru</v>
      </c>
      <c r="X498" t="str">
        <f t="shared" si="222"/>
        <v>Furniture</v>
      </c>
      <c r="Y498" t="s">
        <v>44</v>
      </c>
      <c r="Z498" t="s">
        <v>45</v>
      </c>
      <c r="AA498" t="str">
        <f t="shared" si="223"/>
        <v>Tables</v>
      </c>
      <c r="AB498" t="s">
        <v>4064</v>
      </c>
      <c r="AC498" t="s">
        <v>32</v>
      </c>
      <c r="AD498" t="str">
        <f t="shared" si="244"/>
        <v>Second Class</v>
      </c>
      <c r="AE498" t="str">
        <f t="shared" si="230"/>
        <v>OK</v>
      </c>
      <c r="AF498">
        <v>3</v>
      </c>
      <c r="AG498">
        <v>395.49</v>
      </c>
      <c r="AH498">
        <v>0.05</v>
      </c>
      <c r="AI498">
        <f t="shared" si="231"/>
        <v>0.05</v>
      </c>
      <c r="AJ498" t="str">
        <f t="shared" si="232"/>
        <v>OK</v>
      </c>
      <c r="AK498">
        <v>1127.1500000000001</v>
      </c>
      <c r="AL498">
        <v>845.62</v>
      </c>
      <c r="AM498">
        <v>281.52999999999997</v>
      </c>
      <c r="AN498" t="s">
        <v>33</v>
      </c>
      <c r="AO498" t="str">
        <f t="shared" si="224"/>
        <v>PAID</v>
      </c>
      <c r="AP498" t="str">
        <f t="shared" si="233"/>
        <v>OK</v>
      </c>
      <c r="AQ498" t="s">
        <v>124</v>
      </c>
      <c r="AR498" t="str">
        <f t="shared" si="225"/>
        <v>RETURNED</v>
      </c>
      <c r="AS498" t="str">
        <f t="shared" si="234"/>
        <v>RETURNED_ORDER</v>
      </c>
      <c r="AT498">
        <f t="shared" si="235"/>
        <v>1127.1465000000001</v>
      </c>
      <c r="AU498">
        <f t="shared" si="236"/>
        <v>281.52650000000006</v>
      </c>
      <c r="AV498" s="6">
        <f t="shared" si="237"/>
        <v>0.8224645154822372</v>
      </c>
      <c r="AW498" t="str">
        <f t="shared" si="238"/>
        <v>CLEAN</v>
      </c>
      <c r="AX498" s="10" t="str">
        <f t="shared" si="239"/>
        <v>MATCH</v>
      </c>
      <c r="AY498" t="str">
        <f t="shared" si="240"/>
        <v>MATCH</v>
      </c>
    </row>
    <row r="499" spans="1:51">
      <c r="A499" t="s">
        <v>4065</v>
      </c>
      <c r="B499">
        <f t="shared" si="216"/>
        <v>1</v>
      </c>
      <c r="C499" t="s">
        <v>1944</v>
      </c>
      <c r="D499" s="2">
        <v>45344</v>
      </c>
      <c r="E499" t="str">
        <f t="shared" si="217"/>
        <v>2024/02/22</v>
      </c>
      <c r="F499" t="str">
        <f t="shared" si="226"/>
        <v>February</v>
      </c>
      <c r="G499">
        <f t="shared" si="227"/>
        <v>2024</v>
      </c>
      <c r="H499" t="s">
        <v>4066</v>
      </c>
      <c r="I499" s="4">
        <v>45351</v>
      </c>
      <c r="J499" s="8">
        <f t="shared" si="218"/>
        <v>7</v>
      </c>
      <c r="K499" s="8" t="str">
        <f t="shared" si="228"/>
        <v>OK</v>
      </c>
      <c r="L499" t="s">
        <v>4067</v>
      </c>
      <c r="M499" t="s">
        <v>52</v>
      </c>
      <c r="N499" t="str">
        <f t="shared" si="219"/>
        <v>Isha Nair</v>
      </c>
      <c r="O499" t="s">
        <v>114</v>
      </c>
      <c r="P499" t="str">
        <f t="shared" si="243"/>
        <v>Home Office</v>
      </c>
      <c r="Q499" t="s">
        <v>61</v>
      </c>
      <c r="R499" t="str">
        <f t="shared" si="245"/>
        <v>South</v>
      </c>
      <c r="S499" t="str">
        <f t="shared" si="229"/>
        <v>OK</v>
      </c>
      <c r="T499" t="s">
        <v>62</v>
      </c>
      <c r="U499" t="str">
        <f t="shared" si="220"/>
        <v>Telangana</v>
      </c>
      <c r="V499" t="s">
        <v>63</v>
      </c>
      <c r="W499" t="str">
        <f t="shared" si="221"/>
        <v>Hyderabad</v>
      </c>
      <c r="X499" t="str">
        <f t="shared" si="222"/>
        <v>Furniture</v>
      </c>
      <c r="Y499" t="s">
        <v>44</v>
      </c>
      <c r="Z499" t="s">
        <v>45</v>
      </c>
      <c r="AA499" t="str">
        <f t="shared" si="223"/>
        <v>Tables</v>
      </c>
      <c r="AB499" t="s">
        <v>4068</v>
      </c>
      <c r="AC499" t="s">
        <v>55</v>
      </c>
      <c r="AD499" t="str">
        <f t="shared" si="244"/>
        <v>First Class</v>
      </c>
      <c r="AE499" t="str">
        <f t="shared" si="230"/>
        <v>OK</v>
      </c>
      <c r="AF499">
        <v>6</v>
      </c>
      <c r="AG499">
        <v>4254.05</v>
      </c>
      <c r="AH499">
        <v>0</v>
      </c>
      <c r="AI499">
        <f t="shared" si="231"/>
        <v>0</v>
      </c>
      <c r="AJ499" t="str">
        <f t="shared" si="232"/>
        <v>OK</v>
      </c>
      <c r="AK499">
        <v>25524.3</v>
      </c>
      <c r="AL499">
        <v>16711.93</v>
      </c>
      <c r="AM499">
        <v>8812.3700000000008</v>
      </c>
      <c r="AN499" t="s">
        <v>33</v>
      </c>
      <c r="AO499" t="str">
        <f t="shared" si="224"/>
        <v>PAID</v>
      </c>
      <c r="AP499" t="str">
        <f t="shared" si="233"/>
        <v>OK</v>
      </c>
      <c r="AQ499" t="s">
        <v>34</v>
      </c>
      <c r="AR499" t="str">
        <f t="shared" si="225"/>
        <v>COMPLETED</v>
      </c>
      <c r="AS499" t="str">
        <f t="shared" si="234"/>
        <v>OK</v>
      </c>
      <c r="AT499">
        <f t="shared" si="235"/>
        <v>25524.300000000003</v>
      </c>
      <c r="AU499">
        <f t="shared" si="236"/>
        <v>8812.3700000000026</v>
      </c>
      <c r="AV499" s="6">
        <f t="shared" si="237"/>
        <v>0.11560716650407647</v>
      </c>
      <c r="AW499" t="str">
        <f t="shared" si="238"/>
        <v>CLEAN</v>
      </c>
      <c r="AX499" s="10" t="str">
        <f t="shared" si="239"/>
        <v>MATCH</v>
      </c>
      <c r="AY499" t="str">
        <f t="shared" si="240"/>
        <v>MATCH</v>
      </c>
    </row>
    <row r="500" spans="1:51">
      <c r="A500" t="s">
        <v>4069</v>
      </c>
      <c r="B500">
        <f t="shared" si="216"/>
        <v>1</v>
      </c>
      <c r="C500" t="s">
        <v>4070</v>
      </c>
      <c r="D500" s="2">
        <v>45423</v>
      </c>
      <c r="E500" t="str">
        <f t="shared" si="217"/>
        <v>2024/05/11</v>
      </c>
      <c r="F500" t="str">
        <f t="shared" si="226"/>
        <v>May</v>
      </c>
      <c r="G500">
        <f t="shared" si="227"/>
        <v>2024</v>
      </c>
      <c r="H500" t="s">
        <v>104</v>
      </c>
      <c r="I500" s="4">
        <v>45606</v>
      </c>
      <c r="J500" s="8">
        <f t="shared" si="218"/>
        <v>183</v>
      </c>
      <c r="K500" s="8" t="str">
        <f t="shared" si="228"/>
        <v>OK</v>
      </c>
      <c r="L500" t="s">
        <v>4071</v>
      </c>
      <c r="M500" t="s">
        <v>60</v>
      </c>
      <c r="N500" t="str">
        <f t="shared" si="219"/>
        <v>Arjun Bose</v>
      </c>
      <c r="O500" t="s">
        <v>25</v>
      </c>
      <c r="P500" t="str">
        <f t="shared" si="243"/>
        <v>Consumer</v>
      </c>
      <c r="Q500" t="s">
        <v>61</v>
      </c>
      <c r="R500" t="str">
        <f t="shared" si="245"/>
        <v>South</v>
      </c>
      <c r="S500" t="str">
        <f t="shared" si="229"/>
        <v>OK</v>
      </c>
      <c r="T500" t="s">
        <v>241</v>
      </c>
      <c r="U500" t="str">
        <f t="shared" si="220"/>
        <v>Kerala</v>
      </c>
      <c r="V500" t="s">
        <v>242</v>
      </c>
      <c r="W500" t="str">
        <f t="shared" si="221"/>
        <v>Kochi</v>
      </c>
      <c r="X500" t="str">
        <f t="shared" si="222"/>
        <v>Furniture</v>
      </c>
      <c r="Y500" t="s">
        <v>44</v>
      </c>
      <c r="Z500" t="s">
        <v>75</v>
      </c>
      <c r="AA500" t="str">
        <f t="shared" si="223"/>
        <v>Chairs</v>
      </c>
      <c r="AB500" t="s">
        <v>4072</v>
      </c>
      <c r="AC500" t="s">
        <v>47</v>
      </c>
      <c r="AD500" t="str">
        <f t="shared" si="244"/>
        <v>Same Day</v>
      </c>
      <c r="AE500" t="str">
        <f t="shared" si="230"/>
        <v>OK</v>
      </c>
      <c r="AF500">
        <v>4</v>
      </c>
      <c r="AG500">
        <v>711.18</v>
      </c>
      <c r="AH500">
        <v>0.15</v>
      </c>
      <c r="AI500">
        <f t="shared" si="231"/>
        <v>0.15</v>
      </c>
      <c r="AJ500" t="str">
        <f t="shared" si="232"/>
        <v>OK</v>
      </c>
      <c r="AK500">
        <v>2418.0100000000002</v>
      </c>
      <c r="AL500">
        <v>1441.89</v>
      </c>
      <c r="AM500">
        <v>976.12</v>
      </c>
      <c r="AN500" t="s">
        <v>136</v>
      </c>
      <c r="AO500" t="str">
        <f t="shared" si="224"/>
        <v>PENDING</v>
      </c>
      <c r="AP500" t="str">
        <f t="shared" si="233"/>
        <v>OK</v>
      </c>
      <c r="AQ500" t="s">
        <v>124</v>
      </c>
      <c r="AR500" t="str">
        <f t="shared" si="225"/>
        <v>RETURNED</v>
      </c>
      <c r="AS500" t="str">
        <f t="shared" si="234"/>
        <v>RETURNED_ORDER</v>
      </c>
      <c r="AT500">
        <f t="shared" si="235"/>
        <v>2418.0119999999997</v>
      </c>
      <c r="AU500">
        <f t="shared" si="236"/>
        <v>976.12199999999962</v>
      </c>
      <c r="AV500" s="6">
        <f t="shared" si="237"/>
        <v>3.104628926572738</v>
      </c>
      <c r="AW500" t="str">
        <f t="shared" si="238"/>
        <v>CLEAN</v>
      </c>
      <c r="AX500" s="10" t="str">
        <f t="shared" si="239"/>
        <v>MATCH</v>
      </c>
      <c r="AY500" t="str">
        <f t="shared" si="240"/>
        <v>MATCH</v>
      </c>
    </row>
    <row r="501" spans="1:51">
      <c r="A501" t="s">
        <v>4073</v>
      </c>
      <c r="B501">
        <f t="shared" si="216"/>
        <v>1</v>
      </c>
      <c r="C501" t="s">
        <v>4074</v>
      </c>
      <c r="D501" s="3">
        <v>45650</v>
      </c>
      <c r="E501" t="str">
        <f t="shared" si="217"/>
        <v>2024/12/24</v>
      </c>
      <c r="F501" t="str">
        <f t="shared" si="226"/>
        <v>December</v>
      </c>
      <c r="G501">
        <f t="shared" si="227"/>
        <v>2024</v>
      </c>
      <c r="H501" t="s">
        <v>2357</v>
      </c>
      <c r="I501" s="4">
        <v>45651</v>
      </c>
      <c r="J501" s="8">
        <f t="shared" si="218"/>
        <v>1</v>
      </c>
      <c r="K501" s="8" t="str">
        <f t="shared" si="228"/>
        <v>OK</v>
      </c>
      <c r="L501" t="s">
        <v>4075</v>
      </c>
      <c r="M501" t="s">
        <v>71</v>
      </c>
      <c r="N501" t="str">
        <f t="shared" si="219"/>
        <v>Ananya Rao</v>
      </c>
      <c r="O501" t="s">
        <v>40</v>
      </c>
      <c r="P501" t="str">
        <f t="shared" si="243"/>
        <v>Small Business</v>
      </c>
      <c r="Q501" t="s">
        <v>61</v>
      </c>
      <c r="R501" t="str">
        <f t="shared" si="245"/>
        <v>South</v>
      </c>
      <c r="S501" t="str">
        <f t="shared" si="229"/>
        <v>OK</v>
      </c>
      <c r="T501" t="s">
        <v>338</v>
      </c>
      <c r="U501" t="str">
        <f t="shared" si="220"/>
        <v>Tamil Nadu</v>
      </c>
      <c r="V501" t="s">
        <v>339</v>
      </c>
      <c r="W501" t="str">
        <f t="shared" si="221"/>
        <v>Chennai</v>
      </c>
      <c r="X501" t="str">
        <f t="shared" si="222"/>
        <v>Technology</v>
      </c>
      <c r="Y501" t="s">
        <v>85</v>
      </c>
      <c r="Z501" t="s">
        <v>93</v>
      </c>
      <c r="AA501" t="str">
        <f t="shared" si="223"/>
        <v>Copiers</v>
      </c>
      <c r="AB501" t="s">
        <v>4076</v>
      </c>
      <c r="AC501" t="s">
        <v>32</v>
      </c>
      <c r="AD501" t="str">
        <f t="shared" si="244"/>
        <v>Second Class</v>
      </c>
      <c r="AE501" t="str">
        <f t="shared" si="230"/>
        <v>OK</v>
      </c>
      <c r="AF501">
        <v>1</v>
      </c>
      <c r="AG501">
        <v>3693.03</v>
      </c>
      <c r="AH501">
        <v>0.05</v>
      </c>
      <c r="AI501">
        <f t="shared" si="231"/>
        <v>0.05</v>
      </c>
      <c r="AJ501" t="str">
        <f t="shared" si="232"/>
        <v>OK</v>
      </c>
      <c r="AK501">
        <v>3508.38</v>
      </c>
      <c r="AL501">
        <v>2828.06</v>
      </c>
      <c r="AM501">
        <v>680.32</v>
      </c>
      <c r="AN501" t="s">
        <v>199</v>
      </c>
      <c r="AO501" t="str">
        <f t="shared" si="224"/>
        <v>FAILED</v>
      </c>
      <c r="AP501" t="str">
        <f t="shared" si="233"/>
        <v>EXCLUDE_FROM_SALES</v>
      </c>
      <c r="AQ501" t="s">
        <v>124</v>
      </c>
      <c r="AR501" t="str">
        <f t="shared" si="225"/>
        <v>RETURNED</v>
      </c>
      <c r="AS501" t="str">
        <f t="shared" si="234"/>
        <v>RETURNED_ORDER</v>
      </c>
      <c r="AT501">
        <f t="shared" si="235"/>
        <v>3508.3784999999998</v>
      </c>
      <c r="AU501">
        <f t="shared" si="236"/>
        <v>680.31849999999986</v>
      </c>
      <c r="AV501" s="6">
        <f t="shared" si="237"/>
        <v>0.25217632590098249</v>
      </c>
      <c r="AW501" t="str">
        <f t="shared" si="238"/>
        <v>CLEAN</v>
      </c>
      <c r="AX501" s="10" t="str">
        <f t="shared" si="239"/>
        <v>MATCH</v>
      </c>
      <c r="AY501" t="str">
        <f t="shared" si="240"/>
        <v>MATCH</v>
      </c>
    </row>
    <row r="502" spans="1:51">
      <c r="A502" t="s">
        <v>4080</v>
      </c>
      <c r="B502">
        <f t="shared" si="216"/>
        <v>1</v>
      </c>
      <c r="C502" t="s">
        <v>3643</v>
      </c>
      <c r="D502" s="3">
        <v>45328</v>
      </c>
      <c r="E502" t="str">
        <f t="shared" si="217"/>
        <v>2024/02/06</v>
      </c>
      <c r="F502" t="str">
        <f t="shared" si="226"/>
        <v>February</v>
      </c>
      <c r="G502">
        <f t="shared" si="227"/>
        <v>2024</v>
      </c>
      <c r="H502" t="s">
        <v>49</v>
      </c>
      <c r="I502" s="4">
        <v>45451</v>
      </c>
      <c r="J502" s="8">
        <f t="shared" si="218"/>
        <v>123</v>
      </c>
      <c r="K502" s="8" t="str">
        <f t="shared" si="228"/>
        <v>OK</v>
      </c>
      <c r="L502" t="s">
        <v>4081</v>
      </c>
      <c r="M502" t="s">
        <v>82</v>
      </c>
      <c r="N502" t="str">
        <f t="shared" si="219"/>
        <v>Vikram Iyer</v>
      </c>
      <c r="O502" t="s">
        <v>25</v>
      </c>
      <c r="P502" t="str">
        <f t="shared" si="243"/>
        <v>Consumer</v>
      </c>
      <c r="Q502" t="s">
        <v>26</v>
      </c>
      <c r="R502" t="str">
        <f t="shared" si="245"/>
        <v>North</v>
      </c>
      <c r="S502" t="str">
        <f t="shared" si="229"/>
        <v>OK</v>
      </c>
      <c r="T502" t="s">
        <v>505</v>
      </c>
      <c r="U502" t="str">
        <f t="shared" si="220"/>
        <v>Delhi</v>
      </c>
      <c r="V502" t="s">
        <v>506</v>
      </c>
      <c r="W502" t="str">
        <f t="shared" si="221"/>
        <v>New Delhi</v>
      </c>
      <c r="X502" t="str">
        <f t="shared" si="222"/>
        <v>Furniture</v>
      </c>
      <c r="Y502" t="s">
        <v>44</v>
      </c>
      <c r="Z502" t="s">
        <v>45</v>
      </c>
      <c r="AA502" t="str">
        <f t="shared" si="223"/>
        <v>Tables</v>
      </c>
      <c r="AB502" t="s">
        <v>4082</v>
      </c>
      <c r="AC502" t="s">
        <v>55</v>
      </c>
      <c r="AD502" t="str">
        <f t="shared" si="244"/>
        <v>First Class</v>
      </c>
      <c r="AE502" t="str">
        <f t="shared" si="230"/>
        <v>OK</v>
      </c>
      <c r="AF502">
        <v>4</v>
      </c>
      <c r="AG502">
        <v>1536.7</v>
      </c>
      <c r="AH502">
        <v>0.2</v>
      </c>
      <c r="AI502">
        <f t="shared" si="231"/>
        <v>0.2</v>
      </c>
      <c r="AJ502" t="str">
        <f t="shared" si="232"/>
        <v>OK</v>
      </c>
      <c r="AK502">
        <v>4917.4399999999996</v>
      </c>
      <c r="AL502">
        <v>3846.77</v>
      </c>
      <c r="AM502">
        <v>1070.67</v>
      </c>
      <c r="AN502" t="s">
        <v>33</v>
      </c>
      <c r="AO502" t="str">
        <f t="shared" si="224"/>
        <v>PAID</v>
      </c>
      <c r="AP502" t="str">
        <f t="shared" si="233"/>
        <v>OK</v>
      </c>
      <c r="AQ502" t="s">
        <v>34</v>
      </c>
      <c r="AR502" t="str">
        <f t="shared" si="225"/>
        <v>COMPLETED</v>
      </c>
      <c r="AS502" t="str">
        <f t="shared" si="234"/>
        <v>OK</v>
      </c>
      <c r="AT502">
        <f t="shared" si="235"/>
        <v>4917.4400000000005</v>
      </c>
      <c r="AU502">
        <f t="shared" si="236"/>
        <v>1070.6700000000005</v>
      </c>
      <c r="AV502" s="6">
        <f t="shared" si="237"/>
        <v>0.46631326462549627</v>
      </c>
      <c r="AW502" t="str">
        <f t="shared" si="238"/>
        <v>CLEAN</v>
      </c>
      <c r="AX502" s="10" t="str">
        <f t="shared" si="239"/>
        <v>MATCH</v>
      </c>
      <c r="AY502" t="str">
        <f t="shared" si="240"/>
        <v>MATCH</v>
      </c>
    </row>
    <row r="503" spans="1:51">
      <c r="A503" t="s">
        <v>67</v>
      </c>
      <c r="B503">
        <f t="shared" si="216"/>
        <v>1</v>
      </c>
      <c r="C503" t="s">
        <v>68</v>
      </c>
      <c r="D503" s="2">
        <v>45898</v>
      </c>
      <c r="E503" t="str">
        <f t="shared" si="217"/>
        <v>2025/08/29</v>
      </c>
      <c r="F503" t="str">
        <f t="shared" si="226"/>
        <v>August</v>
      </c>
      <c r="G503">
        <f t="shared" si="227"/>
        <v>2025</v>
      </c>
      <c r="H503" t="s">
        <v>69</v>
      </c>
      <c r="I503" s="4">
        <v>45901</v>
      </c>
      <c r="J503" s="8">
        <f t="shared" si="218"/>
        <v>3</v>
      </c>
      <c r="K503" s="8" t="str">
        <f t="shared" si="228"/>
        <v>OK</v>
      </c>
      <c r="L503" t="s">
        <v>70</v>
      </c>
      <c r="M503" t="s">
        <v>71</v>
      </c>
      <c r="N503" t="str">
        <f t="shared" si="219"/>
        <v>Ananya Rao</v>
      </c>
      <c r="O503" t="s">
        <v>40</v>
      </c>
      <c r="P503" t="str">
        <f t="shared" si="243"/>
        <v>Small Business</v>
      </c>
      <c r="Q503" t="s">
        <v>72</v>
      </c>
      <c r="R503" t="str">
        <f t="shared" si="245"/>
        <v>West</v>
      </c>
      <c r="S503" t="str">
        <f t="shared" si="229"/>
        <v>OK</v>
      </c>
      <c r="T503" t="s">
        <v>73</v>
      </c>
      <c r="U503" t="str">
        <f t="shared" si="220"/>
        <v>Maharashtra</v>
      </c>
      <c r="V503" t="s">
        <v>74</v>
      </c>
      <c r="W503" t="str">
        <f t="shared" si="221"/>
        <v>Mumbai</v>
      </c>
      <c r="X503" t="str">
        <f t="shared" si="222"/>
        <v>Furniture</v>
      </c>
      <c r="Y503" t="s">
        <v>44</v>
      </c>
      <c r="Z503" t="s">
        <v>75</v>
      </c>
      <c r="AA503" t="str">
        <f t="shared" si="223"/>
        <v>Chairs</v>
      </c>
      <c r="AB503" t="s">
        <v>76</v>
      </c>
      <c r="AC503" t="s">
        <v>55</v>
      </c>
      <c r="AD503" t="str">
        <f t="shared" si="244"/>
        <v>First Class</v>
      </c>
      <c r="AE503" t="str">
        <f t="shared" si="230"/>
        <v>OK</v>
      </c>
      <c r="AF503">
        <v>7</v>
      </c>
      <c r="AG503">
        <v>2973.76</v>
      </c>
      <c r="AH503">
        <v>0</v>
      </c>
      <c r="AI503">
        <f t="shared" si="231"/>
        <v>0</v>
      </c>
      <c r="AJ503" t="str">
        <f t="shared" si="232"/>
        <v>OK</v>
      </c>
      <c r="AK503">
        <v>20816.32</v>
      </c>
      <c r="AL503">
        <v>17705.37</v>
      </c>
      <c r="AM503">
        <v>3110.95</v>
      </c>
      <c r="AN503" t="s">
        <v>33</v>
      </c>
      <c r="AO503" t="str">
        <f t="shared" si="224"/>
        <v>PAID</v>
      </c>
      <c r="AP503" t="str">
        <f t="shared" si="233"/>
        <v>OK</v>
      </c>
      <c r="AQ503" t="s">
        <v>77</v>
      </c>
      <c r="AR503" t="str">
        <f t="shared" si="225"/>
        <v>CANCELLED</v>
      </c>
      <c r="AS503" t="str">
        <f t="shared" si="234"/>
        <v>EXCLUDE_FROM_SALES</v>
      </c>
      <c r="AT503">
        <f t="shared" si="235"/>
        <v>20816.32</v>
      </c>
      <c r="AU503">
        <f t="shared" si="236"/>
        <v>3110.9500000000007</v>
      </c>
      <c r="AV503" s="6">
        <f t="shared" si="237"/>
        <v>6.8323027317028176E-2</v>
      </c>
      <c r="AW503" t="str">
        <f t="shared" si="238"/>
        <v>CLEAN</v>
      </c>
      <c r="AX503" s="10" t="str">
        <f t="shared" si="239"/>
        <v>MATCH</v>
      </c>
      <c r="AY503" t="str">
        <f t="shared" si="240"/>
        <v>MATCH</v>
      </c>
    </row>
    <row r="504" spans="1:51">
      <c r="A504" t="s">
        <v>88</v>
      </c>
      <c r="B504">
        <f t="shared" si="216"/>
        <v>2</v>
      </c>
      <c r="C504" t="s">
        <v>89</v>
      </c>
      <c r="D504" s="3">
        <v>45934</v>
      </c>
      <c r="E504" t="str">
        <f t="shared" si="217"/>
        <v>2025/10/04</v>
      </c>
      <c r="F504" t="str">
        <f t="shared" si="226"/>
        <v>October</v>
      </c>
      <c r="G504">
        <f t="shared" si="227"/>
        <v>2025</v>
      </c>
      <c r="H504" t="s">
        <v>90</v>
      </c>
      <c r="I504" s="4">
        <v>45763</v>
      </c>
      <c r="J504" s="8">
        <f t="shared" si="218"/>
        <v>-171</v>
      </c>
      <c r="K504" s="8" t="str">
        <f t="shared" si="228"/>
        <v>INVAILD_SHIPPING</v>
      </c>
      <c r="L504" t="s">
        <v>91</v>
      </c>
      <c r="M504" t="s">
        <v>92</v>
      </c>
      <c r="N504" t="str">
        <f t="shared" si="219"/>
        <v>Neha Gupta</v>
      </c>
      <c r="O504" t="s">
        <v>25</v>
      </c>
      <c r="P504" t="str">
        <f t="shared" si="243"/>
        <v>Consumer</v>
      </c>
      <c r="Q504" t="s">
        <v>41</v>
      </c>
      <c r="R504" t="str">
        <f t="shared" si="245"/>
        <v>East</v>
      </c>
      <c r="S504" t="str">
        <f t="shared" si="229"/>
        <v>OK</v>
      </c>
      <c r="T504" t="s">
        <v>42</v>
      </c>
      <c r="U504" t="str">
        <f t="shared" si="220"/>
        <v>Odisha</v>
      </c>
      <c r="V504" t="s">
        <v>43</v>
      </c>
      <c r="W504" t="str">
        <f t="shared" si="221"/>
        <v>Bhubaneswar</v>
      </c>
      <c r="X504" t="str">
        <f t="shared" si="222"/>
        <v>Technology</v>
      </c>
      <c r="Y504" t="s">
        <v>85</v>
      </c>
      <c r="Z504" t="s">
        <v>93</v>
      </c>
      <c r="AA504" t="str">
        <f t="shared" si="223"/>
        <v>Copiers</v>
      </c>
      <c r="AB504" t="s">
        <v>94</v>
      </c>
      <c r="AC504" t="s">
        <v>66</v>
      </c>
      <c r="AD504" t="str">
        <f t="shared" si="244"/>
        <v>Standard Class</v>
      </c>
      <c r="AE504" t="str">
        <f t="shared" si="230"/>
        <v>OK</v>
      </c>
      <c r="AF504">
        <v>4</v>
      </c>
      <c r="AG504">
        <v>1719.87</v>
      </c>
      <c r="AH504">
        <v>0.15</v>
      </c>
      <c r="AI504">
        <f t="shared" si="231"/>
        <v>0.15</v>
      </c>
      <c r="AJ504" t="str">
        <f t="shared" si="232"/>
        <v>OK</v>
      </c>
      <c r="AK504">
        <v>5847.56</v>
      </c>
      <c r="AL504">
        <v>4727.25</v>
      </c>
      <c r="AM504">
        <v>1120.31</v>
      </c>
      <c r="AN504" t="s">
        <v>33</v>
      </c>
      <c r="AO504" t="str">
        <f t="shared" si="224"/>
        <v>PAID</v>
      </c>
      <c r="AP504" t="str">
        <f t="shared" si="233"/>
        <v>OK</v>
      </c>
      <c r="AQ504" t="s">
        <v>34</v>
      </c>
      <c r="AR504" t="str">
        <f t="shared" si="225"/>
        <v>COMPLETED</v>
      </c>
      <c r="AS504" t="str">
        <f t="shared" si="234"/>
        <v>OK</v>
      </c>
      <c r="AT504">
        <f t="shared" si="235"/>
        <v>5847.5579999999991</v>
      </c>
      <c r="AU504">
        <f t="shared" si="236"/>
        <v>1120.3079999999991</v>
      </c>
      <c r="AV504" s="6">
        <f t="shared" si="237"/>
        <v>0.10404514157875816</v>
      </c>
      <c r="AW504" t="str">
        <f t="shared" si="238"/>
        <v>CLEAN</v>
      </c>
      <c r="AX504" s="10" t="str">
        <f t="shared" si="239"/>
        <v>MATCH</v>
      </c>
      <c r="AY504" t="str">
        <f t="shared" si="240"/>
        <v>MATCH</v>
      </c>
    </row>
    <row r="505" spans="1:51">
      <c r="A505" t="s">
        <v>88</v>
      </c>
      <c r="B505">
        <f t="shared" si="216"/>
        <v>2</v>
      </c>
      <c r="C505" t="s">
        <v>89</v>
      </c>
      <c r="D505" s="3">
        <v>45934</v>
      </c>
      <c r="E505" t="str">
        <f t="shared" si="217"/>
        <v>2025/10/04</v>
      </c>
      <c r="F505" t="str">
        <f t="shared" si="226"/>
        <v>October</v>
      </c>
      <c r="G505">
        <f t="shared" si="227"/>
        <v>2025</v>
      </c>
      <c r="H505" t="s">
        <v>90</v>
      </c>
      <c r="I505" s="4">
        <v>45763</v>
      </c>
      <c r="J505" s="8">
        <f t="shared" si="218"/>
        <v>-171</v>
      </c>
      <c r="K505" s="8" t="str">
        <f t="shared" si="228"/>
        <v>INVAILD_SHIPPING</v>
      </c>
      <c r="L505" t="s">
        <v>91</v>
      </c>
      <c r="M505" t="s">
        <v>92</v>
      </c>
      <c r="N505" t="str">
        <f t="shared" si="219"/>
        <v>Neha Gupta</v>
      </c>
      <c r="O505" t="s">
        <v>25</v>
      </c>
      <c r="P505" t="str">
        <f t="shared" si="243"/>
        <v>Consumer</v>
      </c>
      <c r="Q505" t="s">
        <v>41</v>
      </c>
      <c r="R505" t="str">
        <f t="shared" si="245"/>
        <v>East</v>
      </c>
      <c r="S505" t="str">
        <f t="shared" si="229"/>
        <v>OK</v>
      </c>
      <c r="T505" t="s">
        <v>42</v>
      </c>
      <c r="U505" t="str">
        <f t="shared" si="220"/>
        <v>Odisha</v>
      </c>
      <c r="V505" t="s">
        <v>43</v>
      </c>
      <c r="W505" t="str">
        <f t="shared" si="221"/>
        <v>Bhubaneswar</v>
      </c>
      <c r="X505" t="str">
        <f t="shared" si="222"/>
        <v>Technology</v>
      </c>
      <c r="Y505" t="s">
        <v>85</v>
      </c>
      <c r="Z505" t="s">
        <v>93</v>
      </c>
      <c r="AA505" t="str">
        <f t="shared" si="223"/>
        <v>Copiers</v>
      </c>
      <c r="AB505" t="s">
        <v>94</v>
      </c>
      <c r="AC505" t="s">
        <v>66</v>
      </c>
      <c r="AD505" t="str">
        <f t="shared" si="244"/>
        <v>Standard Class</v>
      </c>
      <c r="AE505" t="str">
        <f t="shared" si="230"/>
        <v>OK</v>
      </c>
      <c r="AF505">
        <v>4</v>
      </c>
      <c r="AG505">
        <v>1719.87</v>
      </c>
      <c r="AH505">
        <v>0.15</v>
      </c>
      <c r="AI505">
        <f t="shared" si="231"/>
        <v>0.15</v>
      </c>
      <c r="AJ505" t="str">
        <f t="shared" si="232"/>
        <v>OK</v>
      </c>
      <c r="AK505">
        <v>5847.56</v>
      </c>
      <c r="AL505">
        <v>4727.25</v>
      </c>
      <c r="AM505">
        <v>1120.31</v>
      </c>
      <c r="AN505" t="s">
        <v>33</v>
      </c>
      <c r="AO505" t="str">
        <f t="shared" si="224"/>
        <v>PAID</v>
      </c>
      <c r="AP505" t="str">
        <f t="shared" si="233"/>
        <v>OK</v>
      </c>
      <c r="AQ505" t="s">
        <v>34</v>
      </c>
      <c r="AR505" t="str">
        <f t="shared" si="225"/>
        <v>COMPLETED</v>
      </c>
      <c r="AS505" t="str">
        <f t="shared" si="234"/>
        <v>OK</v>
      </c>
      <c r="AT505">
        <f t="shared" si="235"/>
        <v>5847.5579999999991</v>
      </c>
      <c r="AU505">
        <f t="shared" si="236"/>
        <v>1120.3079999999991</v>
      </c>
      <c r="AV505" s="6">
        <f t="shared" si="237"/>
        <v>0.49747262019461808</v>
      </c>
      <c r="AW505" t="str">
        <f t="shared" si="238"/>
        <v>CLEAN</v>
      </c>
      <c r="AX505" s="10" t="str">
        <f t="shared" si="239"/>
        <v>MATCH</v>
      </c>
      <c r="AY505" t="str">
        <f t="shared" si="240"/>
        <v>MATCH</v>
      </c>
    </row>
    <row r="506" spans="1:51">
      <c r="A506" t="s">
        <v>95</v>
      </c>
      <c r="B506">
        <f t="shared" si="216"/>
        <v>1</v>
      </c>
      <c r="C506" t="s">
        <v>96</v>
      </c>
      <c r="D506" s="3">
        <v>45711</v>
      </c>
      <c r="E506" t="str">
        <f t="shared" si="217"/>
        <v>2025/02/23</v>
      </c>
      <c r="F506" t="str">
        <f t="shared" si="226"/>
        <v>February</v>
      </c>
      <c r="G506">
        <f t="shared" si="227"/>
        <v>2025</v>
      </c>
      <c r="H506" t="s">
        <v>97</v>
      </c>
      <c r="I506" s="4">
        <v>45714</v>
      </c>
      <c r="J506" s="8">
        <f t="shared" si="218"/>
        <v>3</v>
      </c>
      <c r="K506" s="8" t="str">
        <f t="shared" si="228"/>
        <v>OK</v>
      </c>
      <c r="L506" t="s">
        <v>98</v>
      </c>
      <c r="M506" t="s">
        <v>52</v>
      </c>
      <c r="N506" t="str">
        <f t="shared" si="219"/>
        <v>Isha Nair</v>
      </c>
      <c r="O506" t="s">
        <v>40</v>
      </c>
      <c r="P506" t="str">
        <f t="shared" si="243"/>
        <v>Small Business</v>
      </c>
      <c r="Q506" t="s">
        <v>61</v>
      </c>
      <c r="R506" t="str">
        <f t="shared" si="245"/>
        <v>South</v>
      </c>
      <c r="S506" t="str">
        <f t="shared" si="229"/>
        <v>OK</v>
      </c>
      <c r="T506" t="s">
        <v>99</v>
      </c>
      <c r="U506" t="str">
        <f t="shared" si="220"/>
        <v>Andhra Pradesh</v>
      </c>
      <c r="V506" t="s">
        <v>100</v>
      </c>
      <c r="W506" t="str">
        <f t="shared" si="221"/>
        <v>Vijayawada</v>
      </c>
      <c r="X506" t="str">
        <f t="shared" si="222"/>
        <v>Office Supplies</v>
      </c>
      <c r="Y506" t="s">
        <v>29</v>
      </c>
      <c r="Z506" t="s">
        <v>53</v>
      </c>
      <c r="AA506" t="str">
        <f t="shared" si="223"/>
        <v>Art</v>
      </c>
      <c r="AB506" t="s">
        <v>101</v>
      </c>
      <c r="AC506" t="s">
        <v>55</v>
      </c>
      <c r="AD506" t="str">
        <f t="shared" si="244"/>
        <v>First Class</v>
      </c>
      <c r="AE506" t="str">
        <f t="shared" si="230"/>
        <v>OK</v>
      </c>
      <c r="AF506">
        <v>1</v>
      </c>
      <c r="AG506">
        <v>2980.71</v>
      </c>
      <c r="AH506">
        <v>0</v>
      </c>
      <c r="AI506">
        <f t="shared" si="231"/>
        <v>0</v>
      </c>
      <c r="AJ506" t="str">
        <f t="shared" si="232"/>
        <v>OK</v>
      </c>
      <c r="AK506">
        <v>2980.71</v>
      </c>
      <c r="AL506">
        <v>2357.2199999999998</v>
      </c>
      <c r="AM506">
        <v>623.49</v>
      </c>
      <c r="AN506" t="s">
        <v>33</v>
      </c>
      <c r="AO506" t="str">
        <f t="shared" si="224"/>
        <v>PAID</v>
      </c>
      <c r="AP506" t="str">
        <f t="shared" si="233"/>
        <v>OK</v>
      </c>
      <c r="AQ506" t="s">
        <v>34</v>
      </c>
      <c r="AR506" t="str">
        <f t="shared" si="225"/>
        <v>COMPLETED</v>
      </c>
      <c r="AS506" t="str">
        <f t="shared" si="234"/>
        <v>OK</v>
      </c>
      <c r="AT506">
        <f t="shared" si="235"/>
        <v>2980.71</v>
      </c>
      <c r="AU506">
        <f t="shared" si="236"/>
        <v>623.49000000000024</v>
      </c>
      <c r="AV506" s="6">
        <f t="shared" si="237"/>
        <v>0.81248058348514252</v>
      </c>
      <c r="AW506" t="str">
        <f t="shared" si="238"/>
        <v>CLEAN</v>
      </c>
      <c r="AX506" s="10" t="str">
        <f t="shared" si="239"/>
        <v>MATCH</v>
      </c>
      <c r="AY506" t="str">
        <f t="shared" si="240"/>
        <v>MATCH</v>
      </c>
    </row>
    <row r="507" spans="1:51">
      <c r="A507" t="s">
        <v>110</v>
      </c>
      <c r="B507">
        <f t="shared" si="216"/>
        <v>1</v>
      </c>
      <c r="C507" t="s">
        <v>111</v>
      </c>
      <c r="D507" s="3">
        <v>45907</v>
      </c>
      <c r="E507" t="str">
        <f t="shared" si="217"/>
        <v>2025/09/07</v>
      </c>
      <c r="F507" t="str">
        <f t="shared" si="226"/>
        <v>September</v>
      </c>
      <c r="G507">
        <f t="shared" si="227"/>
        <v>2025</v>
      </c>
      <c r="H507" t="s">
        <v>112</v>
      </c>
      <c r="I507" s="4">
        <v>45912</v>
      </c>
      <c r="J507" s="8">
        <f t="shared" si="218"/>
        <v>5</v>
      </c>
      <c r="K507" s="8" t="str">
        <f t="shared" si="228"/>
        <v>OK</v>
      </c>
      <c r="L507" t="s">
        <v>113</v>
      </c>
      <c r="M507" t="s">
        <v>39</v>
      </c>
      <c r="N507" t="str">
        <f t="shared" si="219"/>
        <v>Mira Das</v>
      </c>
      <c r="O507" t="s">
        <v>114</v>
      </c>
      <c r="P507" t="str">
        <f t="shared" si="243"/>
        <v>Home Office</v>
      </c>
      <c r="Q507" t="s">
        <v>61</v>
      </c>
      <c r="R507" t="str">
        <f t="shared" si="245"/>
        <v>South</v>
      </c>
      <c r="S507" t="str">
        <f t="shared" si="229"/>
        <v>OK</v>
      </c>
      <c r="T507" t="s">
        <v>62</v>
      </c>
      <c r="U507" t="str">
        <f t="shared" si="220"/>
        <v>Telangana</v>
      </c>
      <c r="V507" t="s">
        <v>63</v>
      </c>
      <c r="W507" t="str">
        <f t="shared" si="221"/>
        <v>Hyderabad</v>
      </c>
      <c r="X507" t="str">
        <f t="shared" si="222"/>
        <v>Office Supplies</v>
      </c>
      <c r="Y507" t="s">
        <v>29</v>
      </c>
      <c r="Z507" t="s">
        <v>30</v>
      </c>
      <c r="AA507" t="str">
        <f t="shared" si="223"/>
        <v>Paper</v>
      </c>
      <c r="AB507" t="s">
        <v>115</v>
      </c>
      <c r="AC507" t="s">
        <v>32</v>
      </c>
      <c r="AD507" t="str">
        <f t="shared" si="244"/>
        <v>Second Class</v>
      </c>
      <c r="AE507" t="str">
        <f t="shared" si="230"/>
        <v>OK</v>
      </c>
      <c r="AF507">
        <v>9</v>
      </c>
      <c r="AG507">
        <v>852.04</v>
      </c>
      <c r="AH507">
        <v>0.2</v>
      </c>
      <c r="AI507">
        <f t="shared" si="231"/>
        <v>0.2</v>
      </c>
      <c r="AJ507" t="str">
        <f t="shared" si="232"/>
        <v>OK</v>
      </c>
      <c r="AK507">
        <v>6134.69</v>
      </c>
      <c r="AL507">
        <v>3800.19</v>
      </c>
      <c r="AM507">
        <v>2334.5</v>
      </c>
      <c r="AN507" t="s">
        <v>33</v>
      </c>
      <c r="AO507" t="str">
        <f t="shared" si="224"/>
        <v>PAID</v>
      </c>
      <c r="AP507" t="str">
        <f t="shared" si="233"/>
        <v>OK</v>
      </c>
      <c r="AQ507" t="s">
        <v>34</v>
      </c>
      <c r="AR507" t="str">
        <f t="shared" si="225"/>
        <v>COMPLETED</v>
      </c>
      <c r="AS507" t="str">
        <f t="shared" si="234"/>
        <v>OK</v>
      </c>
      <c r="AT507">
        <f t="shared" si="235"/>
        <v>6134.6880000000001</v>
      </c>
      <c r="AU507">
        <f t="shared" si="236"/>
        <v>2334.498</v>
      </c>
      <c r="AV507" s="6">
        <f t="shared" si="237"/>
        <v>0.86304975900974934</v>
      </c>
      <c r="AW507" t="str">
        <f t="shared" si="238"/>
        <v>CLEAN</v>
      </c>
      <c r="AX507" s="10" t="str">
        <f t="shared" si="239"/>
        <v>MATCH</v>
      </c>
      <c r="AY507" t="str">
        <f t="shared" si="240"/>
        <v>MATCH</v>
      </c>
    </row>
    <row r="508" spans="1:51">
      <c r="A508" t="s">
        <v>116</v>
      </c>
      <c r="B508">
        <f t="shared" si="216"/>
        <v>1</v>
      </c>
      <c r="C508" t="s">
        <v>117</v>
      </c>
      <c r="D508" s="2">
        <v>45797</v>
      </c>
      <c r="E508" t="str">
        <f t="shared" si="217"/>
        <v>2025/05/20</v>
      </c>
      <c r="F508" t="str">
        <f t="shared" si="226"/>
        <v>May</v>
      </c>
      <c r="G508">
        <f t="shared" si="227"/>
        <v>2025</v>
      </c>
      <c r="H508" t="s">
        <v>118</v>
      </c>
      <c r="I508" s="4">
        <v>45797</v>
      </c>
      <c r="J508" s="8">
        <f t="shared" si="218"/>
        <v>0</v>
      </c>
      <c r="K508" s="8" t="str">
        <f t="shared" si="228"/>
        <v>OK</v>
      </c>
      <c r="L508" t="s">
        <v>119</v>
      </c>
      <c r="M508" t="s">
        <v>71</v>
      </c>
      <c r="N508" t="str">
        <f t="shared" si="219"/>
        <v>Ananya Rao</v>
      </c>
      <c r="O508" t="s">
        <v>107</v>
      </c>
      <c r="P508" t="str">
        <f t="shared" si="243"/>
        <v>Corporate</v>
      </c>
      <c r="Q508" t="s">
        <v>41</v>
      </c>
      <c r="R508" t="str">
        <f t="shared" si="245"/>
        <v>East</v>
      </c>
      <c r="S508" t="str">
        <f t="shared" si="229"/>
        <v>OK</v>
      </c>
      <c r="T508" t="s">
        <v>120</v>
      </c>
      <c r="U508" t="str">
        <f t="shared" si="220"/>
        <v>West Bengal</v>
      </c>
      <c r="V508" t="s">
        <v>121</v>
      </c>
      <c r="W508" t="str">
        <f t="shared" si="221"/>
        <v>Kolkata</v>
      </c>
      <c r="X508" t="str">
        <f t="shared" si="222"/>
        <v>Office Supplies</v>
      </c>
      <c r="Y508" t="s">
        <v>29</v>
      </c>
      <c r="Z508" t="s">
        <v>108</v>
      </c>
      <c r="AA508" t="str">
        <f t="shared" si="223"/>
        <v>Labels</v>
      </c>
      <c r="AB508" t="s">
        <v>122</v>
      </c>
      <c r="AC508" t="s">
        <v>32</v>
      </c>
      <c r="AD508" t="str">
        <f t="shared" si="244"/>
        <v>Second Class</v>
      </c>
      <c r="AE508" t="str">
        <f t="shared" si="230"/>
        <v>OK</v>
      </c>
      <c r="AF508">
        <v>3</v>
      </c>
      <c r="AG508">
        <v>3534.83</v>
      </c>
      <c r="AH508">
        <v>0.05</v>
      </c>
      <c r="AI508">
        <f t="shared" si="231"/>
        <v>0.05</v>
      </c>
      <c r="AJ508" t="str">
        <f t="shared" si="232"/>
        <v>OK</v>
      </c>
      <c r="AK508">
        <v>10074.27</v>
      </c>
      <c r="AL508">
        <v>6048.27</v>
      </c>
      <c r="AM508">
        <v>4026</v>
      </c>
      <c r="AN508" t="s">
        <v>123</v>
      </c>
      <c r="AO508" t="str">
        <f t="shared" si="224"/>
        <v>REFUNDED</v>
      </c>
      <c r="AP508" t="str">
        <f t="shared" si="233"/>
        <v>REFUNDED_PAYMENT</v>
      </c>
      <c r="AQ508" t="s">
        <v>124</v>
      </c>
      <c r="AR508" t="str">
        <f t="shared" si="225"/>
        <v>RETURNED</v>
      </c>
      <c r="AS508" t="str">
        <f t="shared" si="234"/>
        <v>RETURNED_ORDER</v>
      </c>
      <c r="AT508">
        <f t="shared" si="235"/>
        <v>10074.2655</v>
      </c>
      <c r="AU508">
        <f t="shared" si="236"/>
        <v>4025.9954999999991</v>
      </c>
      <c r="AV508" s="6">
        <f t="shared" si="237"/>
        <v>4.6631588178810655E-2</v>
      </c>
      <c r="AW508" t="str">
        <f t="shared" si="238"/>
        <v>CLEAN</v>
      </c>
      <c r="AX508" s="10" t="str">
        <f t="shared" si="239"/>
        <v>MATCH</v>
      </c>
      <c r="AY508" t="str">
        <f t="shared" si="240"/>
        <v>MATCH</v>
      </c>
    </row>
    <row r="509" spans="1:51">
      <c r="A509" t="s">
        <v>137</v>
      </c>
      <c r="B509">
        <f t="shared" si="216"/>
        <v>1</v>
      </c>
      <c r="C509" t="s">
        <v>138</v>
      </c>
      <c r="D509" s="3">
        <v>46001</v>
      </c>
      <c r="E509" t="str">
        <f t="shared" si="217"/>
        <v>2025/12/10</v>
      </c>
      <c r="F509" t="str">
        <f t="shared" si="226"/>
        <v>December</v>
      </c>
      <c r="G509">
        <f t="shared" si="227"/>
        <v>2025</v>
      </c>
      <c r="H509" t="s">
        <v>139</v>
      </c>
      <c r="I509" s="4">
        <v>45946</v>
      </c>
      <c r="J509" s="8">
        <f t="shared" si="218"/>
        <v>-55</v>
      </c>
      <c r="K509" s="8" t="str">
        <f t="shared" si="228"/>
        <v>INVAILD_SHIPPING</v>
      </c>
      <c r="L509" t="s">
        <v>140</v>
      </c>
      <c r="M509" t="s">
        <v>141</v>
      </c>
      <c r="N509" t="str">
        <f t="shared" si="219"/>
        <v>Priya Menon</v>
      </c>
      <c r="O509" t="s">
        <v>40</v>
      </c>
      <c r="P509" t="str">
        <f t="shared" si="243"/>
        <v>Small Business</v>
      </c>
      <c r="Q509" t="s">
        <v>72</v>
      </c>
      <c r="R509" t="str">
        <f t="shared" si="245"/>
        <v>West</v>
      </c>
      <c r="S509" t="str">
        <f t="shared" si="229"/>
        <v>OK</v>
      </c>
      <c r="T509" t="s">
        <v>73</v>
      </c>
      <c r="U509" t="str">
        <f t="shared" si="220"/>
        <v>Maharashtra</v>
      </c>
      <c r="V509" t="s">
        <v>74</v>
      </c>
      <c r="W509" t="str">
        <f t="shared" si="221"/>
        <v>Mumbai</v>
      </c>
      <c r="X509" t="str">
        <f t="shared" si="222"/>
        <v>Office Supplies</v>
      </c>
      <c r="Y509" t="s">
        <v>29</v>
      </c>
      <c r="Z509" t="s">
        <v>53</v>
      </c>
      <c r="AA509" t="str">
        <f t="shared" si="223"/>
        <v>Art</v>
      </c>
      <c r="AB509" t="s">
        <v>142</v>
      </c>
      <c r="AC509" t="s">
        <v>32</v>
      </c>
      <c r="AD509" t="str">
        <f t="shared" si="244"/>
        <v>Second Class</v>
      </c>
      <c r="AE509" t="str">
        <f t="shared" si="230"/>
        <v>OK</v>
      </c>
      <c r="AF509">
        <v>7</v>
      </c>
      <c r="AG509">
        <v>3964.72</v>
      </c>
      <c r="AH509">
        <v>0.05</v>
      </c>
      <c r="AI509">
        <f t="shared" si="231"/>
        <v>0.05</v>
      </c>
      <c r="AJ509" t="str">
        <f t="shared" si="232"/>
        <v>OK</v>
      </c>
      <c r="AK509">
        <v>26365.39</v>
      </c>
      <c r="AL509">
        <v>22306.240000000002</v>
      </c>
      <c r="AM509">
        <v>4059.15</v>
      </c>
      <c r="AN509" t="s">
        <v>33</v>
      </c>
      <c r="AO509" t="str">
        <f t="shared" si="224"/>
        <v>PAID</v>
      </c>
      <c r="AP509" t="str">
        <f t="shared" si="233"/>
        <v>OK</v>
      </c>
      <c r="AQ509" t="s">
        <v>34</v>
      </c>
      <c r="AR509" t="str">
        <f t="shared" si="225"/>
        <v>COMPLETED</v>
      </c>
      <c r="AS509" t="str">
        <f t="shared" si="234"/>
        <v>OK</v>
      </c>
      <c r="AT509">
        <f t="shared" si="235"/>
        <v>26365.387999999995</v>
      </c>
      <c r="AU509">
        <f t="shared" si="236"/>
        <v>4059.1479999999938</v>
      </c>
      <c r="AV509" s="6">
        <f t="shared" si="237"/>
        <v>0.17068468706017151</v>
      </c>
      <c r="AW509" t="str">
        <f t="shared" si="238"/>
        <v>CLEAN</v>
      </c>
      <c r="AX509" s="10" t="str">
        <f t="shared" si="239"/>
        <v>MATCH</v>
      </c>
      <c r="AY509" t="str">
        <f t="shared" si="240"/>
        <v>MATCH</v>
      </c>
    </row>
    <row r="510" spans="1:51">
      <c r="A510" t="s">
        <v>169</v>
      </c>
      <c r="B510">
        <f t="shared" si="216"/>
        <v>1</v>
      </c>
      <c r="C510" t="s">
        <v>170</v>
      </c>
      <c r="D510" s="3">
        <v>45853</v>
      </c>
      <c r="E510" t="str">
        <f t="shared" si="217"/>
        <v>2025/07/15</v>
      </c>
      <c r="F510" t="str">
        <f t="shared" si="226"/>
        <v>July</v>
      </c>
      <c r="G510">
        <f t="shared" si="227"/>
        <v>2025</v>
      </c>
      <c r="H510" t="s">
        <v>171</v>
      </c>
      <c r="I510" s="4">
        <v>45855</v>
      </c>
      <c r="J510" s="8">
        <f t="shared" si="218"/>
        <v>2</v>
      </c>
      <c r="K510" s="8" t="str">
        <f t="shared" si="228"/>
        <v>OK</v>
      </c>
      <c r="L510" t="s">
        <v>172</v>
      </c>
      <c r="M510" t="s">
        <v>161</v>
      </c>
      <c r="N510" t="str">
        <f t="shared" si="219"/>
        <v>Aarav Sharma</v>
      </c>
      <c r="O510" t="s">
        <v>114</v>
      </c>
      <c r="P510" t="str">
        <f t="shared" si="243"/>
        <v>Home Office</v>
      </c>
      <c r="Q510" t="s">
        <v>26</v>
      </c>
      <c r="R510" t="str">
        <f t="shared" si="245"/>
        <v>North</v>
      </c>
      <c r="S510" t="str">
        <f t="shared" si="229"/>
        <v>OK</v>
      </c>
      <c r="T510" t="s">
        <v>173</v>
      </c>
      <c r="U510" t="str">
        <f t="shared" si="220"/>
        <v>Uttar Pradesh</v>
      </c>
      <c r="V510" t="s">
        <v>174</v>
      </c>
      <c r="W510" t="str">
        <f t="shared" si="221"/>
        <v>Noida</v>
      </c>
      <c r="X510" t="str">
        <f t="shared" si="222"/>
        <v>Technology</v>
      </c>
      <c r="Y510" t="s">
        <v>85</v>
      </c>
      <c r="Z510" t="s">
        <v>93</v>
      </c>
      <c r="AA510" t="str">
        <f t="shared" si="223"/>
        <v>Copiers</v>
      </c>
      <c r="AB510" t="s">
        <v>175</v>
      </c>
      <c r="AC510" t="s">
        <v>55</v>
      </c>
      <c r="AD510" t="str">
        <f t="shared" si="244"/>
        <v>First Class</v>
      </c>
      <c r="AE510" t="str">
        <f t="shared" si="230"/>
        <v>OK</v>
      </c>
      <c r="AF510">
        <v>2</v>
      </c>
      <c r="AG510">
        <v>1997.99</v>
      </c>
      <c r="AH510">
        <v>0</v>
      </c>
      <c r="AI510">
        <f t="shared" si="231"/>
        <v>0</v>
      </c>
      <c r="AJ510" t="str">
        <f t="shared" si="232"/>
        <v>OK</v>
      </c>
      <c r="AK510">
        <v>3995.98</v>
      </c>
      <c r="AL510">
        <v>2633.2</v>
      </c>
      <c r="AM510">
        <v>1362.78</v>
      </c>
      <c r="AN510" t="s">
        <v>123</v>
      </c>
      <c r="AO510" t="str">
        <f t="shared" si="224"/>
        <v>REFUNDED</v>
      </c>
      <c r="AP510" t="str">
        <f t="shared" si="233"/>
        <v>REFUNDED_PAYMENT</v>
      </c>
      <c r="AQ510" t="s">
        <v>77</v>
      </c>
      <c r="AR510" t="str">
        <f t="shared" si="225"/>
        <v>CANCELLED</v>
      </c>
      <c r="AS510" t="str">
        <f t="shared" si="234"/>
        <v>EXCLUDE_FROM_SALES</v>
      </c>
      <c r="AT510">
        <f t="shared" si="235"/>
        <v>3995.98</v>
      </c>
      <c r="AU510">
        <f t="shared" si="236"/>
        <v>1362.7800000000002</v>
      </c>
      <c r="AV510" s="6">
        <f t="shared" si="237"/>
        <v>0.68732826490623078</v>
      </c>
      <c r="AW510" t="str">
        <f t="shared" si="238"/>
        <v>CLEAN</v>
      </c>
      <c r="AX510" s="10" t="str">
        <f t="shared" si="239"/>
        <v>MATCH</v>
      </c>
      <c r="AY510" t="str">
        <f t="shared" si="240"/>
        <v>MATCH</v>
      </c>
    </row>
    <row r="511" spans="1:51">
      <c r="A511" t="s">
        <v>181</v>
      </c>
      <c r="B511">
        <f t="shared" si="216"/>
        <v>1</v>
      </c>
      <c r="C511" t="s">
        <v>182</v>
      </c>
      <c r="D511" s="3">
        <v>45678</v>
      </c>
      <c r="E511" t="str">
        <f t="shared" si="217"/>
        <v>2025/01/21</v>
      </c>
      <c r="F511" t="str">
        <f t="shared" si="226"/>
        <v>January</v>
      </c>
      <c r="G511">
        <f t="shared" si="227"/>
        <v>2025</v>
      </c>
      <c r="H511" t="s">
        <v>183</v>
      </c>
      <c r="I511" s="4">
        <v>45680</v>
      </c>
      <c r="J511" s="8">
        <f t="shared" si="218"/>
        <v>2</v>
      </c>
      <c r="K511" s="8" t="str">
        <f t="shared" si="228"/>
        <v>OK</v>
      </c>
      <c r="L511" t="s">
        <v>184</v>
      </c>
      <c r="M511" t="s">
        <v>106</v>
      </c>
      <c r="N511" t="str">
        <f t="shared" si="219"/>
        <v>Aditi Sen</v>
      </c>
      <c r="O511" t="s">
        <v>114</v>
      </c>
      <c r="P511" t="str">
        <f t="shared" si="243"/>
        <v>Home Office</v>
      </c>
      <c r="Q511" t="s">
        <v>41</v>
      </c>
      <c r="R511" t="str">
        <f t="shared" si="245"/>
        <v>East</v>
      </c>
      <c r="S511" t="str">
        <f t="shared" si="229"/>
        <v>OK</v>
      </c>
      <c r="T511" t="s">
        <v>185</v>
      </c>
      <c r="U511" t="str">
        <f t="shared" si="220"/>
        <v>Bihar</v>
      </c>
      <c r="V511" t="s">
        <v>186</v>
      </c>
      <c r="W511" t="str">
        <f t="shared" si="221"/>
        <v>Patna</v>
      </c>
      <c r="X511" t="str">
        <f t="shared" si="222"/>
        <v>Technology</v>
      </c>
      <c r="Y511" t="s">
        <v>85</v>
      </c>
      <c r="Z511" t="s">
        <v>93</v>
      </c>
      <c r="AA511" t="str">
        <f t="shared" si="223"/>
        <v>Copiers</v>
      </c>
      <c r="AB511" t="s">
        <v>187</v>
      </c>
      <c r="AC511" t="s">
        <v>55</v>
      </c>
      <c r="AD511" t="str">
        <f t="shared" si="244"/>
        <v>First Class</v>
      </c>
      <c r="AE511" t="str">
        <f t="shared" si="230"/>
        <v>OK</v>
      </c>
      <c r="AF511">
        <v>5</v>
      </c>
      <c r="AG511">
        <v>4373.0600000000004</v>
      </c>
      <c r="AH511">
        <v>0.25</v>
      </c>
      <c r="AI511">
        <f t="shared" si="231"/>
        <v>0.25</v>
      </c>
      <c r="AJ511" t="str">
        <f t="shared" si="232"/>
        <v>OK</v>
      </c>
      <c r="AK511">
        <v>16398.98</v>
      </c>
      <c r="AL511">
        <v>9556.52</v>
      </c>
      <c r="AM511">
        <v>6842.46</v>
      </c>
      <c r="AN511" t="s">
        <v>33</v>
      </c>
      <c r="AO511" t="str">
        <f t="shared" si="224"/>
        <v>PAID</v>
      </c>
      <c r="AP511" t="str">
        <f t="shared" si="233"/>
        <v>OK</v>
      </c>
      <c r="AQ511" t="s">
        <v>34</v>
      </c>
      <c r="AR511" t="str">
        <f t="shared" si="225"/>
        <v>COMPLETED</v>
      </c>
      <c r="AS511" t="str">
        <f t="shared" si="234"/>
        <v>OK</v>
      </c>
      <c r="AT511">
        <f t="shared" si="235"/>
        <v>16398.975000000002</v>
      </c>
      <c r="AU511">
        <f t="shared" si="236"/>
        <v>6842.4550000000017</v>
      </c>
      <c r="AV511" s="6">
        <f t="shared" si="237"/>
        <v>3.8951214938738557E-2</v>
      </c>
      <c r="AW511" t="str">
        <f t="shared" si="238"/>
        <v>CLEAN</v>
      </c>
      <c r="AX511" s="10" t="str">
        <f t="shared" si="239"/>
        <v>MATCH</v>
      </c>
      <c r="AY511" t="str">
        <f t="shared" si="240"/>
        <v>MATCH</v>
      </c>
    </row>
    <row r="512" spans="1:51">
      <c r="A512" t="s">
        <v>188</v>
      </c>
      <c r="B512">
        <f t="shared" si="216"/>
        <v>1</v>
      </c>
      <c r="C512" t="s">
        <v>189</v>
      </c>
      <c r="D512" s="3">
        <v>45681</v>
      </c>
      <c r="E512" t="str">
        <f t="shared" si="217"/>
        <v>2025/01/24</v>
      </c>
      <c r="F512" t="str">
        <f t="shared" si="226"/>
        <v>January</v>
      </c>
      <c r="G512">
        <f t="shared" si="227"/>
        <v>2025</v>
      </c>
      <c r="H512" t="s">
        <v>190</v>
      </c>
      <c r="I512" s="4">
        <v>45687</v>
      </c>
      <c r="J512" s="8">
        <f t="shared" si="218"/>
        <v>6</v>
      </c>
      <c r="K512" s="8" t="str">
        <f t="shared" si="228"/>
        <v>OK</v>
      </c>
      <c r="L512" t="s">
        <v>191</v>
      </c>
      <c r="M512" t="s">
        <v>167</v>
      </c>
      <c r="N512" t="str">
        <f t="shared" si="219"/>
        <v>Sneha Kapoor</v>
      </c>
      <c r="O512" t="s">
        <v>25</v>
      </c>
      <c r="P512" t="str">
        <f t="shared" si="243"/>
        <v>Consumer</v>
      </c>
      <c r="Q512" t="s">
        <v>72</v>
      </c>
      <c r="R512" t="str">
        <f t="shared" si="245"/>
        <v>West</v>
      </c>
      <c r="S512" t="str">
        <f t="shared" si="229"/>
        <v>OK</v>
      </c>
      <c r="T512" t="s">
        <v>83</v>
      </c>
      <c r="U512" t="str">
        <f t="shared" si="220"/>
        <v>Madhya Pradesh</v>
      </c>
      <c r="V512" t="s">
        <v>84</v>
      </c>
      <c r="W512" t="str">
        <f t="shared" si="221"/>
        <v>Indore</v>
      </c>
      <c r="X512" t="str">
        <f t="shared" si="222"/>
        <v>Furniture</v>
      </c>
      <c r="Y512" t="s">
        <v>44</v>
      </c>
      <c r="Z512" t="s">
        <v>64</v>
      </c>
      <c r="AA512" t="str">
        <f t="shared" si="223"/>
        <v>Furnishings</v>
      </c>
      <c r="AB512" t="s">
        <v>192</v>
      </c>
      <c r="AC512" t="s">
        <v>32</v>
      </c>
      <c r="AD512" t="str">
        <f t="shared" si="244"/>
        <v>Second Class</v>
      </c>
      <c r="AE512" t="str">
        <f t="shared" si="230"/>
        <v>OK</v>
      </c>
      <c r="AF512">
        <v>4</v>
      </c>
      <c r="AG512">
        <v>697.69</v>
      </c>
      <c r="AH512">
        <v>-0.23</v>
      </c>
      <c r="AI512">
        <f t="shared" si="231"/>
        <v>-0.23</v>
      </c>
      <c r="AJ512" t="str">
        <f t="shared" si="232"/>
        <v>Invalid Negative Discount</v>
      </c>
      <c r="AK512">
        <v>2790.76</v>
      </c>
      <c r="AL512">
        <v>2037.71</v>
      </c>
      <c r="AM512">
        <v>753.05</v>
      </c>
      <c r="AN512" t="s">
        <v>33</v>
      </c>
      <c r="AO512" t="str">
        <f t="shared" si="224"/>
        <v>PAID</v>
      </c>
      <c r="AP512" t="str">
        <f t="shared" si="233"/>
        <v>OK</v>
      </c>
      <c r="AQ512" t="s">
        <v>34</v>
      </c>
      <c r="AR512" t="str">
        <f t="shared" si="225"/>
        <v>COMPLETED</v>
      </c>
      <c r="AS512" t="str">
        <f t="shared" si="234"/>
        <v>OK</v>
      </c>
      <c r="AT512" t="str">
        <f t="shared" si="235"/>
        <v>INVAILD</v>
      </c>
      <c r="AU512" t="str">
        <f t="shared" si="236"/>
        <v>INVAILD</v>
      </c>
      <c r="AW512" t="str">
        <f t="shared" si="238"/>
        <v>INVALID</v>
      </c>
      <c r="AX512" s="10" t="s">
        <v>4116</v>
      </c>
      <c r="AY512" t="s">
        <v>4116</v>
      </c>
    </row>
    <row r="513" spans="1:51">
      <c r="A513" t="s">
        <v>193</v>
      </c>
      <c r="B513">
        <f t="shared" si="216"/>
        <v>1</v>
      </c>
      <c r="C513" t="s">
        <v>194</v>
      </c>
      <c r="D513" s="2">
        <v>45676</v>
      </c>
      <c r="E513" t="str">
        <f t="shared" si="217"/>
        <v>2025/01/19</v>
      </c>
      <c r="F513" t="str">
        <f t="shared" si="226"/>
        <v>January</v>
      </c>
      <c r="G513">
        <f t="shared" si="227"/>
        <v>2025</v>
      </c>
      <c r="H513" t="s">
        <v>195</v>
      </c>
      <c r="I513" s="4">
        <v>45678</v>
      </c>
      <c r="J513" s="8">
        <f t="shared" si="218"/>
        <v>2</v>
      </c>
      <c r="K513" s="8" t="str">
        <f t="shared" si="228"/>
        <v>OK</v>
      </c>
      <c r="L513" t="s">
        <v>196</v>
      </c>
      <c r="M513" t="s">
        <v>39</v>
      </c>
      <c r="N513" t="str">
        <f t="shared" si="219"/>
        <v>Mira Das</v>
      </c>
      <c r="O513" t="s">
        <v>25</v>
      </c>
      <c r="P513" t="str">
        <f t="shared" si="243"/>
        <v>Consumer</v>
      </c>
      <c r="Q513" t="s">
        <v>61</v>
      </c>
      <c r="R513" t="str">
        <f t="shared" si="245"/>
        <v>South</v>
      </c>
      <c r="S513" t="str">
        <f t="shared" si="229"/>
        <v>OK</v>
      </c>
      <c r="T513" t="s">
        <v>62</v>
      </c>
      <c r="U513" t="str">
        <f t="shared" si="220"/>
        <v>Telangana</v>
      </c>
      <c r="V513" t="s">
        <v>63</v>
      </c>
      <c r="W513" t="str">
        <f t="shared" si="221"/>
        <v>Hyderabad</v>
      </c>
      <c r="X513" t="str">
        <f t="shared" si="222"/>
        <v>Office Supplies</v>
      </c>
      <c r="Y513" t="s">
        <v>29</v>
      </c>
      <c r="Z513" t="s">
        <v>197</v>
      </c>
      <c r="AA513" t="str">
        <f t="shared" si="223"/>
        <v>Binders</v>
      </c>
      <c r="AB513" t="s">
        <v>198</v>
      </c>
      <c r="AC513" t="s">
        <v>66</v>
      </c>
      <c r="AD513" t="str">
        <f t="shared" si="244"/>
        <v>Standard Class</v>
      </c>
      <c r="AE513" t="str">
        <f t="shared" si="230"/>
        <v>OK</v>
      </c>
      <c r="AF513">
        <v>8</v>
      </c>
      <c r="AG513">
        <v>1219.3399999999999</v>
      </c>
      <c r="AH513">
        <v>0.15</v>
      </c>
      <c r="AI513">
        <f t="shared" si="231"/>
        <v>0.15</v>
      </c>
      <c r="AJ513" t="str">
        <f t="shared" si="232"/>
        <v>OK</v>
      </c>
      <c r="AK513">
        <v>8291.51</v>
      </c>
      <c r="AL513">
        <v>6685.03</v>
      </c>
      <c r="AM513">
        <v>1606.48</v>
      </c>
      <c r="AN513" t="s">
        <v>199</v>
      </c>
      <c r="AO513" t="str">
        <f t="shared" si="224"/>
        <v>FAILED</v>
      </c>
      <c r="AP513" t="str">
        <f t="shared" si="233"/>
        <v>EXCLUDE_FROM_SALES</v>
      </c>
      <c r="AQ513" t="s">
        <v>124</v>
      </c>
      <c r="AR513" t="str">
        <f t="shared" si="225"/>
        <v>RETURNED</v>
      </c>
      <c r="AS513" t="str">
        <f t="shared" si="234"/>
        <v>RETURNED_ORDER</v>
      </c>
      <c r="AT513">
        <f t="shared" si="235"/>
        <v>8291.5119999999988</v>
      </c>
      <c r="AU513">
        <f t="shared" si="236"/>
        <v>1606.4819999999991</v>
      </c>
      <c r="AV513" s="6">
        <f t="shared" si="237"/>
        <v>0.11719213576486411</v>
      </c>
      <c r="AW513" t="str">
        <f t="shared" si="238"/>
        <v>CLEAN</v>
      </c>
      <c r="AX513" s="10" t="str">
        <f t="shared" si="239"/>
        <v>MATCH</v>
      </c>
      <c r="AY513" t="str">
        <f t="shared" si="240"/>
        <v>MATCH</v>
      </c>
    </row>
    <row r="514" spans="1:51">
      <c r="A514" t="s">
        <v>200</v>
      </c>
      <c r="B514">
        <f t="shared" ref="B514:B577" si="246">COUNTIF($A:$A,A514)</f>
        <v>1</v>
      </c>
      <c r="C514" t="s">
        <v>68</v>
      </c>
      <c r="D514" s="2">
        <v>45898</v>
      </c>
      <c r="E514" t="str">
        <f t="shared" ref="E514:E577" si="247">IFERROR(
TEXT(
  IF(ISNUMBER(SEARCH("/",D514)),
     DATE(RIGHT(D514,4),LEFT(D514,FIND("/",D514)-1),
          MID(D514,FIND("/",D514)+1,FIND("/",D514,FIND("/",D514)+1)-FIND("/",D514)-1)),
     IF(ISNUMBER(SEARCH("-",D514)),
        DATEVALUE(SUBSTITUTE(D514,"-","/")),
        DATEVALUE(TEXT(D514,"dd mmm yyyy"))
     )
  ),
"yyyy/mm/dd"
),
"")</f>
        <v>2025/08/29</v>
      </c>
      <c r="F514" t="str">
        <f t="shared" si="226"/>
        <v>August</v>
      </c>
      <c r="G514">
        <f t="shared" si="227"/>
        <v>2025</v>
      </c>
      <c r="H514" t="s">
        <v>201</v>
      </c>
      <c r="I514" s="4">
        <v>45900</v>
      </c>
      <c r="J514" s="8">
        <f t="shared" ref="J514:J577" si="248">I514-E514</f>
        <v>2</v>
      </c>
      <c r="K514" s="8" t="str">
        <f t="shared" si="228"/>
        <v>OK</v>
      </c>
      <c r="L514" t="s">
        <v>202</v>
      </c>
      <c r="M514" t="s">
        <v>147</v>
      </c>
      <c r="N514" t="str">
        <f t="shared" ref="N514:N577" si="249">PROPER(TRIM(SUBSTITUTE(M514,CHAR(160)," ")))</f>
        <v>Rahul Verma</v>
      </c>
      <c r="O514" t="s">
        <v>114</v>
      </c>
      <c r="P514" t="str">
        <f t="shared" si="243"/>
        <v>Home Office</v>
      </c>
      <c r="Q514" t="s">
        <v>41</v>
      </c>
      <c r="R514" t="str">
        <f t="shared" si="245"/>
        <v>East</v>
      </c>
      <c r="S514" t="str">
        <f t="shared" si="229"/>
        <v>OK</v>
      </c>
      <c r="T514" t="s">
        <v>185</v>
      </c>
      <c r="U514" t="str">
        <f t="shared" ref="U514:U577" si="250">PROPER(TRIM(SUBSTITUTE(T514,CHAR(160)," ")))</f>
        <v>Bihar</v>
      </c>
      <c r="V514" t="s">
        <v>186</v>
      </c>
      <c r="W514" t="str">
        <f t="shared" ref="W514:W577" si="251">PROPER(TRIM(SUBSTITUTE(V514,CHAR(160)," ")))</f>
        <v>Patna</v>
      </c>
      <c r="X514" t="str">
        <f t="shared" ref="X514:X577" si="252">PROPER(TRIM(SUBSTITUTE(Y514,CHAR(160)," ")))</f>
        <v>Furniture</v>
      </c>
      <c r="Y514" t="s">
        <v>44</v>
      </c>
      <c r="Z514" t="s">
        <v>203</v>
      </c>
      <c r="AA514" t="str">
        <f t="shared" ref="AA514:AA577" si="253">PROPER(TRIM(SUBSTITUTE(Z514,CHAR(160)," ")))</f>
        <v>Bookcases</v>
      </c>
      <c r="AB514" t="s">
        <v>204</v>
      </c>
      <c r="AC514" t="s">
        <v>55</v>
      </c>
      <c r="AD514" t="str">
        <f t="shared" si="244"/>
        <v>First Class</v>
      </c>
      <c r="AE514" t="str">
        <f t="shared" si="230"/>
        <v>OK</v>
      </c>
      <c r="AF514">
        <v>4</v>
      </c>
      <c r="AG514">
        <v>1958.01</v>
      </c>
      <c r="AH514">
        <v>0.2</v>
      </c>
      <c r="AI514">
        <f t="shared" si="231"/>
        <v>0.2</v>
      </c>
      <c r="AJ514" t="str">
        <f t="shared" si="232"/>
        <v>OK</v>
      </c>
      <c r="AK514">
        <v>6265.63</v>
      </c>
      <c r="AL514">
        <v>4321.8599999999997</v>
      </c>
      <c r="AM514">
        <v>1943.77</v>
      </c>
      <c r="AN514" t="s">
        <v>33</v>
      </c>
      <c r="AO514" t="str">
        <f t="shared" ref="AO514:AO577" si="254">UPPER(TRIM(SUBSTITUTE(AN514,CHAR(160)," ")))</f>
        <v>PAID</v>
      </c>
      <c r="AP514" t="str">
        <f t="shared" si="233"/>
        <v>OK</v>
      </c>
      <c r="AQ514" t="s">
        <v>34</v>
      </c>
      <c r="AR514" t="str">
        <f t="shared" ref="AR514:AR577" si="255">UPPER(TRIM(SUBSTITUTE(AQ514,CHAR(160)," ")))</f>
        <v>COMPLETED</v>
      </c>
      <c r="AS514" t="str">
        <f t="shared" si="234"/>
        <v>OK</v>
      </c>
      <c r="AT514">
        <f t="shared" si="235"/>
        <v>6265.6320000000005</v>
      </c>
      <c r="AU514">
        <f t="shared" si="236"/>
        <v>1943.7720000000008</v>
      </c>
      <c r="AV514" s="6">
        <f t="shared" si="237"/>
        <v>0.36254403386601713</v>
      </c>
      <c r="AW514" t="str">
        <f t="shared" si="238"/>
        <v>CLEAN</v>
      </c>
      <c r="AX514" s="10" t="str">
        <f t="shared" si="239"/>
        <v>MATCH</v>
      </c>
      <c r="AY514" t="str">
        <f t="shared" si="240"/>
        <v>MATCH</v>
      </c>
    </row>
    <row r="515" spans="1:51">
      <c r="A515" t="s">
        <v>224</v>
      </c>
      <c r="B515">
        <f t="shared" si="246"/>
        <v>1</v>
      </c>
      <c r="C515" t="s">
        <v>225</v>
      </c>
      <c r="D515" s="2">
        <v>45929</v>
      </c>
      <c r="E515" t="str">
        <f t="shared" si="247"/>
        <v>2025/09/29</v>
      </c>
      <c r="F515" t="str">
        <f t="shared" ref="F515:F578" si="256">TEXT(E515,"MMMM")</f>
        <v>September</v>
      </c>
      <c r="G515">
        <f t="shared" ref="G515:G578" si="257">YEAR(E515)</f>
        <v>2025</v>
      </c>
      <c r="H515" t="s">
        <v>226</v>
      </c>
      <c r="I515" s="4">
        <v>45787</v>
      </c>
      <c r="J515" s="8">
        <f t="shared" si="248"/>
        <v>-142</v>
      </c>
      <c r="K515" s="8" t="str">
        <f t="shared" ref="K515:K578" si="258">IF(J515&lt;0,"INVAILD_SHIPPING","OK")</f>
        <v>INVAILD_SHIPPING</v>
      </c>
      <c r="L515" t="s">
        <v>227</v>
      </c>
      <c r="M515" t="s">
        <v>60</v>
      </c>
      <c r="N515" t="str">
        <f t="shared" si="249"/>
        <v>Arjun Bose</v>
      </c>
      <c r="O515" t="s">
        <v>40</v>
      </c>
      <c r="P515" t="str">
        <f t="shared" si="243"/>
        <v>Small Business</v>
      </c>
      <c r="Q515" t="s">
        <v>61</v>
      </c>
      <c r="R515" t="str">
        <f t="shared" si="245"/>
        <v>South</v>
      </c>
      <c r="S515" t="str">
        <f t="shared" ref="S515:S578" si="259">IF(R515="Unknown","MISSING_REGION","OK")</f>
        <v>OK</v>
      </c>
      <c r="T515" t="s">
        <v>228</v>
      </c>
      <c r="U515" t="str">
        <f t="shared" si="250"/>
        <v>Karnataka</v>
      </c>
      <c r="V515" t="s">
        <v>229</v>
      </c>
      <c r="W515" t="str">
        <f t="shared" si="251"/>
        <v>Bengaluru</v>
      </c>
      <c r="X515" t="str">
        <f t="shared" si="252"/>
        <v>Office Supplies</v>
      </c>
      <c r="Y515" t="s">
        <v>29</v>
      </c>
      <c r="Z515" t="s">
        <v>30</v>
      </c>
      <c r="AA515" t="str">
        <f t="shared" si="253"/>
        <v>Paper</v>
      </c>
      <c r="AB515" t="s">
        <v>230</v>
      </c>
      <c r="AC515" t="s">
        <v>32</v>
      </c>
      <c r="AD515" t="str">
        <f t="shared" si="244"/>
        <v>Second Class</v>
      </c>
      <c r="AE515" t="str">
        <f t="shared" ref="AE515:AE578" si="260">IF(AD515="Unknown","MISSING_SHIP_MODE","OK")</f>
        <v>OK</v>
      </c>
      <c r="AF515">
        <v>5</v>
      </c>
      <c r="AG515">
        <v>1806.51</v>
      </c>
      <c r="AH515">
        <v>0.25</v>
      </c>
      <c r="AI515">
        <f t="shared" ref="AI515:AI578" si="261">IF(RIGHT(AH515,1)="%",VALUE(SUBSTITUTE(AH515,"%",""))/100,AH515)</f>
        <v>0.25</v>
      </c>
      <c r="AJ515" t="str">
        <f t="shared" ref="AJ515:AJ578" si="262">IF(AH515="","Missing Discount",
IF(AH515&lt;0,"Invalid Negative Discount",
"OK"))</f>
        <v>OK</v>
      </c>
      <c r="AK515">
        <v>6774.41</v>
      </c>
      <c r="AL515">
        <v>4710.3599999999997</v>
      </c>
      <c r="AM515">
        <v>2064.0500000000002</v>
      </c>
      <c r="AN515" t="s">
        <v>199</v>
      </c>
      <c r="AO515" t="str">
        <f t="shared" si="254"/>
        <v>FAILED</v>
      </c>
      <c r="AP515" t="str">
        <f t="shared" ref="AP515:AP578" si="263">IF(AO515="Failed","EXCLUDE_FROM_SALES",
IF(AO515="Refunded","REFUNDED_PAYMENT",
"OK"))</f>
        <v>EXCLUDE_FROM_SALES</v>
      </c>
      <c r="AQ515" t="s">
        <v>124</v>
      </c>
      <c r="AR515" t="str">
        <f t="shared" si="255"/>
        <v>RETURNED</v>
      </c>
      <c r="AS515" t="str">
        <f t="shared" ref="AS515:AS578" si="264">IF(AR515="Cancelled","EXCLUDE_FROM_SALES",
IF(AR515="Returned","RETURNED_ORDER",
"OK"))</f>
        <v>RETURNED_ORDER</v>
      </c>
      <c r="AT515">
        <f t="shared" ref="AT515:AT578" si="265">IF(AI515&lt;0,"INVAILD",AF515*AG515*(1-AI515))</f>
        <v>6774.4124999999995</v>
      </c>
      <c r="AU515">
        <f t="shared" ref="AU515:AU578" si="266">IF(AT515="INVAILD","INVAILD",AT515-AL515)</f>
        <v>2064.0524999999998</v>
      </c>
      <c r="AV515" s="6">
        <f t="shared" ref="AV515:AV578" si="267">IF(OR(AT515="INVALID",AU515="INVALID"),"",AU536/AT515)</f>
        <v>1.2818900531964961</v>
      </c>
      <c r="AW515" t="str">
        <f t="shared" ref="AW515:AW578" si="268">IF(OR(AJ515&lt;&gt;"OK",K515="INVALID_SHIPPING"),
"INVALID",
IF(OR(S515&lt;&gt;"OK",AE515&lt;&gt;"OK"),
"WARNING",
"CLEAN"))</f>
        <v>CLEAN</v>
      </c>
      <c r="AX515" s="10" t="str">
        <f t="shared" ref="AX515:AX578" si="269">IF(AT515="INVALID","INVALID",
IF(ROUND(AK515,2)=ROUND(AT515,2),"MATCH","MISMATCH"))</f>
        <v>MATCH</v>
      </c>
      <c r="AY515" t="str">
        <f t="shared" ref="AY515:AY578" si="270">IF(AU515="INVALID","INVALID",IF(ROUND(AM515,2)=ROUND(AU515,2),"MATCH","MISMATCH"))</f>
        <v>MATCH</v>
      </c>
    </row>
    <row r="516" spans="1:51">
      <c r="A516" t="s">
        <v>237</v>
      </c>
      <c r="B516">
        <f t="shared" si="246"/>
        <v>1</v>
      </c>
      <c r="C516" t="s">
        <v>238</v>
      </c>
      <c r="D516" s="2">
        <v>45882</v>
      </c>
      <c r="E516" t="str">
        <f t="shared" si="247"/>
        <v>2025/08/13</v>
      </c>
      <c r="F516" t="str">
        <f t="shared" si="256"/>
        <v>August</v>
      </c>
      <c r="G516">
        <f t="shared" si="257"/>
        <v>2025</v>
      </c>
      <c r="H516" t="s">
        <v>239</v>
      </c>
      <c r="I516" s="4">
        <v>45882</v>
      </c>
      <c r="J516" s="8">
        <f t="shared" si="248"/>
        <v>0</v>
      </c>
      <c r="K516" s="8" t="str">
        <f t="shared" si="258"/>
        <v>OK</v>
      </c>
      <c r="L516" t="s">
        <v>240</v>
      </c>
      <c r="M516" t="s">
        <v>179</v>
      </c>
      <c r="N516" t="str">
        <f t="shared" si="249"/>
        <v>Rohan Mehta</v>
      </c>
      <c r="O516" t="s">
        <v>114</v>
      </c>
      <c r="P516" t="str">
        <f t="shared" si="243"/>
        <v>Home Office</v>
      </c>
      <c r="Q516" t="s">
        <v>61</v>
      </c>
      <c r="R516" t="str">
        <f t="shared" si="245"/>
        <v>South</v>
      </c>
      <c r="S516" t="str">
        <f t="shared" si="259"/>
        <v>OK</v>
      </c>
      <c r="T516" t="s">
        <v>241</v>
      </c>
      <c r="U516" t="str">
        <f t="shared" si="250"/>
        <v>Kerala</v>
      </c>
      <c r="V516" t="s">
        <v>242</v>
      </c>
      <c r="W516" t="str">
        <f t="shared" si="251"/>
        <v>Kochi</v>
      </c>
      <c r="X516" t="str">
        <f t="shared" si="252"/>
        <v>Technology</v>
      </c>
      <c r="Y516" t="s">
        <v>85</v>
      </c>
      <c r="Z516" t="s">
        <v>222</v>
      </c>
      <c r="AA516" t="str">
        <f t="shared" si="253"/>
        <v>Phones</v>
      </c>
      <c r="AB516" t="s">
        <v>243</v>
      </c>
      <c r="AC516" t="s">
        <v>66</v>
      </c>
      <c r="AD516" t="str">
        <f t="shared" si="244"/>
        <v>Standard Class</v>
      </c>
      <c r="AE516" t="str">
        <f t="shared" si="260"/>
        <v>OK</v>
      </c>
      <c r="AF516">
        <v>1</v>
      </c>
      <c r="AG516">
        <v>256.01</v>
      </c>
      <c r="AH516">
        <v>0.15</v>
      </c>
      <c r="AI516">
        <f t="shared" si="261"/>
        <v>0.15</v>
      </c>
      <c r="AJ516" t="str">
        <f t="shared" si="262"/>
        <v>OK</v>
      </c>
      <c r="AK516">
        <v>217.61</v>
      </c>
      <c r="AL516">
        <v>119.77</v>
      </c>
      <c r="AM516">
        <v>97.84</v>
      </c>
      <c r="AN516" t="s">
        <v>33</v>
      </c>
      <c r="AO516" t="str">
        <f t="shared" si="254"/>
        <v>PAID</v>
      </c>
      <c r="AP516" t="str">
        <f t="shared" si="263"/>
        <v>OK</v>
      </c>
      <c r="AQ516" t="s">
        <v>34</v>
      </c>
      <c r="AR516" t="str">
        <f t="shared" si="255"/>
        <v>COMPLETED</v>
      </c>
      <c r="AS516" t="str">
        <f t="shared" si="264"/>
        <v>OK</v>
      </c>
      <c r="AT516">
        <f t="shared" si="265"/>
        <v>217.60849999999999</v>
      </c>
      <c r="AU516">
        <f t="shared" si="266"/>
        <v>97.838499999999996</v>
      </c>
      <c r="AV516" s="6">
        <f t="shared" si="267"/>
        <v>11.177458601111631</v>
      </c>
      <c r="AW516" t="str">
        <f t="shared" si="268"/>
        <v>CLEAN</v>
      </c>
      <c r="AX516" s="10" t="str">
        <f t="shared" si="269"/>
        <v>MATCH</v>
      </c>
      <c r="AY516" t="str">
        <f t="shared" si="270"/>
        <v>MATCH</v>
      </c>
    </row>
    <row r="517" spans="1:51">
      <c r="A517" t="s">
        <v>251</v>
      </c>
      <c r="B517">
        <f t="shared" si="246"/>
        <v>1</v>
      </c>
      <c r="C517" t="s">
        <v>252</v>
      </c>
      <c r="D517" s="3">
        <v>45823</v>
      </c>
      <c r="E517" t="str">
        <f t="shared" si="247"/>
        <v>2025/06/15</v>
      </c>
      <c r="F517" t="str">
        <f t="shared" si="256"/>
        <v>June</v>
      </c>
      <c r="G517">
        <f t="shared" si="257"/>
        <v>2025</v>
      </c>
      <c r="H517" t="s">
        <v>253</v>
      </c>
      <c r="I517" s="4">
        <v>45827</v>
      </c>
      <c r="J517" s="8">
        <f t="shared" si="248"/>
        <v>4</v>
      </c>
      <c r="K517" s="8" t="str">
        <f t="shared" si="258"/>
        <v>OK</v>
      </c>
      <c r="L517" t="s">
        <v>254</v>
      </c>
      <c r="M517" t="s">
        <v>24</v>
      </c>
      <c r="N517" t="str">
        <f t="shared" si="249"/>
        <v>Karan Malhotra</v>
      </c>
      <c r="O517" t="s">
        <v>40</v>
      </c>
      <c r="P517" t="str">
        <f t="shared" si="243"/>
        <v>Small Business</v>
      </c>
      <c r="Q517" t="s">
        <v>72</v>
      </c>
      <c r="R517" t="str">
        <f t="shared" si="245"/>
        <v>West</v>
      </c>
      <c r="S517" t="str">
        <f t="shared" si="259"/>
        <v>OK</v>
      </c>
      <c r="T517" t="s">
        <v>83</v>
      </c>
      <c r="U517" t="str">
        <f t="shared" si="250"/>
        <v>Madhya Pradesh</v>
      </c>
      <c r="V517" t="s">
        <v>84</v>
      </c>
      <c r="W517" t="str">
        <f t="shared" si="251"/>
        <v>Indore</v>
      </c>
      <c r="X517" t="str">
        <f t="shared" si="252"/>
        <v>Office Supplies</v>
      </c>
      <c r="Y517" t="s">
        <v>29</v>
      </c>
      <c r="Z517" t="s">
        <v>30</v>
      </c>
      <c r="AA517" t="str">
        <f t="shared" si="253"/>
        <v>Paper</v>
      </c>
      <c r="AB517" t="s">
        <v>255</v>
      </c>
      <c r="AC517" t="s">
        <v>32</v>
      </c>
      <c r="AD517" t="str">
        <f t="shared" si="244"/>
        <v>Second Class</v>
      </c>
      <c r="AE517" t="str">
        <f t="shared" si="260"/>
        <v>OK</v>
      </c>
      <c r="AF517">
        <v>9</v>
      </c>
      <c r="AG517">
        <v>3092.55</v>
      </c>
      <c r="AH517">
        <v>0</v>
      </c>
      <c r="AI517">
        <f t="shared" si="261"/>
        <v>0</v>
      </c>
      <c r="AJ517" t="str">
        <f t="shared" si="262"/>
        <v>OK</v>
      </c>
      <c r="AK517">
        <v>27832.95</v>
      </c>
      <c r="AL517">
        <v>17769.75</v>
      </c>
      <c r="AM517">
        <v>10063.200000000001</v>
      </c>
      <c r="AN517" t="s">
        <v>199</v>
      </c>
      <c r="AO517" t="str">
        <f t="shared" si="254"/>
        <v>FAILED</v>
      </c>
      <c r="AP517" t="str">
        <f t="shared" si="263"/>
        <v>EXCLUDE_FROM_SALES</v>
      </c>
      <c r="AQ517" t="s">
        <v>124</v>
      </c>
      <c r="AR517" t="str">
        <f t="shared" si="255"/>
        <v>RETURNED</v>
      </c>
      <c r="AS517" t="str">
        <f t="shared" si="264"/>
        <v>RETURNED_ORDER</v>
      </c>
      <c r="AT517">
        <f t="shared" si="265"/>
        <v>27832.95</v>
      </c>
      <c r="AU517">
        <f t="shared" si="266"/>
        <v>10063.200000000001</v>
      </c>
      <c r="AV517" s="6">
        <f t="shared" si="267"/>
        <v>0.13864207710645118</v>
      </c>
      <c r="AW517" t="str">
        <f t="shared" si="268"/>
        <v>CLEAN</v>
      </c>
      <c r="AX517" s="10" t="str">
        <f t="shared" si="269"/>
        <v>MATCH</v>
      </c>
      <c r="AY517" t="str">
        <f t="shared" si="270"/>
        <v>MATCH</v>
      </c>
    </row>
    <row r="518" spans="1:51">
      <c r="A518" t="s">
        <v>266</v>
      </c>
      <c r="B518">
        <f t="shared" si="246"/>
        <v>1</v>
      </c>
      <c r="C518" t="s">
        <v>267</v>
      </c>
      <c r="D518" s="3">
        <v>45688</v>
      </c>
      <c r="E518" t="str">
        <f t="shared" si="247"/>
        <v>2025/01/31</v>
      </c>
      <c r="F518" t="str">
        <f t="shared" si="256"/>
        <v>January</v>
      </c>
      <c r="G518">
        <f t="shared" si="257"/>
        <v>2025</v>
      </c>
      <c r="H518" t="s">
        <v>268</v>
      </c>
      <c r="I518" s="4">
        <v>45693</v>
      </c>
      <c r="J518" s="8">
        <f t="shared" si="248"/>
        <v>5</v>
      </c>
      <c r="K518" s="8" t="str">
        <f t="shared" si="258"/>
        <v>OK</v>
      </c>
      <c r="L518" t="s">
        <v>269</v>
      </c>
      <c r="M518" t="s">
        <v>141</v>
      </c>
      <c r="N518" t="str">
        <f t="shared" si="249"/>
        <v>Priya Menon</v>
      </c>
      <c r="O518" t="s">
        <v>114</v>
      </c>
      <c r="P518" t="str">
        <f t="shared" si="243"/>
        <v>Home Office</v>
      </c>
      <c r="Q518" t="s">
        <v>41</v>
      </c>
      <c r="R518" t="str">
        <f t="shared" si="245"/>
        <v>East</v>
      </c>
      <c r="S518" t="str">
        <f t="shared" si="259"/>
        <v>OK</v>
      </c>
      <c r="T518" t="s">
        <v>120</v>
      </c>
      <c r="U518" t="str">
        <f t="shared" si="250"/>
        <v>West Bengal</v>
      </c>
      <c r="V518" t="s">
        <v>121</v>
      </c>
      <c r="W518" t="str">
        <f t="shared" si="251"/>
        <v>Kolkata</v>
      </c>
      <c r="X518" t="str">
        <f t="shared" si="252"/>
        <v>Furniture</v>
      </c>
      <c r="Y518" t="s">
        <v>44</v>
      </c>
      <c r="Z518" t="s">
        <v>75</v>
      </c>
      <c r="AA518" t="str">
        <f t="shared" si="253"/>
        <v>Chairs</v>
      </c>
      <c r="AB518" t="s">
        <v>270</v>
      </c>
      <c r="AD518" t="s">
        <v>4109</v>
      </c>
      <c r="AE518" t="str">
        <f t="shared" si="260"/>
        <v>MISSING_SHIP_MODE</v>
      </c>
      <c r="AF518">
        <v>2</v>
      </c>
      <c r="AG518">
        <v>4159.6899999999996</v>
      </c>
      <c r="AH518">
        <v>0.2</v>
      </c>
      <c r="AI518">
        <f t="shared" si="261"/>
        <v>0.2</v>
      </c>
      <c r="AJ518" t="str">
        <f t="shared" si="262"/>
        <v>OK</v>
      </c>
      <c r="AK518">
        <v>6655.5</v>
      </c>
      <c r="AL518">
        <v>4340.21</v>
      </c>
      <c r="AM518">
        <v>2607.3200000000002</v>
      </c>
      <c r="AN518" t="s">
        <v>33</v>
      </c>
      <c r="AO518" t="str">
        <f t="shared" si="254"/>
        <v>PAID</v>
      </c>
      <c r="AP518" t="str">
        <f t="shared" si="263"/>
        <v>OK</v>
      </c>
      <c r="AQ518" t="s">
        <v>34</v>
      </c>
      <c r="AR518" t="str">
        <f t="shared" si="255"/>
        <v>COMPLETED</v>
      </c>
      <c r="AS518" t="str">
        <f t="shared" si="264"/>
        <v>OK</v>
      </c>
      <c r="AT518">
        <f t="shared" si="265"/>
        <v>6655.5039999999999</v>
      </c>
      <c r="AU518">
        <f t="shared" si="266"/>
        <v>2315.2939999999999</v>
      </c>
      <c r="AV518" s="6">
        <f t="shared" si="267"/>
        <v>0.57979350624685977</v>
      </c>
      <c r="AW518" t="str">
        <f t="shared" si="268"/>
        <v>WARNING</v>
      </c>
      <c r="AX518" s="10" t="str">
        <f t="shared" si="269"/>
        <v>MATCH</v>
      </c>
      <c r="AY518" t="str">
        <f t="shared" si="270"/>
        <v>MISMATCH</v>
      </c>
    </row>
    <row r="519" spans="1:51">
      <c r="A519" t="s">
        <v>281</v>
      </c>
      <c r="B519">
        <f t="shared" si="246"/>
        <v>1</v>
      </c>
      <c r="C519" t="s">
        <v>282</v>
      </c>
      <c r="D519" s="3">
        <v>45867</v>
      </c>
      <c r="E519" t="str">
        <f t="shared" si="247"/>
        <v>2025/07/29</v>
      </c>
      <c r="F519" t="str">
        <f t="shared" si="256"/>
        <v>July</v>
      </c>
      <c r="G519">
        <f t="shared" si="257"/>
        <v>2025</v>
      </c>
      <c r="H519" t="s">
        <v>282</v>
      </c>
      <c r="I519" s="4">
        <v>45867</v>
      </c>
      <c r="J519" s="8">
        <f t="shared" si="248"/>
        <v>0</v>
      </c>
      <c r="K519" s="8" t="str">
        <f t="shared" si="258"/>
        <v>OK</v>
      </c>
      <c r="L519" t="s">
        <v>283</v>
      </c>
      <c r="M519" t="s">
        <v>209</v>
      </c>
      <c r="N519" t="str">
        <f t="shared" si="249"/>
        <v>Diya Patel</v>
      </c>
      <c r="O519" t="s">
        <v>25</v>
      </c>
      <c r="P519" t="str">
        <f t="shared" si="243"/>
        <v>Consumer</v>
      </c>
      <c r="Q519" t="s">
        <v>72</v>
      </c>
      <c r="R519" t="str">
        <f t="shared" si="245"/>
        <v>West</v>
      </c>
      <c r="S519" t="str">
        <f t="shared" si="259"/>
        <v>OK</v>
      </c>
      <c r="T519" t="s">
        <v>73</v>
      </c>
      <c r="U519" t="str">
        <f t="shared" si="250"/>
        <v>Maharashtra</v>
      </c>
      <c r="V519" t="s">
        <v>74</v>
      </c>
      <c r="W519" t="str">
        <f t="shared" si="251"/>
        <v>Mumbai</v>
      </c>
      <c r="X519" t="str">
        <f t="shared" si="252"/>
        <v>Technology</v>
      </c>
      <c r="Y519" t="s">
        <v>85</v>
      </c>
      <c r="Z519" t="s">
        <v>93</v>
      </c>
      <c r="AA519" t="str">
        <f t="shared" si="253"/>
        <v>Copiers</v>
      </c>
      <c r="AB519" t="s">
        <v>284</v>
      </c>
      <c r="AC519" t="s">
        <v>285</v>
      </c>
      <c r="AD519" t="str">
        <f t="shared" ref="AD519:AD557" si="271">PROPER(TRIM(SUBSTITUTE(AC519,CHAR(160)," ")))</f>
        <v>Standard Class</v>
      </c>
      <c r="AE519" t="str">
        <f t="shared" si="260"/>
        <v>OK</v>
      </c>
      <c r="AF519">
        <v>4</v>
      </c>
      <c r="AG519">
        <v>1327.54</v>
      </c>
      <c r="AH519">
        <v>0.2</v>
      </c>
      <c r="AI519">
        <f t="shared" si="261"/>
        <v>0.2</v>
      </c>
      <c r="AJ519" t="str">
        <f t="shared" si="262"/>
        <v>OK</v>
      </c>
      <c r="AK519">
        <v>4248.13</v>
      </c>
      <c r="AL519">
        <v>3321.09</v>
      </c>
      <c r="AM519">
        <v>927.04</v>
      </c>
      <c r="AN519" t="s">
        <v>33</v>
      </c>
      <c r="AO519" t="str">
        <f t="shared" si="254"/>
        <v>PAID</v>
      </c>
      <c r="AP519" t="str">
        <f t="shared" si="263"/>
        <v>OK</v>
      </c>
      <c r="AQ519" t="s">
        <v>34</v>
      </c>
      <c r="AR519" t="str">
        <f t="shared" si="255"/>
        <v>COMPLETED</v>
      </c>
      <c r="AS519" t="str">
        <f t="shared" si="264"/>
        <v>OK</v>
      </c>
      <c r="AT519">
        <f t="shared" si="265"/>
        <v>4248.1279999999997</v>
      </c>
      <c r="AU519">
        <f t="shared" si="266"/>
        <v>927.03799999999956</v>
      </c>
      <c r="AV519" s="6">
        <f t="shared" si="267"/>
        <v>0.2092145057776037</v>
      </c>
      <c r="AW519" t="str">
        <f t="shared" si="268"/>
        <v>CLEAN</v>
      </c>
      <c r="AX519" s="10" t="str">
        <f t="shared" si="269"/>
        <v>MATCH</v>
      </c>
      <c r="AY519" t="str">
        <f t="shared" si="270"/>
        <v>MATCH</v>
      </c>
    </row>
    <row r="520" spans="1:51">
      <c r="A520" t="s">
        <v>306</v>
      </c>
      <c r="B520">
        <f t="shared" si="246"/>
        <v>1</v>
      </c>
      <c r="C520" t="s">
        <v>307</v>
      </c>
      <c r="D520" s="3">
        <v>45940</v>
      </c>
      <c r="E520" t="str">
        <f t="shared" si="247"/>
        <v>2025/10/10</v>
      </c>
      <c r="F520" t="str">
        <f t="shared" si="256"/>
        <v>October</v>
      </c>
      <c r="G520">
        <f t="shared" si="257"/>
        <v>2025</v>
      </c>
      <c r="H520" t="s">
        <v>308</v>
      </c>
      <c r="I520" s="4">
        <v>45945</v>
      </c>
      <c r="J520" s="8">
        <f t="shared" si="248"/>
        <v>5</v>
      </c>
      <c r="K520" s="8" t="str">
        <f t="shared" si="258"/>
        <v>OK</v>
      </c>
      <c r="L520" t="s">
        <v>309</v>
      </c>
      <c r="M520" t="s">
        <v>60</v>
      </c>
      <c r="N520" t="str">
        <f t="shared" si="249"/>
        <v>Arjun Bose</v>
      </c>
      <c r="O520" t="s">
        <v>107</v>
      </c>
      <c r="P520" t="str">
        <f t="shared" si="243"/>
        <v>Corporate</v>
      </c>
      <c r="Q520" t="s">
        <v>41</v>
      </c>
      <c r="R520" t="str">
        <f t="shared" si="245"/>
        <v>East</v>
      </c>
      <c r="S520" t="str">
        <f t="shared" si="259"/>
        <v>OK</v>
      </c>
      <c r="T520" t="s">
        <v>310</v>
      </c>
      <c r="U520" t="str">
        <f t="shared" si="250"/>
        <v>Jharkhand</v>
      </c>
      <c r="V520" t="s">
        <v>311</v>
      </c>
      <c r="W520" t="str">
        <f t="shared" si="251"/>
        <v>Ranchi</v>
      </c>
      <c r="X520" t="str">
        <f t="shared" si="252"/>
        <v>Technology</v>
      </c>
      <c r="Y520" t="s">
        <v>85</v>
      </c>
      <c r="Z520" t="s">
        <v>222</v>
      </c>
      <c r="AA520" t="str">
        <f t="shared" si="253"/>
        <v>Phones</v>
      </c>
      <c r="AB520" t="s">
        <v>312</v>
      </c>
      <c r="AC520" t="s">
        <v>66</v>
      </c>
      <c r="AD520" t="str">
        <f t="shared" si="271"/>
        <v>Standard Class</v>
      </c>
      <c r="AE520" t="str">
        <f t="shared" si="260"/>
        <v>OK</v>
      </c>
      <c r="AF520">
        <v>8</v>
      </c>
      <c r="AG520">
        <v>979.87</v>
      </c>
      <c r="AH520">
        <v>0.05</v>
      </c>
      <c r="AI520">
        <f t="shared" si="261"/>
        <v>0.05</v>
      </c>
      <c r="AJ520" t="str">
        <f t="shared" si="262"/>
        <v>OK</v>
      </c>
      <c r="AK520">
        <v>7447.01</v>
      </c>
      <c r="AL520">
        <v>4496.22</v>
      </c>
      <c r="AM520">
        <v>2950.79</v>
      </c>
      <c r="AN520" t="s">
        <v>33</v>
      </c>
      <c r="AO520" t="str">
        <f t="shared" si="254"/>
        <v>PAID</v>
      </c>
      <c r="AP520" t="str">
        <f t="shared" si="263"/>
        <v>OK</v>
      </c>
      <c r="AQ520" t="s">
        <v>34</v>
      </c>
      <c r="AR520" t="str">
        <f t="shared" si="255"/>
        <v>COMPLETED</v>
      </c>
      <c r="AS520" t="str">
        <f t="shared" si="264"/>
        <v>OK</v>
      </c>
      <c r="AT520">
        <f t="shared" si="265"/>
        <v>7447.0119999999997</v>
      </c>
      <c r="AU520">
        <f t="shared" si="266"/>
        <v>2950.7919999999995</v>
      </c>
      <c r="AV520" s="6">
        <f t="shared" si="267"/>
        <v>0.92888342331125595</v>
      </c>
      <c r="AW520" t="str">
        <f t="shared" si="268"/>
        <v>CLEAN</v>
      </c>
      <c r="AX520" s="10" t="str">
        <f t="shared" si="269"/>
        <v>MATCH</v>
      </c>
      <c r="AY520" t="str">
        <f t="shared" si="270"/>
        <v>MATCH</v>
      </c>
    </row>
    <row r="521" spans="1:51">
      <c r="A521" t="s">
        <v>341</v>
      </c>
      <c r="B521">
        <f t="shared" si="246"/>
        <v>1</v>
      </c>
      <c r="C521" t="s">
        <v>342</v>
      </c>
      <c r="D521" s="2">
        <v>45687</v>
      </c>
      <c r="E521" t="str">
        <f t="shared" si="247"/>
        <v>2025/01/30</v>
      </c>
      <c r="F521" t="str">
        <f t="shared" si="256"/>
        <v>January</v>
      </c>
      <c r="G521">
        <f t="shared" si="257"/>
        <v>2025</v>
      </c>
      <c r="H521" t="s">
        <v>343</v>
      </c>
      <c r="I521" s="4">
        <v>45693</v>
      </c>
      <c r="J521" s="8">
        <f t="shared" si="248"/>
        <v>6</v>
      </c>
      <c r="K521" s="8" t="str">
        <f t="shared" si="258"/>
        <v>OK</v>
      </c>
      <c r="L521" t="s">
        <v>344</v>
      </c>
      <c r="M521" t="s">
        <v>92</v>
      </c>
      <c r="N521" t="str">
        <f t="shared" si="249"/>
        <v>Neha Gupta</v>
      </c>
      <c r="O521" t="s">
        <v>107</v>
      </c>
      <c r="P521" t="str">
        <f t="shared" ref="P521:P584" si="272">PROPER(TRIM(SUBSTITUTE(O521,CHAR(160)," ")))</f>
        <v>Corporate</v>
      </c>
      <c r="Q521" t="s">
        <v>72</v>
      </c>
      <c r="R521" t="str">
        <f t="shared" si="245"/>
        <v>West</v>
      </c>
      <c r="S521" t="str">
        <f t="shared" si="259"/>
        <v>OK</v>
      </c>
      <c r="T521" t="s">
        <v>73</v>
      </c>
      <c r="U521" t="str">
        <f t="shared" si="250"/>
        <v>Maharashtra</v>
      </c>
      <c r="V521" t="s">
        <v>74</v>
      </c>
      <c r="W521" t="str">
        <f t="shared" si="251"/>
        <v>Mumbai</v>
      </c>
      <c r="X521" t="str">
        <f t="shared" si="252"/>
        <v>Furniture</v>
      </c>
      <c r="Y521" t="s">
        <v>44</v>
      </c>
      <c r="Z521" t="s">
        <v>75</v>
      </c>
      <c r="AA521" t="str">
        <f t="shared" si="253"/>
        <v>Chairs</v>
      </c>
      <c r="AB521" t="s">
        <v>345</v>
      </c>
      <c r="AC521" t="s">
        <v>32</v>
      </c>
      <c r="AD521" t="str">
        <f t="shared" si="271"/>
        <v>Second Class</v>
      </c>
      <c r="AE521" t="str">
        <f t="shared" si="260"/>
        <v>OK</v>
      </c>
      <c r="AF521">
        <v>7</v>
      </c>
      <c r="AG521">
        <v>4063.66</v>
      </c>
      <c r="AH521">
        <v>0</v>
      </c>
      <c r="AI521">
        <f t="shared" si="261"/>
        <v>0</v>
      </c>
      <c r="AJ521" t="str">
        <f t="shared" si="262"/>
        <v>OK</v>
      </c>
      <c r="AK521">
        <v>28445.62</v>
      </c>
      <c r="AL521">
        <v>20938.59</v>
      </c>
      <c r="AM521">
        <v>7507.03</v>
      </c>
      <c r="AN521" t="s">
        <v>33</v>
      </c>
      <c r="AO521" t="str">
        <f t="shared" si="254"/>
        <v>PAID</v>
      </c>
      <c r="AP521" t="str">
        <f t="shared" si="263"/>
        <v>OK</v>
      </c>
      <c r="AQ521" t="s">
        <v>34</v>
      </c>
      <c r="AR521" t="str">
        <f t="shared" si="255"/>
        <v>COMPLETED</v>
      </c>
      <c r="AS521" t="str">
        <f t="shared" si="264"/>
        <v>OK</v>
      </c>
      <c r="AT521">
        <f t="shared" si="265"/>
        <v>28445.62</v>
      </c>
      <c r="AU521">
        <f t="shared" si="266"/>
        <v>7507.0299999999988</v>
      </c>
      <c r="AV521" s="6">
        <f t="shared" si="267"/>
        <v>5.9191186551743345E-2</v>
      </c>
      <c r="AW521" t="str">
        <f t="shared" si="268"/>
        <v>CLEAN</v>
      </c>
      <c r="AX521" s="10" t="str">
        <f t="shared" si="269"/>
        <v>MATCH</v>
      </c>
      <c r="AY521" t="str">
        <f t="shared" si="270"/>
        <v>MATCH</v>
      </c>
    </row>
    <row r="522" spans="1:51">
      <c r="A522" t="s">
        <v>351</v>
      </c>
      <c r="B522">
        <f t="shared" si="246"/>
        <v>1</v>
      </c>
      <c r="C522" t="s">
        <v>352</v>
      </c>
      <c r="D522" s="3">
        <v>45966</v>
      </c>
      <c r="E522" t="str">
        <f t="shared" si="247"/>
        <v>2025/11/05</v>
      </c>
      <c r="F522" t="str">
        <f t="shared" si="256"/>
        <v>November</v>
      </c>
      <c r="G522">
        <f t="shared" si="257"/>
        <v>2025</v>
      </c>
      <c r="H522" t="s">
        <v>353</v>
      </c>
      <c r="I522" s="4">
        <v>45796</v>
      </c>
      <c r="J522" s="8">
        <f t="shared" si="248"/>
        <v>-170</v>
      </c>
      <c r="K522" s="8" t="str">
        <f t="shared" si="258"/>
        <v>INVAILD_SHIPPING</v>
      </c>
      <c r="L522" t="s">
        <v>354</v>
      </c>
      <c r="M522" t="s">
        <v>167</v>
      </c>
      <c r="N522" t="str">
        <f t="shared" si="249"/>
        <v>Sneha Kapoor</v>
      </c>
      <c r="O522" t="s">
        <v>25</v>
      </c>
      <c r="P522" t="str">
        <f t="shared" si="272"/>
        <v>Consumer</v>
      </c>
      <c r="Q522" t="s">
        <v>41</v>
      </c>
      <c r="R522" t="str">
        <f t="shared" si="245"/>
        <v>East</v>
      </c>
      <c r="S522" t="str">
        <f t="shared" si="259"/>
        <v>OK</v>
      </c>
      <c r="T522" t="s">
        <v>120</v>
      </c>
      <c r="U522" t="str">
        <f t="shared" si="250"/>
        <v>West Bengal</v>
      </c>
      <c r="V522" t="s">
        <v>121</v>
      </c>
      <c r="W522" t="str">
        <f t="shared" si="251"/>
        <v>Kolkata</v>
      </c>
      <c r="X522" t="str">
        <f t="shared" si="252"/>
        <v>Technology</v>
      </c>
      <c r="Y522" t="s">
        <v>85</v>
      </c>
      <c r="Z522" t="s">
        <v>93</v>
      </c>
      <c r="AA522" t="str">
        <f t="shared" si="253"/>
        <v>Copiers</v>
      </c>
      <c r="AB522" t="s">
        <v>355</v>
      </c>
      <c r="AC522" t="s">
        <v>66</v>
      </c>
      <c r="AD522" t="str">
        <f t="shared" si="271"/>
        <v>Standard Class</v>
      </c>
      <c r="AE522" t="str">
        <f t="shared" si="260"/>
        <v>OK</v>
      </c>
      <c r="AF522">
        <v>1</v>
      </c>
      <c r="AG522">
        <v>2382.8000000000002</v>
      </c>
      <c r="AH522">
        <v>0.15</v>
      </c>
      <c r="AI522">
        <f t="shared" si="261"/>
        <v>0.15</v>
      </c>
      <c r="AJ522" t="str">
        <f t="shared" si="262"/>
        <v>OK</v>
      </c>
      <c r="AK522">
        <v>2025.38</v>
      </c>
      <c r="AL522">
        <v>1140.6500000000001</v>
      </c>
      <c r="AM522">
        <v>884.73</v>
      </c>
      <c r="AN522" t="s">
        <v>33</v>
      </c>
      <c r="AO522" t="str">
        <f t="shared" si="254"/>
        <v>PAID</v>
      </c>
      <c r="AP522" t="str">
        <f t="shared" si="263"/>
        <v>OK</v>
      </c>
      <c r="AQ522" t="s">
        <v>34</v>
      </c>
      <c r="AR522" t="str">
        <f t="shared" si="255"/>
        <v>COMPLETED</v>
      </c>
      <c r="AS522" t="str">
        <f t="shared" si="264"/>
        <v>OK</v>
      </c>
      <c r="AT522">
        <f t="shared" si="265"/>
        <v>2025.38</v>
      </c>
      <c r="AU522">
        <f t="shared" si="266"/>
        <v>884.73</v>
      </c>
      <c r="AV522" s="6">
        <f t="shared" si="267"/>
        <v>2.7646515715569429</v>
      </c>
      <c r="AW522" t="str">
        <f t="shared" si="268"/>
        <v>CLEAN</v>
      </c>
      <c r="AX522" s="10" t="str">
        <f t="shared" si="269"/>
        <v>MATCH</v>
      </c>
      <c r="AY522" t="str">
        <f t="shared" si="270"/>
        <v>MATCH</v>
      </c>
    </row>
    <row r="523" spans="1:51">
      <c r="A523" t="s">
        <v>367</v>
      </c>
      <c r="B523">
        <f t="shared" si="246"/>
        <v>1</v>
      </c>
      <c r="C523" t="s">
        <v>368</v>
      </c>
      <c r="D523" s="2">
        <v>45747</v>
      </c>
      <c r="E523" t="str">
        <f t="shared" si="247"/>
        <v>2025/03/31</v>
      </c>
      <c r="F523" t="str">
        <f t="shared" si="256"/>
        <v>March</v>
      </c>
      <c r="G523">
        <f t="shared" si="257"/>
        <v>2025</v>
      </c>
      <c r="H523" t="s">
        <v>369</v>
      </c>
      <c r="I523" s="4">
        <v>45747</v>
      </c>
      <c r="J523" s="8">
        <f t="shared" si="248"/>
        <v>0</v>
      </c>
      <c r="K523" s="8" t="str">
        <f t="shared" si="258"/>
        <v>OK</v>
      </c>
      <c r="L523" t="s">
        <v>370</v>
      </c>
      <c r="M523" t="s">
        <v>365</v>
      </c>
      <c r="N523" t="str">
        <f t="shared" si="249"/>
        <v>Kabir Singh</v>
      </c>
      <c r="O523" t="s">
        <v>114</v>
      </c>
      <c r="P523" t="str">
        <f t="shared" si="272"/>
        <v>Home Office</v>
      </c>
      <c r="Q523" t="s">
        <v>72</v>
      </c>
      <c r="R523" t="str">
        <f t="shared" si="245"/>
        <v>West</v>
      </c>
      <c r="S523" t="str">
        <f t="shared" si="259"/>
        <v>OK</v>
      </c>
      <c r="T523" t="s">
        <v>234</v>
      </c>
      <c r="U523" t="str">
        <f t="shared" si="250"/>
        <v>Gujarat</v>
      </c>
      <c r="V523" t="s">
        <v>235</v>
      </c>
      <c r="W523" t="str">
        <f t="shared" si="251"/>
        <v>Ahmedabad</v>
      </c>
      <c r="X523" t="str">
        <f t="shared" si="252"/>
        <v>Office Supplies</v>
      </c>
      <c r="Y523" t="s">
        <v>29</v>
      </c>
      <c r="Z523" t="s">
        <v>155</v>
      </c>
      <c r="AA523" t="str">
        <f t="shared" si="253"/>
        <v>Storage</v>
      </c>
      <c r="AB523" t="s">
        <v>371</v>
      </c>
      <c r="AC523" t="s">
        <v>55</v>
      </c>
      <c r="AD523" t="str">
        <f t="shared" si="271"/>
        <v>First Class</v>
      </c>
      <c r="AE523" t="str">
        <f t="shared" si="260"/>
        <v>OK</v>
      </c>
      <c r="AF523">
        <v>5</v>
      </c>
      <c r="AG523">
        <v>1207.47</v>
      </c>
      <c r="AH523">
        <v>0.15</v>
      </c>
      <c r="AI523">
        <f t="shared" si="261"/>
        <v>0.15</v>
      </c>
      <c r="AJ523" t="str">
        <f t="shared" si="262"/>
        <v>OK</v>
      </c>
      <c r="AK523">
        <v>5131.75</v>
      </c>
      <c r="AL523">
        <v>2838.68</v>
      </c>
      <c r="AM523">
        <v>2293.0700000000002</v>
      </c>
      <c r="AN523" t="s">
        <v>33</v>
      </c>
      <c r="AO523" t="str">
        <f t="shared" si="254"/>
        <v>PAID</v>
      </c>
      <c r="AP523" t="str">
        <f t="shared" si="263"/>
        <v>OK</v>
      </c>
      <c r="AQ523" t="s">
        <v>34</v>
      </c>
      <c r="AR523" t="str">
        <f t="shared" si="255"/>
        <v>COMPLETED</v>
      </c>
      <c r="AS523" t="str">
        <f t="shared" si="264"/>
        <v>OK</v>
      </c>
      <c r="AT523">
        <f t="shared" si="265"/>
        <v>5131.7475000000004</v>
      </c>
      <c r="AU523">
        <f t="shared" si="266"/>
        <v>2293.0675000000006</v>
      </c>
      <c r="AV523" s="6">
        <f t="shared" si="267"/>
        <v>0.34977948544818299</v>
      </c>
      <c r="AW523" t="str">
        <f t="shared" si="268"/>
        <v>CLEAN</v>
      </c>
      <c r="AX523" s="10" t="str">
        <f t="shared" si="269"/>
        <v>MATCH</v>
      </c>
      <c r="AY523" t="str">
        <f t="shared" si="270"/>
        <v>MATCH</v>
      </c>
    </row>
    <row r="524" spans="1:51">
      <c r="A524" t="s">
        <v>372</v>
      </c>
      <c r="B524">
        <f t="shared" si="246"/>
        <v>1</v>
      </c>
      <c r="C524" t="s">
        <v>373</v>
      </c>
      <c r="D524" s="2">
        <v>45807</v>
      </c>
      <c r="E524" t="str">
        <f t="shared" si="247"/>
        <v>2025/05/30</v>
      </c>
      <c r="F524" t="str">
        <f t="shared" si="256"/>
        <v>May</v>
      </c>
      <c r="G524">
        <f t="shared" si="257"/>
        <v>2025</v>
      </c>
      <c r="H524" t="s">
        <v>374</v>
      </c>
      <c r="I524" s="4">
        <v>45810</v>
      </c>
      <c r="J524" s="8">
        <f t="shared" si="248"/>
        <v>3</v>
      </c>
      <c r="K524" s="8" t="str">
        <f t="shared" si="258"/>
        <v>OK</v>
      </c>
      <c r="L524" t="s">
        <v>375</v>
      </c>
      <c r="M524" t="s">
        <v>60</v>
      </c>
      <c r="N524" t="str">
        <f t="shared" si="249"/>
        <v>Arjun Bose</v>
      </c>
      <c r="O524" t="s">
        <v>107</v>
      </c>
      <c r="P524" t="str">
        <f t="shared" si="272"/>
        <v>Corporate</v>
      </c>
      <c r="Q524" t="s">
        <v>61</v>
      </c>
      <c r="R524" t="str">
        <f t="shared" si="245"/>
        <v>South</v>
      </c>
      <c r="S524" t="str">
        <f t="shared" si="259"/>
        <v>OK</v>
      </c>
      <c r="T524" t="s">
        <v>338</v>
      </c>
      <c r="U524" t="str">
        <f t="shared" si="250"/>
        <v>Tamil Nadu</v>
      </c>
      <c r="V524" t="s">
        <v>339</v>
      </c>
      <c r="W524" t="str">
        <f t="shared" si="251"/>
        <v>Chennai</v>
      </c>
      <c r="X524" t="str">
        <f t="shared" si="252"/>
        <v>Office Supplies</v>
      </c>
      <c r="Y524" t="s">
        <v>29</v>
      </c>
      <c r="Z524" t="s">
        <v>108</v>
      </c>
      <c r="AA524" t="str">
        <f t="shared" si="253"/>
        <v>Labels</v>
      </c>
      <c r="AB524" t="s">
        <v>376</v>
      </c>
      <c r="AC524" t="s">
        <v>47</v>
      </c>
      <c r="AD524" t="str">
        <f t="shared" si="271"/>
        <v>Same Day</v>
      </c>
      <c r="AE524" t="str">
        <f t="shared" si="260"/>
        <v>OK</v>
      </c>
      <c r="AF524">
        <v>8</v>
      </c>
      <c r="AG524">
        <v>474.37</v>
      </c>
      <c r="AH524">
        <v>0.1</v>
      </c>
      <c r="AI524">
        <f t="shared" si="261"/>
        <v>0.1</v>
      </c>
      <c r="AJ524" t="str">
        <f t="shared" si="262"/>
        <v>OK</v>
      </c>
      <c r="AK524">
        <v>3415.46</v>
      </c>
      <c r="AL524">
        <v>1993.23</v>
      </c>
      <c r="AM524">
        <v>1422.23</v>
      </c>
      <c r="AN524" t="s">
        <v>199</v>
      </c>
      <c r="AO524" t="str">
        <f t="shared" si="254"/>
        <v>FAILED</v>
      </c>
      <c r="AP524" t="str">
        <f t="shared" si="263"/>
        <v>EXCLUDE_FROM_SALES</v>
      </c>
      <c r="AQ524" t="s">
        <v>77</v>
      </c>
      <c r="AR524" t="str">
        <f t="shared" si="255"/>
        <v>CANCELLED</v>
      </c>
      <c r="AS524" t="str">
        <f t="shared" si="264"/>
        <v>EXCLUDE_FROM_SALES</v>
      </c>
      <c r="AT524">
        <f t="shared" si="265"/>
        <v>3415.4639999999999</v>
      </c>
      <c r="AU524">
        <f t="shared" si="266"/>
        <v>1422.2339999999999</v>
      </c>
      <c r="AV524" s="6">
        <f t="shared" si="267"/>
        <v>1.1650452178679085</v>
      </c>
      <c r="AW524" t="str">
        <f t="shared" si="268"/>
        <v>CLEAN</v>
      </c>
      <c r="AX524" s="10" t="str">
        <f t="shared" si="269"/>
        <v>MATCH</v>
      </c>
      <c r="AY524" t="str">
        <f t="shared" si="270"/>
        <v>MATCH</v>
      </c>
    </row>
    <row r="525" spans="1:51">
      <c r="A525" t="s">
        <v>377</v>
      </c>
      <c r="B525">
        <f t="shared" si="246"/>
        <v>1</v>
      </c>
      <c r="C525" t="s">
        <v>378</v>
      </c>
      <c r="D525" s="3">
        <v>45839</v>
      </c>
      <c r="E525" t="str">
        <f t="shared" si="247"/>
        <v>2025/07/01</v>
      </c>
      <c r="F525" t="str">
        <f t="shared" si="256"/>
        <v>July</v>
      </c>
      <c r="G525">
        <f t="shared" si="257"/>
        <v>2025</v>
      </c>
      <c r="H525" t="s">
        <v>379</v>
      </c>
      <c r="I525" s="4">
        <v>45723</v>
      </c>
      <c r="J525" s="8">
        <f t="shared" si="248"/>
        <v>-116</v>
      </c>
      <c r="K525" s="8" t="str">
        <f t="shared" si="258"/>
        <v>INVAILD_SHIPPING</v>
      </c>
      <c r="L525" t="s">
        <v>380</v>
      </c>
      <c r="M525" t="s">
        <v>39</v>
      </c>
      <c r="N525" t="str">
        <f t="shared" si="249"/>
        <v>Mira Das</v>
      </c>
      <c r="O525" t="s">
        <v>40</v>
      </c>
      <c r="P525" t="str">
        <f t="shared" si="272"/>
        <v>Small Business</v>
      </c>
      <c r="Q525" t="s">
        <v>61</v>
      </c>
      <c r="R525" t="str">
        <f t="shared" ref="R525:R550" si="273">PROPER(TRIM(SUBSTITUTE(Q525,CHAR(160)," ")))</f>
        <v>South</v>
      </c>
      <c r="S525" t="str">
        <f t="shared" si="259"/>
        <v>OK</v>
      </c>
      <c r="T525" t="s">
        <v>99</v>
      </c>
      <c r="U525" t="str">
        <f t="shared" si="250"/>
        <v>Andhra Pradesh</v>
      </c>
      <c r="V525" t="s">
        <v>100</v>
      </c>
      <c r="W525" t="str">
        <f t="shared" si="251"/>
        <v>Vijayawada</v>
      </c>
      <c r="X525" t="str">
        <f t="shared" si="252"/>
        <v>Technology</v>
      </c>
      <c r="Y525" t="s">
        <v>85</v>
      </c>
      <c r="Z525" t="s">
        <v>381</v>
      </c>
      <c r="AA525" t="str">
        <f t="shared" si="253"/>
        <v>Machines</v>
      </c>
      <c r="AB525" t="s">
        <v>382</v>
      </c>
      <c r="AC525" t="s">
        <v>47</v>
      </c>
      <c r="AD525" t="str">
        <f t="shared" si="271"/>
        <v>Same Day</v>
      </c>
      <c r="AE525" t="str">
        <f t="shared" si="260"/>
        <v>OK</v>
      </c>
      <c r="AF525">
        <v>3</v>
      </c>
      <c r="AG525">
        <v>1516.24</v>
      </c>
      <c r="AH525">
        <v>0.25</v>
      </c>
      <c r="AI525">
        <f t="shared" si="261"/>
        <v>0.25</v>
      </c>
      <c r="AJ525" t="str">
        <f t="shared" si="262"/>
        <v>OK</v>
      </c>
      <c r="AK525">
        <v>3411.54</v>
      </c>
      <c r="AL525">
        <v>2803.13</v>
      </c>
      <c r="AM525">
        <v>608.41</v>
      </c>
      <c r="AN525" t="s">
        <v>33</v>
      </c>
      <c r="AO525" t="str">
        <f t="shared" si="254"/>
        <v>PAID</v>
      </c>
      <c r="AP525" t="str">
        <f t="shared" si="263"/>
        <v>OK</v>
      </c>
      <c r="AQ525" t="s">
        <v>34</v>
      </c>
      <c r="AR525" t="str">
        <f t="shared" si="255"/>
        <v>COMPLETED</v>
      </c>
      <c r="AS525" t="str">
        <f t="shared" si="264"/>
        <v>OK</v>
      </c>
      <c r="AT525">
        <f t="shared" si="265"/>
        <v>3411.54</v>
      </c>
      <c r="AU525">
        <f t="shared" si="266"/>
        <v>608.40999999999985</v>
      </c>
      <c r="AV525" s="6">
        <f t="shared" si="267"/>
        <v>0.72784138541538412</v>
      </c>
      <c r="AW525" t="str">
        <f t="shared" si="268"/>
        <v>CLEAN</v>
      </c>
      <c r="AX525" s="10" t="str">
        <f t="shared" si="269"/>
        <v>MATCH</v>
      </c>
      <c r="AY525" t="str">
        <f t="shared" si="270"/>
        <v>MATCH</v>
      </c>
    </row>
    <row r="526" spans="1:51">
      <c r="A526" t="s">
        <v>383</v>
      </c>
      <c r="B526">
        <f t="shared" si="246"/>
        <v>1</v>
      </c>
      <c r="C526" t="s">
        <v>384</v>
      </c>
      <c r="D526" s="3">
        <v>45778</v>
      </c>
      <c r="E526" t="str">
        <f t="shared" si="247"/>
        <v>2025/05/01</v>
      </c>
      <c r="F526" t="str">
        <f t="shared" si="256"/>
        <v>May</v>
      </c>
      <c r="G526">
        <f t="shared" si="257"/>
        <v>2025</v>
      </c>
      <c r="H526" t="s">
        <v>385</v>
      </c>
      <c r="I526" s="4">
        <v>45809</v>
      </c>
      <c r="J526" s="8">
        <f t="shared" si="248"/>
        <v>31</v>
      </c>
      <c r="K526" s="8" t="str">
        <f t="shared" si="258"/>
        <v>OK</v>
      </c>
      <c r="L526" t="s">
        <v>386</v>
      </c>
      <c r="M526" t="s">
        <v>24</v>
      </c>
      <c r="N526" t="str">
        <f t="shared" si="249"/>
        <v>Karan Malhotra</v>
      </c>
      <c r="O526" t="s">
        <v>25</v>
      </c>
      <c r="P526" t="str">
        <f t="shared" si="272"/>
        <v>Consumer</v>
      </c>
      <c r="Q526" t="s">
        <v>61</v>
      </c>
      <c r="R526" t="str">
        <f t="shared" si="273"/>
        <v>South</v>
      </c>
      <c r="S526" t="str">
        <f t="shared" si="259"/>
        <v>OK</v>
      </c>
      <c r="T526" t="s">
        <v>228</v>
      </c>
      <c r="U526" t="str">
        <f t="shared" si="250"/>
        <v>Karnataka</v>
      </c>
      <c r="V526" t="s">
        <v>229</v>
      </c>
      <c r="W526" t="str">
        <f t="shared" si="251"/>
        <v>Bengaluru</v>
      </c>
      <c r="X526" t="str">
        <f t="shared" si="252"/>
        <v>Office Supplies</v>
      </c>
      <c r="Y526" t="s">
        <v>29</v>
      </c>
      <c r="Z526" t="s">
        <v>197</v>
      </c>
      <c r="AA526" t="str">
        <f t="shared" si="253"/>
        <v>Binders</v>
      </c>
      <c r="AB526" t="s">
        <v>387</v>
      </c>
      <c r="AC526" t="s">
        <v>32</v>
      </c>
      <c r="AD526" t="str">
        <f t="shared" si="271"/>
        <v>Second Class</v>
      </c>
      <c r="AE526" t="str">
        <f t="shared" si="260"/>
        <v>OK</v>
      </c>
      <c r="AF526">
        <v>3</v>
      </c>
      <c r="AG526">
        <v>3155.61</v>
      </c>
      <c r="AH526">
        <v>0</v>
      </c>
      <c r="AI526">
        <f t="shared" si="261"/>
        <v>0</v>
      </c>
      <c r="AJ526" t="str">
        <f t="shared" si="262"/>
        <v>OK</v>
      </c>
      <c r="AK526">
        <v>9466.83</v>
      </c>
      <c r="AL526">
        <v>6557.83</v>
      </c>
      <c r="AM526">
        <v>2909</v>
      </c>
      <c r="AN526" t="s">
        <v>123</v>
      </c>
      <c r="AO526" t="str">
        <f t="shared" si="254"/>
        <v>REFUNDED</v>
      </c>
      <c r="AP526" t="str">
        <f t="shared" si="263"/>
        <v>REFUNDED_PAYMENT</v>
      </c>
      <c r="AQ526" t="s">
        <v>77</v>
      </c>
      <c r="AR526" t="str">
        <f t="shared" si="255"/>
        <v>CANCELLED</v>
      </c>
      <c r="AS526" t="str">
        <f t="shared" si="264"/>
        <v>EXCLUDE_FROM_SALES</v>
      </c>
      <c r="AT526">
        <f t="shared" si="265"/>
        <v>9466.83</v>
      </c>
      <c r="AU526">
        <f t="shared" si="266"/>
        <v>2909</v>
      </c>
      <c r="AV526" s="6">
        <f t="shared" si="267"/>
        <v>0.12161811292692493</v>
      </c>
      <c r="AW526" t="str">
        <f t="shared" si="268"/>
        <v>CLEAN</v>
      </c>
      <c r="AX526" s="10" t="str">
        <f t="shared" si="269"/>
        <v>MATCH</v>
      </c>
      <c r="AY526" t="str">
        <f t="shared" si="270"/>
        <v>MATCH</v>
      </c>
    </row>
    <row r="527" spans="1:51">
      <c r="A527" t="s">
        <v>433</v>
      </c>
      <c r="B527">
        <f t="shared" si="246"/>
        <v>1</v>
      </c>
      <c r="C527" t="s">
        <v>434</v>
      </c>
      <c r="D527" s="3">
        <v>45897</v>
      </c>
      <c r="E527" t="str">
        <f t="shared" si="247"/>
        <v>2025/08/28</v>
      </c>
      <c r="F527" t="str">
        <f t="shared" si="256"/>
        <v>August</v>
      </c>
      <c r="G527">
        <f t="shared" si="257"/>
        <v>2025</v>
      </c>
      <c r="H527" t="s">
        <v>435</v>
      </c>
      <c r="I527" s="4">
        <v>45901</v>
      </c>
      <c r="J527" s="8">
        <f t="shared" si="248"/>
        <v>4</v>
      </c>
      <c r="K527" s="8" t="str">
        <f t="shared" si="258"/>
        <v>OK</v>
      </c>
      <c r="L527" t="s">
        <v>436</v>
      </c>
      <c r="M527" t="s">
        <v>24</v>
      </c>
      <c r="N527" t="str">
        <f t="shared" si="249"/>
        <v>Karan Malhotra</v>
      </c>
      <c r="O527" t="s">
        <v>40</v>
      </c>
      <c r="P527" t="str">
        <f t="shared" si="272"/>
        <v>Small Business</v>
      </c>
      <c r="Q527" t="s">
        <v>61</v>
      </c>
      <c r="R527" t="str">
        <f t="shared" si="273"/>
        <v>South</v>
      </c>
      <c r="S527" t="str">
        <f t="shared" si="259"/>
        <v>OK</v>
      </c>
      <c r="T527" t="s">
        <v>338</v>
      </c>
      <c r="U527" t="str">
        <f t="shared" si="250"/>
        <v>Tamil Nadu</v>
      </c>
      <c r="V527" t="s">
        <v>339</v>
      </c>
      <c r="W527" t="str">
        <f t="shared" si="251"/>
        <v>Chennai</v>
      </c>
      <c r="X527" t="str">
        <f t="shared" si="252"/>
        <v>Technology</v>
      </c>
      <c r="Y527" t="s">
        <v>85</v>
      </c>
      <c r="Z527" t="s">
        <v>86</v>
      </c>
      <c r="AA527" t="str">
        <f t="shared" si="253"/>
        <v>Accessories</v>
      </c>
      <c r="AB527" t="s">
        <v>437</v>
      </c>
      <c r="AC527" t="s">
        <v>47</v>
      </c>
      <c r="AD527" t="str">
        <f t="shared" si="271"/>
        <v>Same Day</v>
      </c>
      <c r="AE527" t="str">
        <f t="shared" si="260"/>
        <v>OK</v>
      </c>
      <c r="AF527">
        <v>7</v>
      </c>
      <c r="AG527">
        <v>1057.46</v>
      </c>
      <c r="AH527">
        <v>0.05</v>
      </c>
      <c r="AI527">
        <f t="shared" si="261"/>
        <v>0.05</v>
      </c>
      <c r="AJ527" t="str">
        <f t="shared" si="262"/>
        <v>OK</v>
      </c>
      <c r="AK527">
        <v>7032.11</v>
      </c>
      <c r="AL527">
        <v>4610.34</v>
      </c>
      <c r="AM527">
        <v>2421.77</v>
      </c>
      <c r="AN527" t="s">
        <v>33</v>
      </c>
      <c r="AO527" t="str">
        <f t="shared" si="254"/>
        <v>PAID</v>
      </c>
      <c r="AP527" t="str">
        <f t="shared" si="263"/>
        <v>OK</v>
      </c>
      <c r="AQ527" t="s">
        <v>34</v>
      </c>
      <c r="AR527" t="str">
        <f t="shared" si="255"/>
        <v>COMPLETED</v>
      </c>
      <c r="AS527" t="str">
        <f t="shared" si="264"/>
        <v>OK</v>
      </c>
      <c r="AT527">
        <f t="shared" si="265"/>
        <v>7032.1089999999995</v>
      </c>
      <c r="AU527">
        <f t="shared" si="266"/>
        <v>2421.7689999999993</v>
      </c>
      <c r="AV527" s="6">
        <f t="shared" si="267"/>
        <v>0.32736622825385681</v>
      </c>
      <c r="AW527" t="str">
        <f t="shared" si="268"/>
        <v>CLEAN</v>
      </c>
      <c r="AX527" s="10" t="str">
        <f t="shared" si="269"/>
        <v>MATCH</v>
      </c>
      <c r="AY527" t="str">
        <f t="shared" si="270"/>
        <v>MATCH</v>
      </c>
    </row>
    <row r="528" spans="1:51">
      <c r="A528" t="s">
        <v>438</v>
      </c>
      <c r="B528">
        <f t="shared" si="246"/>
        <v>1</v>
      </c>
      <c r="C528" t="s">
        <v>439</v>
      </c>
      <c r="D528" s="2">
        <v>45718</v>
      </c>
      <c r="E528" t="str">
        <f t="shared" si="247"/>
        <v>2025/03/02</v>
      </c>
      <c r="F528" t="str">
        <f t="shared" si="256"/>
        <v>March</v>
      </c>
      <c r="G528">
        <f t="shared" si="257"/>
        <v>2025</v>
      </c>
      <c r="H528" t="s">
        <v>440</v>
      </c>
      <c r="I528" s="4">
        <v>45840</v>
      </c>
      <c r="J528" s="8">
        <f t="shared" si="248"/>
        <v>122</v>
      </c>
      <c r="K528" s="8" t="str">
        <f t="shared" si="258"/>
        <v>OK</v>
      </c>
      <c r="L528" t="s">
        <v>441</v>
      </c>
      <c r="M528" t="s">
        <v>365</v>
      </c>
      <c r="N528" t="str">
        <f t="shared" si="249"/>
        <v>Kabir Singh</v>
      </c>
      <c r="O528" t="s">
        <v>25</v>
      </c>
      <c r="P528" t="str">
        <f t="shared" si="272"/>
        <v>Consumer</v>
      </c>
      <c r="Q528" t="s">
        <v>26</v>
      </c>
      <c r="R528" t="str">
        <f t="shared" si="273"/>
        <v>North</v>
      </c>
      <c r="S528" t="str">
        <f t="shared" si="259"/>
        <v>OK</v>
      </c>
      <c r="T528" t="s">
        <v>322</v>
      </c>
      <c r="U528" t="str">
        <f t="shared" si="250"/>
        <v>Haryana</v>
      </c>
      <c r="V528" t="s">
        <v>323</v>
      </c>
      <c r="W528" t="str">
        <f t="shared" si="251"/>
        <v>Gurugram</v>
      </c>
      <c r="X528" t="str">
        <f t="shared" si="252"/>
        <v>Office Supplies</v>
      </c>
      <c r="Y528" t="s">
        <v>29</v>
      </c>
      <c r="Z528" t="s">
        <v>30</v>
      </c>
      <c r="AA528" t="str">
        <f t="shared" si="253"/>
        <v>Paper</v>
      </c>
      <c r="AB528" t="s">
        <v>442</v>
      </c>
      <c r="AC528" t="s">
        <v>55</v>
      </c>
      <c r="AD528" t="str">
        <f t="shared" si="271"/>
        <v>First Class</v>
      </c>
      <c r="AE528" t="str">
        <f t="shared" si="260"/>
        <v>OK</v>
      </c>
      <c r="AF528">
        <v>7</v>
      </c>
      <c r="AG528">
        <v>3609.34</v>
      </c>
      <c r="AH528">
        <v>0.05</v>
      </c>
      <c r="AI528">
        <f t="shared" si="261"/>
        <v>0.05</v>
      </c>
      <c r="AJ528" t="str">
        <f t="shared" si="262"/>
        <v>OK</v>
      </c>
      <c r="AK528">
        <v>24002.11</v>
      </c>
      <c r="AL528">
        <v>18707.57</v>
      </c>
      <c r="AM528">
        <v>5294.54</v>
      </c>
      <c r="AN528" t="s">
        <v>33</v>
      </c>
      <c r="AO528" t="str">
        <f t="shared" si="254"/>
        <v>PAID</v>
      </c>
      <c r="AP528" t="str">
        <f t="shared" si="263"/>
        <v>OK</v>
      </c>
      <c r="AQ528" t="s">
        <v>34</v>
      </c>
      <c r="AR528" t="str">
        <f t="shared" si="255"/>
        <v>COMPLETED</v>
      </c>
      <c r="AS528" t="str">
        <f t="shared" si="264"/>
        <v>OK</v>
      </c>
      <c r="AT528">
        <f t="shared" si="265"/>
        <v>24002.111000000001</v>
      </c>
      <c r="AU528">
        <f t="shared" si="266"/>
        <v>5294.5410000000011</v>
      </c>
      <c r="AV528" s="6">
        <f t="shared" si="267"/>
        <v>3.2257371028739934E-2</v>
      </c>
      <c r="AW528" t="str">
        <f t="shared" si="268"/>
        <v>CLEAN</v>
      </c>
      <c r="AX528" s="10" t="str">
        <f t="shared" si="269"/>
        <v>MATCH</v>
      </c>
      <c r="AY528" t="str">
        <f t="shared" si="270"/>
        <v>MATCH</v>
      </c>
    </row>
    <row r="529" spans="1:51">
      <c r="A529" t="s">
        <v>452</v>
      </c>
      <c r="B529">
        <f t="shared" si="246"/>
        <v>1</v>
      </c>
      <c r="C529" t="s">
        <v>453</v>
      </c>
      <c r="D529" s="3">
        <v>45891</v>
      </c>
      <c r="E529" t="str">
        <f t="shared" si="247"/>
        <v>2025/08/22</v>
      </c>
      <c r="F529" t="str">
        <f t="shared" si="256"/>
        <v>August</v>
      </c>
      <c r="G529">
        <f t="shared" si="257"/>
        <v>2025</v>
      </c>
      <c r="H529" t="s">
        <v>454</v>
      </c>
      <c r="I529" s="4">
        <v>45896</v>
      </c>
      <c r="J529" s="8">
        <f t="shared" si="248"/>
        <v>5</v>
      </c>
      <c r="K529" s="8" t="str">
        <f t="shared" si="258"/>
        <v>OK</v>
      </c>
      <c r="L529" t="s">
        <v>455</v>
      </c>
      <c r="M529" t="s">
        <v>24</v>
      </c>
      <c r="N529" t="str">
        <f t="shared" si="249"/>
        <v>Karan Malhotra</v>
      </c>
      <c r="O529" t="s">
        <v>107</v>
      </c>
      <c r="P529" t="str">
        <f t="shared" si="272"/>
        <v>Corporate</v>
      </c>
      <c r="Q529" t="s">
        <v>61</v>
      </c>
      <c r="R529" t="str">
        <f t="shared" si="273"/>
        <v>South</v>
      </c>
      <c r="S529" t="str">
        <f t="shared" si="259"/>
        <v>OK</v>
      </c>
      <c r="T529" t="s">
        <v>99</v>
      </c>
      <c r="U529" t="str">
        <f t="shared" si="250"/>
        <v>Andhra Pradesh</v>
      </c>
      <c r="V529" t="s">
        <v>100</v>
      </c>
      <c r="W529" t="str">
        <f t="shared" si="251"/>
        <v>Vijayawada</v>
      </c>
      <c r="X529" t="str">
        <f t="shared" si="252"/>
        <v>Technology</v>
      </c>
      <c r="Y529" t="s">
        <v>85</v>
      </c>
      <c r="Z529" t="s">
        <v>222</v>
      </c>
      <c r="AA529" t="str">
        <f t="shared" si="253"/>
        <v>Phones</v>
      </c>
      <c r="AB529" t="s">
        <v>456</v>
      </c>
      <c r="AC529" t="s">
        <v>55</v>
      </c>
      <c r="AD529" t="str">
        <f t="shared" si="271"/>
        <v>First Class</v>
      </c>
      <c r="AE529" t="str">
        <f t="shared" si="260"/>
        <v>OK</v>
      </c>
      <c r="AF529">
        <v>2</v>
      </c>
      <c r="AG529">
        <v>905.87</v>
      </c>
      <c r="AH529">
        <v>0.15</v>
      </c>
      <c r="AI529">
        <f t="shared" si="261"/>
        <v>0.15</v>
      </c>
      <c r="AJ529" t="str">
        <f t="shared" si="262"/>
        <v>OK</v>
      </c>
      <c r="AK529">
        <v>1539.98</v>
      </c>
      <c r="AL529">
        <v>1070.2</v>
      </c>
      <c r="AM529">
        <v>469.78</v>
      </c>
      <c r="AN529" t="s">
        <v>33</v>
      </c>
      <c r="AO529" t="str">
        <f t="shared" si="254"/>
        <v>PAID</v>
      </c>
      <c r="AP529" t="str">
        <f t="shared" si="263"/>
        <v>OK</v>
      </c>
      <c r="AQ529" t="s">
        <v>34</v>
      </c>
      <c r="AR529" t="str">
        <f t="shared" si="255"/>
        <v>COMPLETED</v>
      </c>
      <c r="AS529" t="str">
        <f t="shared" si="264"/>
        <v>OK</v>
      </c>
      <c r="AT529">
        <f t="shared" si="265"/>
        <v>1539.979</v>
      </c>
      <c r="AU529">
        <f t="shared" si="266"/>
        <v>469.779</v>
      </c>
      <c r="AV529" s="6">
        <f t="shared" si="267"/>
        <v>0.35426327242124728</v>
      </c>
      <c r="AW529" t="str">
        <f t="shared" si="268"/>
        <v>CLEAN</v>
      </c>
      <c r="AX529" s="10" t="str">
        <f t="shared" si="269"/>
        <v>MATCH</v>
      </c>
      <c r="AY529" t="str">
        <f t="shared" si="270"/>
        <v>MATCH</v>
      </c>
    </row>
    <row r="530" spans="1:51">
      <c r="A530" t="s">
        <v>457</v>
      </c>
      <c r="B530">
        <f t="shared" si="246"/>
        <v>1</v>
      </c>
      <c r="C530" t="s">
        <v>90</v>
      </c>
      <c r="D530" s="3">
        <v>45763</v>
      </c>
      <c r="E530" t="str">
        <f t="shared" si="247"/>
        <v>2025/04/16</v>
      </c>
      <c r="F530" t="str">
        <f t="shared" si="256"/>
        <v>April</v>
      </c>
      <c r="G530">
        <f t="shared" si="257"/>
        <v>2025</v>
      </c>
      <c r="H530" t="s">
        <v>458</v>
      </c>
      <c r="I530" s="4">
        <v>45770</v>
      </c>
      <c r="J530" s="8">
        <f t="shared" si="248"/>
        <v>7</v>
      </c>
      <c r="K530" s="8" t="str">
        <f t="shared" si="258"/>
        <v>OK</v>
      </c>
      <c r="L530" t="s">
        <v>459</v>
      </c>
      <c r="M530" t="s">
        <v>39</v>
      </c>
      <c r="N530" t="str">
        <f t="shared" si="249"/>
        <v>Mira Das</v>
      </c>
      <c r="O530" t="s">
        <v>40</v>
      </c>
      <c r="P530" t="str">
        <f t="shared" si="272"/>
        <v>Small Business</v>
      </c>
      <c r="Q530" t="s">
        <v>72</v>
      </c>
      <c r="R530" t="str">
        <f t="shared" si="273"/>
        <v>West</v>
      </c>
      <c r="S530" t="str">
        <f t="shared" si="259"/>
        <v>OK</v>
      </c>
      <c r="T530" t="s">
        <v>248</v>
      </c>
      <c r="U530" t="str">
        <f t="shared" si="250"/>
        <v>Goa</v>
      </c>
      <c r="V530" t="s">
        <v>249</v>
      </c>
      <c r="W530" t="str">
        <f t="shared" si="251"/>
        <v>Panaji</v>
      </c>
      <c r="X530" t="str">
        <f t="shared" si="252"/>
        <v>Technology</v>
      </c>
      <c r="Y530" t="s">
        <v>85</v>
      </c>
      <c r="Z530" t="s">
        <v>381</v>
      </c>
      <c r="AA530" t="str">
        <f t="shared" si="253"/>
        <v>Machines</v>
      </c>
      <c r="AB530" t="s">
        <v>460</v>
      </c>
      <c r="AC530" t="s">
        <v>66</v>
      </c>
      <c r="AD530" t="str">
        <f t="shared" si="271"/>
        <v>Standard Class</v>
      </c>
      <c r="AE530" t="str">
        <f t="shared" si="260"/>
        <v>OK</v>
      </c>
      <c r="AF530">
        <v>6</v>
      </c>
      <c r="AG530">
        <v>2027.32</v>
      </c>
      <c r="AH530">
        <v>0.1</v>
      </c>
      <c r="AI530">
        <f t="shared" si="261"/>
        <v>0.1</v>
      </c>
      <c r="AJ530" t="str">
        <f t="shared" si="262"/>
        <v>OK</v>
      </c>
      <c r="AK530">
        <v>10947.53</v>
      </c>
      <c r="AL530">
        <v>6447.36</v>
      </c>
      <c r="AM530">
        <v>4500.17</v>
      </c>
      <c r="AN530" t="s">
        <v>33</v>
      </c>
      <c r="AO530" t="str">
        <f t="shared" si="254"/>
        <v>PAID</v>
      </c>
      <c r="AP530" t="str">
        <f t="shared" si="263"/>
        <v>OK</v>
      </c>
      <c r="AQ530" t="s">
        <v>34</v>
      </c>
      <c r="AR530" t="str">
        <f t="shared" si="255"/>
        <v>COMPLETED</v>
      </c>
      <c r="AS530" t="str">
        <f t="shared" si="264"/>
        <v>OK</v>
      </c>
      <c r="AT530">
        <f t="shared" si="265"/>
        <v>10947.528</v>
      </c>
      <c r="AU530">
        <f t="shared" si="266"/>
        <v>4500.1680000000006</v>
      </c>
      <c r="AV530" s="6">
        <f t="shared" si="267"/>
        <v>4.8370965573232609E-2</v>
      </c>
      <c r="AW530" t="str">
        <f t="shared" si="268"/>
        <v>CLEAN</v>
      </c>
      <c r="AX530" s="10" t="str">
        <f t="shared" si="269"/>
        <v>MATCH</v>
      </c>
      <c r="AY530" t="str">
        <f t="shared" si="270"/>
        <v>MATCH</v>
      </c>
    </row>
    <row r="531" spans="1:51">
      <c r="A531" t="s">
        <v>466</v>
      </c>
      <c r="B531">
        <f t="shared" si="246"/>
        <v>1</v>
      </c>
      <c r="C531" t="s">
        <v>467</v>
      </c>
      <c r="D531" s="3">
        <v>45745</v>
      </c>
      <c r="E531" t="str">
        <f t="shared" si="247"/>
        <v>2025/03/29</v>
      </c>
      <c r="F531" t="str">
        <f t="shared" si="256"/>
        <v>March</v>
      </c>
      <c r="G531">
        <f t="shared" si="257"/>
        <v>2025</v>
      </c>
      <c r="H531" t="s">
        <v>468</v>
      </c>
      <c r="I531" s="4">
        <v>45750</v>
      </c>
      <c r="J531" s="8">
        <f t="shared" si="248"/>
        <v>5</v>
      </c>
      <c r="K531" s="8" t="str">
        <f t="shared" si="258"/>
        <v>OK</v>
      </c>
      <c r="L531" t="s">
        <v>469</v>
      </c>
      <c r="M531" t="s">
        <v>167</v>
      </c>
      <c r="N531" t="str">
        <f t="shared" si="249"/>
        <v>Sneha Kapoor</v>
      </c>
      <c r="O531" t="s">
        <v>107</v>
      </c>
      <c r="P531" t="str">
        <f t="shared" si="272"/>
        <v>Corporate</v>
      </c>
      <c r="Q531" t="s">
        <v>41</v>
      </c>
      <c r="R531" t="str">
        <f t="shared" si="273"/>
        <v>East</v>
      </c>
      <c r="S531" t="str">
        <f t="shared" si="259"/>
        <v>OK</v>
      </c>
      <c r="T531" t="s">
        <v>120</v>
      </c>
      <c r="U531" t="str">
        <f t="shared" si="250"/>
        <v>West Bengal</v>
      </c>
      <c r="V531" t="s">
        <v>121</v>
      </c>
      <c r="W531" t="str">
        <f t="shared" si="251"/>
        <v>Kolkata</v>
      </c>
      <c r="X531" t="str">
        <f t="shared" si="252"/>
        <v>Furniture</v>
      </c>
      <c r="Y531" t="s">
        <v>44</v>
      </c>
      <c r="Z531" t="s">
        <v>203</v>
      </c>
      <c r="AA531" t="str">
        <f t="shared" si="253"/>
        <v>Bookcases</v>
      </c>
      <c r="AB531" t="s">
        <v>470</v>
      </c>
      <c r="AC531" t="s">
        <v>55</v>
      </c>
      <c r="AD531" t="str">
        <f t="shared" si="271"/>
        <v>First Class</v>
      </c>
      <c r="AE531" t="str">
        <f t="shared" si="260"/>
        <v>OK</v>
      </c>
      <c r="AF531">
        <v>5</v>
      </c>
      <c r="AG531">
        <v>1425.74</v>
      </c>
      <c r="AH531">
        <v>0</v>
      </c>
      <c r="AI531">
        <f t="shared" si="261"/>
        <v>0</v>
      </c>
      <c r="AJ531" t="str">
        <f t="shared" si="262"/>
        <v>OK</v>
      </c>
      <c r="AK531">
        <v>7128.7</v>
      </c>
      <c r="AL531">
        <v>4382.1499999999996</v>
      </c>
      <c r="AM531">
        <v>2746.55</v>
      </c>
      <c r="AN531" t="s">
        <v>33</v>
      </c>
      <c r="AO531" t="str">
        <f t="shared" si="254"/>
        <v>PAID</v>
      </c>
      <c r="AP531" t="str">
        <f t="shared" si="263"/>
        <v>OK</v>
      </c>
      <c r="AQ531" t="s">
        <v>34</v>
      </c>
      <c r="AR531" t="str">
        <f t="shared" si="255"/>
        <v>COMPLETED</v>
      </c>
      <c r="AS531" t="str">
        <f t="shared" si="264"/>
        <v>OK</v>
      </c>
      <c r="AT531">
        <f t="shared" si="265"/>
        <v>7128.7</v>
      </c>
      <c r="AU531">
        <f t="shared" si="266"/>
        <v>2746.55</v>
      </c>
      <c r="AV531" s="6">
        <f t="shared" si="267"/>
        <v>0.79308850140979403</v>
      </c>
      <c r="AW531" t="str">
        <f t="shared" si="268"/>
        <v>CLEAN</v>
      </c>
      <c r="AX531" s="10" t="str">
        <f t="shared" si="269"/>
        <v>MATCH</v>
      </c>
      <c r="AY531" t="str">
        <f t="shared" si="270"/>
        <v>MATCH</v>
      </c>
    </row>
    <row r="532" spans="1:51">
      <c r="A532" t="s">
        <v>471</v>
      </c>
      <c r="B532">
        <f t="shared" si="246"/>
        <v>1</v>
      </c>
      <c r="C532" t="s">
        <v>472</v>
      </c>
      <c r="D532" s="3">
        <v>45715</v>
      </c>
      <c r="E532" t="str">
        <f t="shared" si="247"/>
        <v>2025/02/27</v>
      </c>
      <c r="F532" t="str">
        <f t="shared" si="256"/>
        <v>February</v>
      </c>
      <c r="G532">
        <f t="shared" si="257"/>
        <v>2025</v>
      </c>
      <c r="H532" t="s">
        <v>473</v>
      </c>
      <c r="I532" s="4">
        <v>45717</v>
      </c>
      <c r="J532" s="8">
        <f t="shared" si="248"/>
        <v>2</v>
      </c>
      <c r="K532" s="8" t="str">
        <f t="shared" si="258"/>
        <v>OK</v>
      </c>
      <c r="L532" t="s">
        <v>474</v>
      </c>
      <c r="M532" t="s">
        <v>82</v>
      </c>
      <c r="N532" t="str">
        <f t="shared" si="249"/>
        <v>Vikram Iyer</v>
      </c>
      <c r="O532" t="s">
        <v>40</v>
      </c>
      <c r="P532" t="str">
        <f t="shared" si="272"/>
        <v>Small Business</v>
      </c>
      <c r="Q532" t="s">
        <v>41</v>
      </c>
      <c r="R532" t="str">
        <f t="shared" si="273"/>
        <v>East</v>
      </c>
      <c r="S532" t="str">
        <f t="shared" si="259"/>
        <v>OK</v>
      </c>
      <c r="T532" t="s">
        <v>120</v>
      </c>
      <c r="U532" t="str">
        <f t="shared" si="250"/>
        <v>West Bengal</v>
      </c>
      <c r="V532" t="s">
        <v>121</v>
      </c>
      <c r="W532" t="str">
        <f t="shared" si="251"/>
        <v>Kolkata</v>
      </c>
      <c r="X532" t="str">
        <f t="shared" si="252"/>
        <v>Furniture</v>
      </c>
      <c r="Y532" t="s">
        <v>44</v>
      </c>
      <c r="Z532" t="s">
        <v>75</v>
      </c>
      <c r="AA532" t="str">
        <f t="shared" si="253"/>
        <v>Chairs</v>
      </c>
      <c r="AB532" t="s">
        <v>475</v>
      </c>
      <c r="AC532" t="s">
        <v>66</v>
      </c>
      <c r="AD532" t="str">
        <f t="shared" si="271"/>
        <v>Standard Class</v>
      </c>
      <c r="AE532" t="str">
        <f t="shared" si="260"/>
        <v>OK</v>
      </c>
      <c r="AF532">
        <v>6</v>
      </c>
      <c r="AG532">
        <v>551.64</v>
      </c>
      <c r="AH532">
        <v>0</v>
      </c>
      <c r="AI532">
        <f t="shared" si="261"/>
        <v>0</v>
      </c>
      <c r="AJ532" t="str">
        <f t="shared" si="262"/>
        <v>OK</v>
      </c>
      <c r="AK532">
        <v>3309.84</v>
      </c>
      <c r="AL532">
        <v>2671.08</v>
      </c>
      <c r="AM532">
        <v>638.76</v>
      </c>
      <c r="AN532" t="s">
        <v>33</v>
      </c>
      <c r="AO532" t="str">
        <f t="shared" si="254"/>
        <v>PAID</v>
      </c>
      <c r="AP532" t="str">
        <f t="shared" si="263"/>
        <v>OK</v>
      </c>
      <c r="AQ532" t="s">
        <v>34</v>
      </c>
      <c r="AR532" t="str">
        <f t="shared" si="255"/>
        <v>COMPLETED</v>
      </c>
      <c r="AS532" t="str">
        <f t="shared" si="264"/>
        <v>OK</v>
      </c>
      <c r="AT532">
        <f t="shared" si="265"/>
        <v>3309.84</v>
      </c>
      <c r="AU532">
        <f t="shared" si="266"/>
        <v>638.76000000000022</v>
      </c>
      <c r="AV532" s="6">
        <f t="shared" si="267"/>
        <v>1.5007477702849685</v>
      </c>
      <c r="AW532" t="str">
        <f t="shared" si="268"/>
        <v>CLEAN</v>
      </c>
      <c r="AX532" s="10" t="str">
        <f t="shared" si="269"/>
        <v>MATCH</v>
      </c>
      <c r="AY532" t="str">
        <f t="shared" si="270"/>
        <v>MATCH</v>
      </c>
    </row>
    <row r="533" spans="1:51">
      <c r="A533" t="s">
        <v>476</v>
      </c>
      <c r="B533">
        <f t="shared" si="246"/>
        <v>1</v>
      </c>
      <c r="C533" t="s">
        <v>477</v>
      </c>
      <c r="D533" s="3">
        <v>45891</v>
      </c>
      <c r="E533" t="str">
        <f t="shared" si="247"/>
        <v>2025/08/22</v>
      </c>
      <c r="F533" t="str">
        <f t="shared" si="256"/>
        <v>August</v>
      </c>
      <c r="G533">
        <f t="shared" si="257"/>
        <v>2025</v>
      </c>
      <c r="H533" t="s">
        <v>478</v>
      </c>
      <c r="I533" s="4">
        <v>45896</v>
      </c>
      <c r="J533" s="8">
        <f t="shared" si="248"/>
        <v>5</v>
      </c>
      <c r="K533" s="8" t="str">
        <f t="shared" si="258"/>
        <v>OK</v>
      </c>
      <c r="L533" t="s">
        <v>479</v>
      </c>
      <c r="M533" t="s">
        <v>141</v>
      </c>
      <c r="N533" t="str">
        <f t="shared" si="249"/>
        <v>Priya Menon</v>
      </c>
      <c r="O533" t="s">
        <v>40</v>
      </c>
      <c r="P533" t="str">
        <f t="shared" si="272"/>
        <v>Small Business</v>
      </c>
      <c r="Q533" t="s">
        <v>41</v>
      </c>
      <c r="R533" t="str">
        <f t="shared" si="273"/>
        <v>East</v>
      </c>
      <c r="S533" t="str">
        <f t="shared" si="259"/>
        <v>OK</v>
      </c>
      <c r="T533" t="s">
        <v>42</v>
      </c>
      <c r="U533" t="str">
        <f t="shared" si="250"/>
        <v>Odisha</v>
      </c>
      <c r="V533" t="s">
        <v>43</v>
      </c>
      <c r="W533" t="str">
        <f t="shared" si="251"/>
        <v>Bhubaneswar</v>
      </c>
      <c r="X533" t="str">
        <f t="shared" si="252"/>
        <v>Office Supplies</v>
      </c>
      <c r="Y533" t="s">
        <v>29</v>
      </c>
      <c r="Z533" t="s">
        <v>108</v>
      </c>
      <c r="AA533" t="str">
        <f t="shared" si="253"/>
        <v>Labels</v>
      </c>
      <c r="AB533" t="s">
        <v>480</v>
      </c>
      <c r="AC533" t="s">
        <v>55</v>
      </c>
      <c r="AD533" t="str">
        <f t="shared" si="271"/>
        <v>First Class</v>
      </c>
      <c r="AE533" t="str">
        <f t="shared" si="260"/>
        <v>OK</v>
      </c>
      <c r="AF533">
        <v>3</v>
      </c>
      <c r="AG533">
        <v>3294.82</v>
      </c>
      <c r="AH533">
        <v>0.2</v>
      </c>
      <c r="AI533">
        <f t="shared" si="261"/>
        <v>0.2</v>
      </c>
      <c r="AJ533" t="str">
        <f t="shared" si="262"/>
        <v>OK</v>
      </c>
      <c r="AK533">
        <v>7907.57</v>
      </c>
      <c r="AL533">
        <v>5391.18</v>
      </c>
      <c r="AM533">
        <v>2516.39</v>
      </c>
      <c r="AN533" t="s">
        <v>33</v>
      </c>
      <c r="AO533" t="str">
        <f t="shared" si="254"/>
        <v>PAID</v>
      </c>
      <c r="AP533" t="str">
        <f t="shared" si="263"/>
        <v>OK</v>
      </c>
      <c r="AQ533" t="s">
        <v>34</v>
      </c>
      <c r="AR533" t="str">
        <f t="shared" si="255"/>
        <v>COMPLETED</v>
      </c>
      <c r="AS533" t="str">
        <f t="shared" si="264"/>
        <v>OK</v>
      </c>
      <c r="AT533">
        <f t="shared" si="265"/>
        <v>7907.5680000000011</v>
      </c>
      <c r="AU533">
        <f t="shared" si="266"/>
        <v>2516.3880000000008</v>
      </c>
      <c r="AV533" s="6">
        <f t="shared" si="267"/>
        <v>0.21939134763052306</v>
      </c>
      <c r="AW533" t="str">
        <f t="shared" si="268"/>
        <v>CLEAN</v>
      </c>
      <c r="AX533" s="10" t="str">
        <f t="shared" si="269"/>
        <v>MATCH</v>
      </c>
      <c r="AY533" t="str">
        <f t="shared" si="270"/>
        <v>MATCH</v>
      </c>
    </row>
    <row r="534" spans="1:51">
      <c r="A534" t="s">
        <v>486</v>
      </c>
      <c r="B534">
        <f t="shared" si="246"/>
        <v>1</v>
      </c>
      <c r="C534" t="s">
        <v>487</v>
      </c>
      <c r="D534" s="3">
        <v>45876</v>
      </c>
      <c r="E534" t="str">
        <f t="shared" si="247"/>
        <v>2025/08/07</v>
      </c>
      <c r="F534" t="str">
        <f t="shared" si="256"/>
        <v>August</v>
      </c>
      <c r="G534">
        <f t="shared" si="257"/>
        <v>2025</v>
      </c>
      <c r="H534" t="s">
        <v>488</v>
      </c>
      <c r="I534" s="4">
        <v>45998</v>
      </c>
      <c r="J534" s="8">
        <f t="shared" si="248"/>
        <v>122</v>
      </c>
      <c r="K534" s="8" t="str">
        <f t="shared" si="258"/>
        <v>OK</v>
      </c>
      <c r="L534" t="s">
        <v>489</v>
      </c>
      <c r="M534" t="s">
        <v>179</v>
      </c>
      <c r="N534" t="str">
        <f t="shared" si="249"/>
        <v>Rohan Mehta</v>
      </c>
      <c r="O534" t="s">
        <v>114</v>
      </c>
      <c r="P534" t="str">
        <f t="shared" si="272"/>
        <v>Home Office</v>
      </c>
      <c r="Q534" t="s">
        <v>26</v>
      </c>
      <c r="R534" t="str">
        <f t="shared" si="273"/>
        <v>North</v>
      </c>
      <c r="S534" t="str">
        <f t="shared" si="259"/>
        <v>OK</v>
      </c>
      <c r="T534" t="s">
        <v>173</v>
      </c>
      <c r="U534" t="str">
        <f t="shared" si="250"/>
        <v>Uttar Pradesh</v>
      </c>
      <c r="V534" t="s">
        <v>174</v>
      </c>
      <c r="W534" t="str">
        <f t="shared" si="251"/>
        <v>Noida</v>
      </c>
      <c r="X534" t="str">
        <f t="shared" si="252"/>
        <v>Furniture</v>
      </c>
      <c r="Y534" t="s">
        <v>44</v>
      </c>
      <c r="Z534" t="s">
        <v>64</v>
      </c>
      <c r="AA534" t="str">
        <f t="shared" si="253"/>
        <v>Furnishings</v>
      </c>
      <c r="AB534" t="s">
        <v>490</v>
      </c>
      <c r="AC534" t="s">
        <v>66</v>
      </c>
      <c r="AD534" t="str">
        <f t="shared" si="271"/>
        <v>Standard Class</v>
      </c>
      <c r="AE534" t="str">
        <f t="shared" si="260"/>
        <v>OK</v>
      </c>
      <c r="AF534">
        <v>1</v>
      </c>
      <c r="AG534">
        <v>2582.1999999999998</v>
      </c>
      <c r="AH534">
        <v>0.15</v>
      </c>
      <c r="AI534">
        <f t="shared" si="261"/>
        <v>0.15</v>
      </c>
      <c r="AJ534" t="str">
        <f t="shared" si="262"/>
        <v>OK</v>
      </c>
      <c r="AK534">
        <v>2194.87</v>
      </c>
      <c r="AL534">
        <v>1223.17</v>
      </c>
      <c r="AM534">
        <v>971.7</v>
      </c>
      <c r="AN534" t="s">
        <v>123</v>
      </c>
      <c r="AO534" t="str">
        <f t="shared" si="254"/>
        <v>REFUNDED</v>
      </c>
      <c r="AP534" t="str">
        <f t="shared" si="263"/>
        <v>REFUNDED_PAYMENT</v>
      </c>
      <c r="AQ534" t="s">
        <v>77</v>
      </c>
      <c r="AR534" t="str">
        <f t="shared" si="255"/>
        <v>CANCELLED</v>
      </c>
      <c r="AS534" t="str">
        <f t="shared" si="264"/>
        <v>EXCLUDE_FROM_SALES</v>
      </c>
      <c r="AT534">
        <f t="shared" si="265"/>
        <v>2194.87</v>
      </c>
      <c r="AU534">
        <f t="shared" si="266"/>
        <v>971.69999999999982</v>
      </c>
      <c r="AV534" s="6">
        <f t="shared" si="267"/>
        <v>1.027992546255587</v>
      </c>
      <c r="AW534" t="str">
        <f t="shared" si="268"/>
        <v>CLEAN</v>
      </c>
      <c r="AX534" s="10" t="str">
        <f t="shared" si="269"/>
        <v>MATCH</v>
      </c>
      <c r="AY534" t="str">
        <f t="shared" si="270"/>
        <v>MATCH</v>
      </c>
    </row>
    <row r="535" spans="1:51">
      <c r="A535" t="s">
        <v>491</v>
      </c>
      <c r="B535">
        <f t="shared" si="246"/>
        <v>1</v>
      </c>
      <c r="C535" t="s">
        <v>492</v>
      </c>
      <c r="D535" s="3">
        <v>45854</v>
      </c>
      <c r="E535" t="str">
        <f t="shared" si="247"/>
        <v>2025/07/16</v>
      </c>
      <c r="F535" t="str">
        <f t="shared" si="256"/>
        <v>July</v>
      </c>
      <c r="G535">
        <f t="shared" si="257"/>
        <v>2025</v>
      </c>
      <c r="H535" t="s">
        <v>493</v>
      </c>
      <c r="I535" s="4">
        <v>45859</v>
      </c>
      <c r="J535" s="8">
        <f t="shared" si="248"/>
        <v>5</v>
      </c>
      <c r="K535" s="8" t="str">
        <f t="shared" si="258"/>
        <v>OK</v>
      </c>
      <c r="L535" t="s">
        <v>494</v>
      </c>
      <c r="M535" t="s">
        <v>167</v>
      </c>
      <c r="N535" t="str">
        <f t="shared" si="249"/>
        <v>Sneha Kapoor</v>
      </c>
      <c r="O535" t="s">
        <v>107</v>
      </c>
      <c r="P535" t="str">
        <f t="shared" si="272"/>
        <v>Corporate</v>
      </c>
      <c r="Q535" t="s">
        <v>41</v>
      </c>
      <c r="R535" t="str">
        <f t="shared" si="273"/>
        <v>East</v>
      </c>
      <c r="S535" t="str">
        <f t="shared" si="259"/>
        <v>OK</v>
      </c>
      <c r="T535" t="s">
        <v>120</v>
      </c>
      <c r="U535" t="str">
        <f t="shared" si="250"/>
        <v>West Bengal</v>
      </c>
      <c r="V535" t="s">
        <v>121</v>
      </c>
      <c r="W535" t="str">
        <f t="shared" si="251"/>
        <v>Kolkata</v>
      </c>
      <c r="X535" t="str">
        <f t="shared" si="252"/>
        <v>Furniture</v>
      </c>
      <c r="Y535" t="s">
        <v>44</v>
      </c>
      <c r="Z535" t="s">
        <v>45</v>
      </c>
      <c r="AA535" t="str">
        <f t="shared" si="253"/>
        <v>Tables</v>
      </c>
      <c r="AB535" t="s">
        <v>495</v>
      </c>
      <c r="AC535" t="s">
        <v>55</v>
      </c>
      <c r="AD535" t="str">
        <f t="shared" si="271"/>
        <v>First Class</v>
      </c>
      <c r="AE535" t="str">
        <f t="shared" si="260"/>
        <v>OK</v>
      </c>
      <c r="AF535">
        <v>5</v>
      </c>
      <c r="AG535">
        <v>2129.5100000000002</v>
      </c>
      <c r="AH535">
        <v>0.15</v>
      </c>
      <c r="AI535">
        <f t="shared" si="261"/>
        <v>0.15</v>
      </c>
      <c r="AJ535" t="str">
        <f t="shared" si="262"/>
        <v>OK</v>
      </c>
      <c r="AK535">
        <v>9050.42</v>
      </c>
      <c r="AL535">
        <v>6778.85</v>
      </c>
      <c r="AM535">
        <v>2271.5700000000002</v>
      </c>
      <c r="AN535" t="s">
        <v>33</v>
      </c>
      <c r="AO535" t="str">
        <f t="shared" si="254"/>
        <v>PAID</v>
      </c>
      <c r="AP535" t="str">
        <f t="shared" si="263"/>
        <v>OK</v>
      </c>
      <c r="AQ535" t="s">
        <v>34</v>
      </c>
      <c r="AR535" t="str">
        <f t="shared" si="255"/>
        <v>COMPLETED</v>
      </c>
      <c r="AS535" t="str">
        <f t="shared" si="264"/>
        <v>OK</v>
      </c>
      <c r="AT535">
        <f t="shared" si="265"/>
        <v>9050.4175000000014</v>
      </c>
      <c r="AU535">
        <f t="shared" si="266"/>
        <v>2271.567500000001</v>
      </c>
      <c r="AV535" s="6">
        <f t="shared" si="267"/>
        <v>0.24930452103452683</v>
      </c>
      <c r="AW535" t="str">
        <f t="shared" si="268"/>
        <v>CLEAN</v>
      </c>
      <c r="AX535" s="10" t="str">
        <f t="shared" si="269"/>
        <v>MATCH</v>
      </c>
      <c r="AY535" t="str">
        <f t="shared" si="270"/>
        <v>MATCH</v>
      </c>
    </row>
    <row r="536" spans="1:51">
      <c r="A536" t="s">
        <v>496</v>
      </c>
      <c r="B536">
        <f t="shared" si="246"/>
        <v>1</v>
      </c>
      <c r="C536" t="s">
        <v>497</v>
      </c>
      <c r="D536" s="3">
        <v>45927</v>
      </c>
      <c r="E536" t="str">
        <f t="shared" si="247"/>
        <v>2025/09/27</v>
      </c>
      <c r="F536" t="str">
        <f t="shared" si="256"/>
        <v>September</v>
      </c>
      <c r="G536">
        <f t="shared" si="257"/>
        <v>2025</v>
      </c>
      <c r="H536" t="s">
        <v>498</v>
      </c>
      <c r="I536" s="4">
        <v>45933</v>
      </c>
      <c r="J536" s="8">
        <f t="shared" si="248"/>
        <v>6</v>
      </c>
      <c r="K536" s="8" t="str">
        <f t="shared" si="258"/>
        <v>OK</v>
      </c>
      <c r="L536" t="s">
        <v>499</v>
      </c>
      <c r="M536" t="s">
        <v>209</v>
      </c>
      <c r="N536" t="str">
        <f t="shared" si="249"/>
        <v>Diya Patel</v>
      </c>
      <c r="O536" t="s">
        <v>114</v>
      </c>
      <c r="P536" t="str">
        <f t="shared" si="272"/>
        <v>Home Office</v>
      </c>
      <c r="Q536" t="s">
        <v>61</v>
      </c>
      <c r="R536" t="str">
        <f t="shared" si="273"/>
        <v>South</v>
      </c>
      <c r="S536" t="str">
        <f t="shared" si="259"/>
        <v>OK</v>
      </c>
      <c r="T536" t="s">
        <v>338</v>
      </c>
      <c r="U536" t="str">
        <f t="shared" si="250"/>
        <v>Tamil Nadu</v>
      </c>
      <c r="V536" t="s">
        <v>339</v>
      </c>
      <c r="W536" t="str">
        <f t="shared" si="251"/>
        <v>Chennai</v>
      </c>
      <c r="X536" t="str">
        <f t="shared" si="252"/>
        <v>Furniture</v>
      </c>
      <c r="Y536" t="s">
        <v>44</v>
      </c>
      <c r="Z536" t="s">
        <v>75</v>
      </c>
      <c r="AA536" t="str">
        <f t="shared" si="253"/>
        <v>Chairs</v>
      </c>
      <c r="AB536" t="s">
        <v>500</v>
      </c>
      <c r="AC536" t="s">
        <v>47</v>
      </c>
      <c r="AD536" t="str">
        <f t="shared" si="271"/>
        <v>Same Day</v>
      </c>
      <c r="AE536" t="str">
        <f t="shared" si="260"/>
        <v>OK</v>
      </c>
      <c r="AF536">
        <v>9</v>
      </c>
      <c r="AG536">
        <v>4131.5200000000004</v>
      </c>
      <c r="AH536">
        <v>0.1</v>
      </c>
      <c r="AI536">
        <f t="shared" si="261"/>
        <v>0.1</v>
      </c>
      <c r="AJ536" t="str">
        <f t="shared" si="262"/>
        <v>OK</v>
      </c>
      <c r="AK536">
        <v>33465.31</v>
      </c>
      <c r="AL536">
        <v>24781.26</v>
      </c>
      <c r="AM536">
        <v>8684.0499999999993</v>
      </c>
      <c r="AN536" t="s">
        <v>33</v>
      </c>
      <c r="AO536" t="str">
        <f t="shared" si="254"/>
        <v>PAID</v>
      </c>
      <c r="AP536" t="str">
        <f t="shared" si="263"/>
        <v>OK</v>
      </c>
      <c r="AQ536" t="s">
        <v>34</v>
      </c>
      <c r="AR536" t="str">
        <f t="shared" si="255"/>
        <v>COMPLETED</v>
      </c>
      <c r="AS536" t="str">
        <f t="shared" si="264"/>
        <v>OK</v>
      </c>
      <c r="AT536">
        <f t="shared" si="265"/>
        <v>33465.312000000005</v>
      </c>
      <c r="AU536">
        <f t="shared" si="266"/>
        <v>8684.052000000007</v>
      </c>
      <c r="AV536" s="6">
        <f t="shared" si="267"/>
        <v>1.935323358108838E-2</v>
      </c>
      <c r="AW536" t="str">
        <f t="shared" si="268"/>
        <v>CLEAN</v>
      </c>
      <c r="AX536" s="10" t="str">
        <f t="shared" si="269"/>
        <v>MATCH</v>
      </c>
      <c r="AY536" t="str">
        <f t="shared" si="270"/>
        <v>MATCH</v>
      </c>
    </row>
    <row r="537" spans="1:51">
      <c r="A537" t="s">
        <v>508</v>
      </c>
      <c r="B537">
        <f t="shared" si="246"/>
        <v>1</v>
      </c>
      <c r="C537" t="s">
        <v>509</v>
      </c>
      <c r="D537" s="3">
        <v>45732</v>
      </c>
      <c r="E537" t="str">
        <f t="shared" si="247"/>
        <v>2025/03/16</v>
      </c>
      <c r="F537" t="str">
        <f t="shared" si="256"/>
        <v>March</v>
      </c>
      <c r="G537">
        <f t="shared" si="257"/>
        <v>2025</v>
      </c>
      <c r="H537" t="s">
        <v>510</v>
      </c>
      <c r="I537" s="4">
        <v>45733</v>
      </c>
      <c r="J537" s="8">
        <f t="shared" si="248"/>
        <v>1</v>
      </c>
      <c r="K537" s="8" t="str">
        <f t="shared" si="258"/>
        <v>OK</v>
      </c>
      <c r="L537" t="s">
        <v>511</v>
      </c>
      <c r="M537" t="s">
        <v>24</v>
      </c>
      <c r="N537" t="str">
        <f t="shared" si="249"/>
        <v>Karan Malhotra</v>
      </c>
      <c r="O537" t="s">
        <v>114</v>
      </c>
      <c r="P537" t="str">
        <f t="shared" si="272"/>
        <v>Home Office</v>
      </c>
      <c r="Q537" t="s">
        <v>72</v>
      </c>
      <c r="R537" t="str">
        <f t="shared" si="273"/>
        <v>West</v>
      </c>
      <c r="S537" t="str">
        <f t="shared" si="259"/>
        <v>OK</v>
      </c>
      <c r="T537" t="s">
        <v>248</v>
      </c>
      <c r="U537" t="str">
        <f t="shared" si="250"/>
        <v>Goa</v>
      </c>
      <c r="V537" t="s">
        <v>249</v>
      </c>
      <c r="W537" t="str">
        <f t="shared" si="251"/>
        <v>Panaji</v>
      </c>
      <c r="X537" t="str">
        <f t="shared" si="252"/>
        <v>Office Supplies</v>
      </c>
      <c r="Y537" t="s">
        <v>29</v>
      </c>
      <c r="Z537" t="s">
        <v>108</v>
      </c>
      <c r="AA537" t="str">
        <f t="shared" si="253"/>
        <v>Labels</v>
      </c>
      <c r="AB537" t="s">
        <v>512</v>
      </c>
      <c r="AC537" t="s">
        <v>47</v>
      </c>
      <c r="AD537" t="str">
        <f t="shared" si="271"/>
        <v>Same Day</v>
      </c>
      <c r="AE537" t="str">
        <f t="shared" si="260"/>
        <v>OK</v>
      </c>
      <c r="AF537">
        <v>3</v>
      </c>
      <c r="AG537">
        <v>1841.91</v>
      </c>
      <c r="AH537">
        <v>0</v>
      </c>
      <c r="AI537">
        <f t="shared" si="261"/>
        <v>0</v>
      </c>
      <c r="AJ537" t="str">
        <f t="shared" si="262"/>
        <v>OK</v>
      </c>
      <c r="AK537">
        <v>5525.73</v>
      </c>
      <c r="AL537">
        <v>3093.42</v>
      </c>
      <c r="AM537">
        <v>2432.31</v>
      </c>
      <c r="AN537" t="s">
        <v>33</v>
      </c>
      <c r="AO537" t="str">
        <f t="shared" si="254"/>
        <v>PAID</v>
      </c>
      <c r="AP537" t="str">
        <f t="shared" si="263"/>
        <v>OK</v>
      </c>
      <c r="AQ537" t="s">
        <v>34</v>
      </c>
      <c r="AR537" t="str">
        <f t="shared" si="255"/>
        <v>COMPLETED</v>
      </c>
      <c r="AS537" t="str">
        <f t="shared" si="264"/>
        <v>OK</v>
      </c>
      <c r="AT537">
        <f t="shared" si="265"/>
        <v>5525.7300000000005</v>
      </c>
      <c r="AU537">
        <f t="shared" si="266"/>
        <v>2432.3100000000004</v>
      </c>
      <c r="AV537" s="6">
        <f t="shared" si="267"/>
        <v>9.4848101517808509E-2</v>
      </c>
      <c r="AW537" t="str">
        <f t="shared" si="268"/>
        <v>CLEAN</v>
      </c>
      <c r="AX537" s="10" t="str">
        <f t="shared" si="269"/>
        <v>MATCH</v>
      </c>
      <c r="AY537" t="str">
        <f t="shared" si="270"/>
        <v>MATCH</v>
      </c>
    </row>
    <row r="538" spans="1:51">
      <c r="A538" t="s">
        <v>548</v>
      </c>
      <c r="B538">
        <f t="shared" si="246"/>
        <v>2</v>
      </c>
      <c r="C538" t="s">
        <v>549</v>
      </c>
      <c r="D538" s="3">
        <v>45893</v>
      </c>
      <c r="E538" t="str">
        <f t="shared" si="247"/>
        <v>2025/08/24</v>
      </c>
      <c r="F538" t="str">
        <f t="shared" si="256"/>
        <v>August</v>
      </c>
      <c r="G538">
        <f t="shared" si="257"/>
        <v>2025</v>
      </c>
      <c r="H538" t="s">
        <v>68</v>
      </c>
      <c r="I538" s="4">
        <v>45898</v>
      </c>
      <c r="J538" s="8">
        <f t="shared" si="248"/>
        <v>5</v>
      </c>
      <c r="K538" s="8" t="str">
        <f t="shared" si="258"/>
        <v>OK</v>
      </c>
      <c r="L538" t="s">
        <v>550</v>
      </c>
      <c r="M538" t="s">
        <v>161</v>
      </c>
      <c r="N538" t="str">
        <f t="shared" si="249"/>
        <v>Aarav Sharma</v>
      </c>
      <c r="O538" t="s">
        <v>40</v>
      </c>
      <c r="P538" t="str">
        <f t="shared" si="272"/>
        <v>Small Business</v>
      </c>
      <c r="Q538" t="s">
        <v>41</v>
      </c>
      <c r="R538" t="str">
        <f t="shared" si="273"/>
        <v>East</v>
      </c>
      <c r="S538" t="str">
        <f t="shared" si="259"/>
        <v>OK</v>
      </c>
      <c r="T538" t="s">
        <v>185</v>
      </c>
      <c r="U538" t="str">
        <f t="shared" si="250"/>
        <v>Bihar</v>
      </c>
      <c r="V538" t="s">
        <v>186</v>
      </c>
      <c r="W538" t="str">
        <f t="shared" si="251"/>
        <v>Patna</v>
      </c>
      <c r="X538" t="str">
        <f t="shared" si="252"/>
        <v>Technology</v>
      </c>
      <c r="Y538" t="s">
        <v>85</v>
      </c>
      <c r="Z538" t="s">
        <v>93</v>
      </c>
      <c r="AA538" t="str">
        <f t="shared" si="253"/>
        <v>Copiers</v>
      </c>
      <c r="AB538" t="s">
        <v>551</v>
      </c>
      <c r="AC538" t="s">
        <v>55</v>
      </c>
      <c r="AD538" t="str">
        <f t="shared" si="271"/>
        <v>First Class</v>
      </c>
      <c r="AE538" t="str">
        <f t="shared" si="260"/>
        <v>OK</v>
      </c>
      <c r="AF538">
        <v>3</v>
      </c>
      <c r="AG538">
        <v>3703.96</v>
      </c>
      <c r="AH538">
        <v>0.15</v>
      </c>
      <c r="AI538">
        <f t="shared" si="261"/>
        <v>0.15</v>
      </c>
      <c r="AJ538" t="str">
        <f t="shared" si="262"/>
        <v>OK</v>
      </c>
      <c r="AK538">
        <v>9445.1</v>
      </c>
      <c r="AL538">
        <v>5586.28</v>
      </c>
      <c r="AM538">
        <v>3858.82</v>
      </c>
      <c r="AN538" t="s">
        <v>33</v>
      </c>
      <c r="AO538" t="str">
        <f t="shared" si="254"/>
        <v>PAID</v>
      </c>
      <c r="AP538" t="str">
        <f t="shared" si="263"/>
        <v>OK</v>
      </c>
      <c r="AQ538" t="s">
        <v>34</v>
      </c>
      <c r="AR538" t="str">
        <f t="shared" si="255"/>
        <v>COMPLETED</v>
      </c>
      <c r="AS538" t="str">
        <f t="shared" si="264"/>
        <v>OK</v>
      </c>
      <c r="AT538">
        <f t="shared" si="265"/>
        <v>9445.098</v>
      </c>
      <c r="AU538">
        <f t="shared" si="266"/>
        <v>3858.8180000000002</v>
      </c>
      <c r="AV538" s="6">
        <f t="shared" si="267"/>
        <v>0.15598885263022153</v>
      </c>
      <c r="AW538" t="str">
        <f t="shared" si="268"/>
        <v>CLEAN</v>
      </c>
      <c r="AX538" s="10" t="str">
        <f t="shared" si="269"/>
        <v>MATCH</v>
      </c>
      <c r="AY538" t="str">
        <f t="shared" si="270"/>
        <v>MATCH</v>
      </c>
    </row>
    <row r="539" spans="1:51">
      <c r="A539" t="s">
        <v>548</v>
      </c>
      <c r="B539">
        <f t="shared" si="246"/>
        <v>2</v>
      </c>
      <c r="C539" t="s">
        <v>549</v>
      </c>
      <c r="D539" s="3">
        <v>45893</v>
      </c>
      <c r="E539" t="str">
        <f t="shared" si="247"/>
        <v>2025/08/24</v>
      </c>
      <c r="F539" t="str">
        <f t="shared" si="256"/>
        <v>August</v>
      </c>
      <c r="G539">
        <f t="shared" si="257"/>
        <v>2025</v>
      </c>
      <c r="H539" t="s">
        <v>68</v>
      </c>
      <c r="I539" s="4">
        <v>45898</v>
      </c>
      <c r="J539" s="8">
        <f t="shared" si="248"/>
        <v>5</v>
      </c>
      <c r="K539" s="8" t="str">
        <f t="shared" si="258"/>
        <v>OK</v>
      </c>
      <c r="L539" t="s">
        <v>550</v>
      </c>
      <c r="M539" t="s">
        <v>161</v>
      </c>
      <c r="N539" t="str">
        <f t="shared" si="249"/>
        <v>Aarav Sharma</v>
      </c>
      <c r="O539" t="s">
        <v>40</v>
      </c>
      <c r="P539" t="str">
        <f t="shared" si="272"/>
        <v>Small Business</v>
      </c>
      <c r="Q539" t="s">
        <v>41</v>
      </c>
      <c r="R539" t="str">
        <f t="shared" si="273"/>
        <v>East</v>
      </c>
      <c r="S539" t="str">
        <f t="shared" si="259"/>
        <v>OK</v>
      </c>
      <c r="T539" t="s">
        <v>185</v>
      </c>
      <c r="U539" t="str">
        <f t="shared" si="250"/>
        <v>Bihar</v>
      </c>
      <c r="V539" t="s">
        <v>186</v>
      </c>
      <c r="W539" t="str">
        <f t="shared" si="251"/>
        <v>Patna</v>
      </c>
      <c r="X539" t="str">
        <f t="shared" si="252"/>
        <v>Technology</v>
      </c>
      <c r="Y539" t="s">
        <v>85</v>
      </c>
      <c r="Z539" t="s">
        <v>93</v>
      </c>
      <c r="AA539" t="str">
        <f t="shared" si="253"/>
        <v>Copiers</v>
      </c>
      <c r="AB539" t="s">
        <v>551</v>
      </c>
      <c r="AC539" t="s">
        <v>55</v>
      </c>
      <c r="AD539" t="str">
        <f t="shared" si="271"/>
        <v>First Class</v>
      </c>
      <c r="AE539" t="str">
        <f t="shared" si="260"/>
        <v>OK</v>
      </c>
      <c r="AF539">
        <v>3</v>
      </c>
      <c r="AG539">
        <v>3703.96</v>
      </c>
      <c r="AH539">
        <v>0.15</v>
      </c>
      <c r="AI539">
        <f t="shared" si="261"/>
        <v>0.15</v>
      </c>
      <c r="AJ539" t="str">
        <f t="shared" si="262"/>
        <v>OK</v>
      </c>
      <c r="AK539">
        <v>9549.44</v>
      </c>
      <c r="AL539">
        <v>5586.28</v>
      </c>
      <c r="AM539">
        <v>3858.82</v>
      </c>
      <c r="AN539" t="s">
        <v>33</v>
      </c>
      <c r="AO539" t="str">
        <f t="shared" si="254"/>
        <v>PAID</v>
      </c>
      <c r="AP539" t="str">
        <f t="shared" si="263"/>
        <v>OK</v>
      </c>
      <c r="AQ539" t="s">
        <v>124</v>
      </c>
      <c r="AR539" t="str">
        <f t="shared" si="255"/>
        <v>RETURNED</v>
      </c>
      <c r="AS539" t="str">
        <f t="shared" si="264"/>
        <v>RETURNED_ORDER</v>
      </c>
      <c r="AT539">
        <f t="shared" si="265"/>
        <v>9445.098</v>
      </c>
      <c r="AU539">
        <f t="shared" si="266"/>
        <v>3858.8180000000002</v>
      </c>
      <c r="AV539" s="6">
        <f t="shared" si="267"/>
        <v>1.0330529127384389</v>
      </c>
      <c r="AW539" t="str">
        <f t="shared" si="268"/>
        <v>CLEAN</v>
      </c>
      <c r="AX539" s="10" t="str">
        <f t="shared" si="269"/>
        <v>MISMATCH</v>
      </c>
      <c r="AY539" t="str">
        <f t="shared" si="270"/>
        <v>MATCH</v>
      </c>
    </row>
    <row r="540" spans="1:51">
      <c r="A540" t="s">
        <v>552</v>
      </c>
      <c r="B540">
        <f t="shared" si="246"/>
        <v>1</v>
      </c>
      <c r="C540" t="s">
        <v>553</v>
      </c>
      <c r="D540" s="3">
        <v>45718</v>
      </c>
      <c r="E540" t="str">
        <f t="shared" si="247"/>
        <v>2025/03/02</v>
      </c>
      <c r="F540" t="str">
        <f t="shared" si="256"/>
        <v>March</v>
      </c>
      <c r="G540">
        <f t="shared" si="257"/>
        <v>2025</v>
      </c>
      <c r="H540" t="s">
        <v>554</v>
      </c>
      <c r="I540" s="4">
        <v>45724</v>
      </c>
      <c r="J540" s="8">
        <f t="shared" si="248"/>
        <v>6</v>
      </c>
      <c r="K540" s="8" t="str">
        <f t="shared" si="258"/>
        <v>OK</v>
      </c>
      <c r="L540" t="s">
        <v>555</v>
      </c>
      <c r="M540" t="s">
        <v>167</v>
      </c>
      <c r="N540" t="str">
        <f t="shared" si="249"/>
        <v>Sneha Kapoor</v>
      </c>
      <c r="O540" t="s">
        <v>107</v>
      </c>
      <c r="P540" t="str">
        <f t="shared" si="272"/>
        <v>Corporate</v>
      </c>
      <c r="Q540" t="s">
        <v>72</v>
      </c>
      <c r="R540" t="str">
        <f t="shared" si="273"/>
        <v>West</v>
      </c>
      <c r="S540" t="str">
        <f t="shared" si="259"/>
        <v>OK</v>
      </c>
      <c r="T540" t="s">
        <v>83</v>
      </c>
      <c r="U540" t="str">
        <f t="shared" si="250"/>
        <v>Madhya Pradesh</v>
      </c>
      <c r="V540" t="s">
        <v>84</v>
      </c>
      <c r="W540" t="str">
        <f t="shared" si="251"/>
        <v>Indore</v>
      </c>
      <c r="X540" t="str">
        <f t="shared" si="252"/>
        <v>Technology</v>
      </c>
      <c r="Y540" t="s">
        <v>85</v>
      </c>
      <c r="Z540" t="s">
        <v>93</v>
      </c>
      <c r="AA540" t="str">
        <f t="shared" si="253"/>
        <v>Copiers</v>
      </c>
      <c r="AB540" t="s">
        <v>556</v>
      </c>
      <c r="AC540" t="s">
        <v>32</v>
      </c>
      <c r="AD540" t="str">
        <f t="shared" si="271"/>
        <v>Second Class</v>
      </c>
      <c r="AE540" t="str">
        <f t="shared" si="260"/>
        <v>OK</v>
      </c>
      <c r="AF540">
        <v>9</v>
      </c>
      <c r="AG540">
        <v>269.68</v>
      </c>
      <c r="AH540">
        <v>0</v>
      </c>
      <c r="AI540">
        <f t="shared" si="261"/>
        <v>0</v>
      </c>
      <c r="AJ540" t="str">
        <f t="shared" si="262"/>
        <v>OK</v>
      </c>
      <c r="AK540">
        <v>2427.12</v>
      </c>
      <c r="AL540">
        <v>1538.35</v>
      </c>
      <c r="AM540">
        <v>804.53</v>
      </c>
      <c r="AN540" t="s">
        <v>33</v>
      </c>
      <c r="AO540" t="str">
        <f t="shared" si="254"/>
        <v>PAID</v>
      </c>
      <c r="AP540" t="str">
        <f t="shared" si="263"/>
        <v>OK</v>
      </c>
      <c r="AQ540" t="s">
        <v>34</v>
      </c>
      <c r="AR540" t="str">
        <f t="shared" si="255"/>
        <v>COMPLETED</v>
      </c>
      <c r="AS540" t="str">
        <f t="shared" si="264"/>
        <v>OK</v>
      </c>
      <c r="AT540">
        <f t="shared" si="265"/>
        <v>2427.12</v>
      </c>
      <c r="AU540">
        <f t="shared" si="266"/>
        <v>888.77</v>
      </c>
      <c r="AV540" s="6">
        <f t="shared" si="267"/>
        <v>1.5146692376149518</v>
      </c>
      <c r="AW540" t="str">
        <f t="shared" si="268"/>
        <v>CLEAN</v>
      </c>
      <c r="AX540" s="10" t="str">
        <f t="shared" si="269"/>
        <v>MATCH</v>
      </c>
      <c r="AY540" t="str">
        <f t="shared" si="270"/>
        <v>MISMATCH</v>
      </c>
    </row>
    <row r="541" spans="1:51">
      <c r="A541" t="s">
        <v>557</v>
      </c>
      <c r="B541">
        <f t="shared" si="246"/>
        <v>1</v>
      </c>
      <c r="C541" t="s">
        <v>183</v>
      </c>
      <c r="D541" s="2">
        <v>45680</v>
      </c>
      <c r="E541" t="str">
        <f t="shared" si="247"/>
        <v>2025/01/23</v>
      </c>
      <c r="F541" t="str">
        <f t="shared" si="256"/>
        <v>January</v>
      </c>
      <c r="G541">
        <f t="shared" si="257"/>
        <v>2025</v>
      </c>
      <c r="H541" t="s">
        <v>558</v>
      </c>
      <c r="I541" s="4">
        <v>45683</v>
      </c>
      <c r="J541" s="8">
        <f t="shared" si="248"/>
        <v>3</v>
      </c>
      <c r="K541" s="8" t="str">
        <f t="shared" si="258"/>
        <v>OK</v>
      </c>
      <c r="L541" t="s">
        <v>559</v>
      </c>
      <c r="M541" t="s">
        <v>161</v>
      </c>
      <c r="N541" t="str">
        <f t="shared" si="249"/>
        <v>Aarav Sharma</v>
      </c>
      <c r="O541" t="s">
        <v>25</v>
      </c>
      <c r="P541" t="str">
        <f t="shared" si="272"/>
        <v>Consumer</v>
      </c>
      <c r="Q541" t="s">
        <v>72</v>
      </c>
      <c r="R541" t="str">
        <f t="shared" si="273"/>
        <v>West</v>
      </c>
      <c r="S541" t="str">
        <f t="shared" si="259"/>
        <v>OK</v>
      </c>
      <c r="T541" t="s">
        <v>83</v>
      </c>
      <c r="U541" t="str">
        <f t="shared" si="250"/>
        <v>Madhya Pradesh</v>
      </c>
      <c r="V541" t="s">
        <v>84</v>
      </c>
      <c r="W541" t="str">
        <f t="shared" si="251"/>
        <v>Indore</v>
      </c>
      <c r="X541" t="str">
        <f t="shared" si="252"/>
        <v>Office Supplies</v>
      </c>
      <c r="Y541" t="s">
        <v>29</v>
      </c>
      <c r="Z541" t="s">
        <v>30</v>
      </c>
      <c r="AA541" t="str">
        <f t="shared" si="253"/>
        <v>Paper</v>
      </c>
      <c r="AB541" t="s">
        <v>560</v>
      </c>
      <c r="AC541" t="s">
        <v>66</v>
      </c>
      <c r="AD541" t="str">
        <f t="shared" si="271"/>
        <v>Standard Class</v>
      </c>
      <c r="AE541" t="str">
        <f t="shared" si="260"/>
        <v>OK</v>
      </c>
      <c r="AF541">
        <v>9</v>
      </c>
      <c r="AG541">
        <v>4458.26</v>
      </c>
      <c r="AH541">
        <v>0.1</v>
      </c>
      <c r="AI541">
        <f t="shared" si="261"/>
        <v>0.1</v>
      </c>
      <c r="AJ541" t="str">
        <f t="shared" si="262"/>
        <v>OK</v>
      </c>
      <c r="AK541">
        <v>36111.910000000003</v>
      </c>
      <c r="AL541">
        <v>29194.5</v>
      </c>
      <c r="AM541">
        <v>6917.41</v>
      </c>
      <c r="AN541" t="s">
        <v>33</v>
      </c>
      <c r="AO541" t="str">
        <f t="shared" si="254"/>
        <v>PAID</v>
      </c>
      <c r="AP541" t="str">
        <f t="shared" si="263"/>
        <v>OK</v>
      </c>
      <c r="AQ541" t="s">
        <v>34</v>
      </c>
      <c r="AR541" t="str">
        <f t="shared" si="255"/>
        <v>COMPLETED</v>
      </c>
      <c r="AS541" t="str">
        <f t="shared" si="264"/>
        <v>OK</v>
      </c>
      <c r="AT541">
        <f t="shared" si="265"/>
        <v>36111.906000000003</v>
      </c>
      <c r="AU541">
        <f t="shared" si="266"/>
        <v>6917.4060000000027</v>
      </c>
      <c r="AV541" s="6">
        <f t="shared" si="267"/>
        <v>0.10348332209327307</v>
      </c>
      <c r="AW541" t="str">
        <f t="shared" si="268"/>
        <v>CLEAN</v>
      </c>
      <c r="AX541" s="10" t="str">
        <f t="shared" si="269"/>
        <v>MATCH</v>
      </c>
      <c r="AY541" t="str">
        <f t="shared" si="270"/>
        <v>MATCH</v>
      </c>
    </row>
    <row r="542" spans="1:51">
      <c r="A542" t="s">
        <v>570</v>
      </c>
      <c r="B542">
        <f t="shared" si="246"/>
        <v>1</v>
      </c>
      <c r="C542" t="s">
        <v>571</v>
      </c>
      <c r="D542" s="3">
        <v>45905</v>
      </c>
      <c r="E542" t="str">
        <f t="shared" si="247"/>
        <v>2025/09/05</v>
      </c>
      <c r="F542" t="str">
        <f t="shared" si="256"/>
        <v>September</v>
      </c>
      <c r="G542">
        <f t="shared" si="257"/>
        <v>2025</v>
      </c>
      <c r="H542" t="s">
        <v>572</v>
      </c>
      <c r="I542" s="4">
        <v>45910</v>
      </c>
      <c r="J542" s="8">
        <f t="shared" si="248"/>
        <v>5</v>
      </c>
      <c r="K542" s="8" t="str">
        <f t="shared" si="258"/>
        <v>OK</v>
      </c>
      <c r="L542" t="s">
        <v>573</v>
      </c>
      <c r="M542" t="s">
        <v>167</v>
      </c>
      <c r="N542" t="str">
        <f t="shared" si="249"/>
        <v>Sneha Kapoor</v>
      </c>
      <c r="O542" t="s">
        <v>107</v>
      </c>
      <c r="P542" t="str">
        <f t="shared" si="272"/>
        <v>Corporate</v>
      </c>
      <c r="Q542" t="s">
        <v>72</v>
      </c>
      <c r="R542" t="str">
        <f t="shared" si="273"/>
        <v>West</v>
      </c>
      <c r="S542" t="str">
        <f t="shared" si="259"/>
        <v>OK</v>
      </c>
      <c r="T542" t="s">
        <v>248</v>
      </c>
      <c r="U542" t="str">
        <f t="shared" si="250"/>
        <v>Goa</v>
      </c>
      <c r="V542" t="s">
        <v>249</v>
      </c>
      <c r="W542" t="str">
        <f t="shared" si="251"/>
        <v>Panaji</v>
      </c>
      <c r="X542" t="str">
        <f t="shared" si="252"/>
        <v>Furniture</v>
      </c>
      <c r="Y542" t="s">
        <v>44</v>
      </c>
      <c r="Z542" t="s">
        <v>203</v>
      </c>
      <c r="AA542" t="str">
        <f t="shared" si="253"/>
        <v>Bookcases</v>
      </c>
      <c r="AB542" t="s">
        <v>574</v>
      </c>
      <c r="AC542" t="s">
        <v>47</v>
      </c>
      <c r="AD542" t="str">
        <f t="shared" si="271"/>
        <v>Same Day</v>
      </c>
      <c r="AE542" t="str">
        <f t="shared" si="260"/>
        <v>OK</v>
      </c>
      <c r="AF542">
        <v>6</v>
      </c>
      <c r="AG542">
        <v>1754.13</v>
      </c>
      <c r="AH542">
        <v>0</v>
      </c>
      <c r="AI542">
        <f t="shared" si="261"/>
        <v>0</v>
      </c>
      <c r="AJ542" t="str">
        <f t="shared" si="262"/>
        <v>OK</v>
      </c>
      <c r="AK542">
        <v>10524.78</v>
      </c>
      <c r="AL542">
        <v>8841.0499999999993</v>
      </c>
      <c r="AM542">
        <v>1683.73</v>
      </c>
      <c r="AN542" t="s">
        <v>33</v>
      </c>
      <c r="AO542" t="str">
        <f t="shared" si="254"/>
        <v>PAID</v>
      </c>
      <c r="AP542" t="str">
        <f t="shared" si="263"/>
        <v>OK</v>
      </c>
      <c r="AQ542" t="s">
        <v>34</v>
      </c>
      <c r="AR542" t="str">
        <f t="shared" si="255"/>
        <v>COMPLETED</v>
      </c>
      <c r="AS542" t="str">
        <f t="shared" si="264"/>
        <v>OK</v>
      </c>
      <c r="AT542">
        <f t="shared" si="265"/>
        <v>10524.78</v>
      </c>
      <c r="AU542">
        <f t="shared" si="266"/>
        <v>1683.7300000000014</v>
      </c>
      <c r="AV542" s="6">
        <f t="shared" si="267"/>
        <v>0.498529185408151</v>
      </c>
      <c r="AW542" t="str">
        <f t="shared" si="268"/>
        <v>CLEAN</v>
      </c>
      <c r="AX542" s="10" t="str">
        <f t="shared" si="269"/>
        <v>MATCH</v>
      </c>
      <c r="AY542" t="str">
        <f t="shared" si="270"/>
        <v>MATCH</v>
      </c>
    </row>
    <row r="543" spans="1:51">
      <c r="A543" t="s">
        <v>580</v>
      </c>
      <c r="B543">
        <f t="shared" si="246"/>
        <v>1</v>
      </c>
      <c r="C543" t="s">
        <v>581</v>
      </c>
      <c r="D543" s="2">
        <v>45877</v>
      </c>
      <c r="E543" t="str">
        <f t="shared" si="247"/>
        <v>2025/08/08</v>
      </c>
      <c r="F543" t="str">
        <f t="shared" si="256"/>
        <v>August</v>
      </c>
      <c r="G543">
        <f t="shared" si="257"/>
        <v>2025</v>
      </c>
      <c r="H543" t="s">
        <v>582</v>
      </c>
      <c r="I543" s="4">
        <v>45880</v>
      </c>
      <c r="J543" s="8">
        <f t="shared" si="248"/>
        <v>3</v>
      </c>
      <c r="K543" s="8" t="str">
        <f t="shared" si="258"/>
        <v>OK</v>
      </c>
      <c r="L543" t="s">
        <v>583</v>
      </c>
      <c r="M543" t="s">
        <v>209</v>
      </c>
      <c r="N543" t="str">
        <f t="shared" si="249"/>
        <v>Diya Patel</v>
      </c>
      <c r="O543" t="s">
        <v>40</v>
      </c>
      <c r="P543" t="str">
        <f t="shared" si="272"/>
        <v>Small Business</v>
      </c>
      <c r="Q543" t="s">
        <v>72</v>
      </c>
      <c r="R543" t="str">
        <f t="shared" si="273"/>
        <v>West</v>
      </c>
      <c r="S543" t="str">
        <f t="shared" si="259"/>
        <v>OK</v>
      </c>
      <c r="T543" t="s">
        <v>234</v>
      </c>
      <c r="U543" t="str">
        <f t="shared" si="250"/>
        <v>Gujarat</v>
      </c>
      <c r="V543" t="s">
        <v>235</v>
      </c>
      <c r="W543" t="str">
        <f t="shared" si="251"/>
        <v>Ahmedabad</v>
      </c>
      <c r="X543" t="str">
        <f t="shared" si="252"/>
        <v>Office Supplies</v>
      </c>
      <c r="Y543" t="s">
        <v>29</v>
      </c>
      <c r="Z543" t="s">
        <v>155</v>
      </c>
      <c r="AA543" t="str">
        <f t="shared" si="253"/>
        <v>Storage</v>
      </c>
      <c r="AB543" t="s">
        <v>584</v>
      </c>
      <c r="AC543" t="s">
        <v>47</v>
      </c>
      <c r="AD543" t="str">
        <f t="shared" si="271"/>
        <v>Same Day</v>
      </c>
      <c r="AE543" t="str">
        <f t="shared" si="260"/>
        <v>OK</v>
      </c>
      <c r="AF543">
        <v>5</v>
      </c>
      <c r="AG543">
        <v>3602.36</v>
      </c>
      <c r="AH543">
        <v>0.2</v>
      </c>
      <c r="AI543">
        <f t="shared" si="261"/>
        <v>0.2</v>
      </c>
      <c r="AJ543" t="str">
        <f t="shared" si="262"/>
        <v>OK</v>
      </c>
      <c r="AK543">
        <v>14409.44</v>
      </c>
      <c r="AL543">
        <v>8809.9699999999993</v>
      </c>
      <c r="AM543">
        <v>5599.47</v>
      </c>
      <c r="AN543" t="s">
        <v>136</v>
      </c>
      <c r="AO543" t="str">
        <f t="shared" si="254"/>
        <v>PENDING</v>
      </c>
      <c r="AP543" t="str">
        <f t="shared" si="263"/>
        <v>OK</v>
      </c>
      <c r="AQ543" t="s">
        <v>124</v>
      </c>
      <c r="AR543" t="str">
        <f t="shared" si="255"/>
        <v>RETURNED</v>
      </c>
      <c r="AS543" t="str">
        <f t="shared" si="264"/>
        <v>RETURNED_ORDER</v>
      </c>
      <c r="AT543">
        <f t="shared" si="265"/>
        <v>14409.44</v>
      </c>
      <c r="AU543">
        <f t="shared" si="266"/>
        <v>5599.4700000000012</v>
      </c>
      <c r="AV543" s="6">
        <f t="shared" si="267"/>
        <v>0.27793606135977517</v>
      </c>
      <c r="AW543" t="str">
        <f t="shared" si="268"/>
        <v>CLEAN</v>
      </c>
      <c r="AX543" s="10" t="str">
        <f t="shared" si="269"/>
        <v>MATCH</v>
      </c>
      <c r="AY543" t="str">
        <f t="shared" si="270"/>
        <v>MATCH</v>
      </c>
    </row>
    <row r="544" spans="1:51">
      <c r="A544" t="s">
        <v>590</v>
      </c>
      <c r="B544">
        <f t="shared" si="246"/>
        <v>1</v>
      </c>
      <c r="C544" t="s">
        <v>591</v>
      </c>
      <c r="D544" s="3">
        <v>45668</v>
      </c>
      <c r="E544" t="str">
        <f t="shared" si="247"/>
        <v>2025/01/11</v>
      </c>
      <c r="F544" t="str">
        <f t="shared" si="256"/>
        <v>January</v>
      </c>
      <c r="G544">
        <f t="shared" si="257"/>
        <v>2025</v>
      </c>
      <c r="H544" t="s">
        <v>591</v>
      </c>
      <c r="I544" s="4">
        <v>45962</v>
      </c>
      <c r="J544" s="8">
        <f t="shared" si="248"/>
        <v>294</v>
      </c>
      <c r="K544" s="8" t="str">
        <f t="shared" si="258"/>
        <v>OK</v>
      </c>
      <c r="L544" t="s">
        <v>592</v>
      </c>
      <c r="M544" t="s">
        <v>106</v>
      </c>
      <c r="N544" t="str">
        <f t="shared" si="249"/>
        <v>Aditi Sen</v>
      </c>
      <c r="O544" t="s">
        <v>40</v>
      </c>
      <c r="P544" t="str">
        <f t="shared" si="272"/>
        <v>Small Business</v>
      </c>
      <c r="Q544" t="s">
        <v>72</v>
      </c>
      <c r="R544" t="str">
        <f t="shared" si="273"/>
        <v>West</v>
      </c>
      <c r="S544" t="str">
        <f t="shared" si="259"/>
        <v>OK</v>
      </c>
      <c r="T544" t="s">
        <v>27</v>
      </c>
      <c r="U544" t="str">
        <f t="shared" si="250"/>
        <v>Rajasthan</v>
      </c>
      <c r="V544" t="s">
        <v>134</v>
      </c>
      <c r="W544" t="str">
        <f t="shared" si="251"/>
        <v>Udaipur</v>
      </c>
      <c r="X544" t="str">
        <f t="shared" si="252"/>
        <v>Technology</v>
      </c>
      <c r="Y544" t="s">
        <v>85</v>
      </c>
      <c r="Z544" t="s">
        <v>86</v>
      </c>
      <c r="AA544" t="str">
        <f t="shared" si="253"/>
        <v>Accessories</v>
      </c>
      <c r="AB544" t="s">
        <v>593</v>
      </c>
      <c r="AC544" t="s">
        <v>47</v>
      </c>
      <c r="AD544" t="str">
        <f t="shared" si="271"/>
        <v>Same Day</v>
      </c>
      <c r="AE544" t="str">
        <f t="shared" si="260"/>
        <v>OK</v>
      </c>
      <c r="AF544">
        <v>3</v>
      </c>
      <c r="AG544">
        <v>2165.29</v>
      </c>
      <c r="AH544">
        <v>0</v>
      </c>
      <c r="AI544">
        <f t="shared" si="261"/>
        <v>0</v>
      </c>
      <c r="AJ544" t="str">
        <f t="shared" si="262"/>
        <v>OK</v>
      </c>
      <c r="AK544">
        <v>6495.87</v>
      </c>
      <c r="AL544">
        <v>4700.8900000000003</v>
      </c>
      <c r="AM544">
        <v>1794.98</v>
      </c>
      <c r="AN544" t="s">
        <v>33</v>
      </c>
      <c r="AO544" t="str">
        <f t="shared" si="254"/>
        <v>PAID</v>
      </c>
      <c r="AP544" t="str">
        <f t="shared" si="263"/>
        <v>OK</v>
      </c>
      <c r="AQ544" t="s">
        <v>34</v>
      </c>
      <c r="AR544" t="str">
        <f t="shared" si="255"/>
        <v>COMPLETED</v>
      </c>
      <c r="AS544" t="str">
        <f t="shared" si="264"/>
        <v>OK</v>
      </c>
      <c r="AT544">
        <f t="shared" si="265"/>
        <v>6495.87</v>
      </c>
      <c r="AU544">
        <f t="shared" si="266"/>
        <v>1794.9799999999996</v>
      </c>
      <c r="AV544" s="6">
        <f t="shared" si="267"/>
        <v>0.39593618714660234</v>
      </c>
      <c r="AW544" t="str">
        <f t="shared" si="268"/>
        <v>CLEAN</v>
      </c>
      <c r="AX544" s="10" t="str">
        <f t="shared" si="269"/>
        <v>MATCH</v>
      </c>
      <c r="AY544" t="str">
        <f t="shared" si="270"/>
        <v>MATCH</v>
      </c>
    </row>
    <row r="545" spans="1:51">
      <c r="A545" t="s">
        <v>594</v>
      </c>
      <c r="B545">
        <f t="shared" si="246"/>
        <v>1</v>
      </c>
      <c r="C545" t="s">
        <v>595</v>
      </c>
      <c r="D545" s="2">
        <v>46000</v>
      </c>
      <c r="E545" t="str">
        <f t="shared" si="247"/>
        <v>2025/12/09</v>
      </c>
      <c r="F545" t="str">
        <f t="shared" si="256"/>
        <v>December</v>
      </c>
      <c r="G545">
        <f t="shared" si="257"/>
        <v>2025</v>
      </c>
      <c r="H545" t="s">
        <v>596</v>
      </c>
      <c r="I545" s="4">
        <v>45918</v>
      </c>
      <c r="J545" s="8">
        <f t="shared" si="248"/>
        <v>-82</v>
      </c>
      <c r="K545" s="8" t="str">
        <f t="shared" si="258"/>
        <v>INVAILD_SHIPPING</v>
      </c>
      <c r="L545" t="s">
        <v>597</v>
      </c>
      <c r="M545" t="s">
        <v>161</v>
      </c>
      <c r="N545" t="str">
        <f t="shared" si="249"/>
        <v>Aarav Sharma</v>
      </c>
      <c r="O545" t="s">
        <v>114</v>
      </c>
      <c r="P545" t="str">
        <f t="shared" si="272"/>
        <v>Home Office</v>
      </c>
      <c r="Q545" t="s">
        <v>61</v>
      </c>
      <c r="R545" t="str">
        <f t="shared" si="273"/>
        <v>South</v>
      </c>
      <c r="S545" t="str">
        <f t="shared" si="259"/>
        <v>OK</v>
      </c>
      <c r="T545" t="s">
        <v>241</v>
      </c>
      <c r="U545" t="str">
        <f t="shared" si="250"/>
        <v>Kerala</v>
      </c>
      <c r="V545" t="s">
        <v>242</v>
      </c>
      <c r="W545" t="str">
        <f t="shared" si="251"/>
        <v>Kochi</v>
      </c>
      <c r="X545" t="str">
        <f t="shared" si="252"/>
        <v>Office Supplies</v>
      </c>
      <c r="Y545" t="s">
        <v>29</v>
      </c>
      <c r="Z545" t="s">
        <v>155</v>
      </c>
      <c r="AA545" t="str">
        <f t="shared" si="253"/>
        <v>Storage</v>
      </c>
      <c r="AB545" t="s">
        <v>598</v>
      </c>
      <c r="AC545" t="s">
        <v>66</v>
      </c>
      <c r="AD545" t="str">
        <f t="shared" si="271"/>
        <v>Standard Class</v>
      </c>
      <c r="AE545" t="str">
        <f t="shared" si="260"/>
        <v>OK</v>
      </c>
      <c r="AF545">
        <v>6</v>
      </c>
      <c r="AG545">
        <v>1673.8</v>
      </c>
      <c r="AH545">
        <v>0.05</v>
      </c>
      <c r="AI545">
        <f t="shared" si="261"/>
        <v>0.05</v>
      </c>
      <c r="AJ545" t="str">
        <f t="shared" si="262"/>
        <v>OK</v>
      </c>
      <c r="AK545">
        <v>9540.66</v>
      </c>
      <c r="AL545">
        <v>5561.49</v>
      </c>
      <c r="AM545">
        <v>3979.17</v>
      </c>
      <c r="AN545" t="s">
        <v>33</v>
      </c>
      <c r="AO545" t="str">
        <f t="shared" si="254"/>
        <v>PAID</v>
      </c>
      <c r="AP545" t="str">
        <f t="shared" si="263"/>
        <v>OK</v>
      </c>
      <c r="AQ545" t="s">
        <v>34</v>
      </c>
      <c r="AR545" t="str">
        <f t="shared" si="255"/>
        <v>COMPLETED</v>
      </c>
      <c r="AS545" t="str">
        <f t="shared" si="264"/>
        <v>OK</v>
      </c>
      <c r="AT545">
        <f t="shared" si="265"/>
        <v>9540.659999999998</v>
      </c>
      <c r="AU545">
        <f t="shared" si="266"/>
        <v>3979.1699999999983</v>
      </c>
      <c r="AV545" s="6">
        <f t="shared" si="267"/>
        <v>0.75945165219177702</v>
      </c>
      <c r="AW545" t="str">
        <f t="shared" si="268"/>
        <v>CLEAN</v>
      </c>
      <c r="AX545" s="10" t="str">
        <f t="shared" si="269"/>
        <v>MATCH</v>
      </c>
      <c r="AY545" t="str">
        <f t="shared" si="270"/>
        <v>MATCH</v>
      </c>
    </row>
    <row r="546" spans="1:51">
      <c r="A546" t="s">
        <v>603</v>
      </c>
      <c r="B546">
        <f t="shared" si="246"/>
        <v>1</v>
      </c>
      <c r="C546" t="s">
        <v>604</v>
      </c>
      <c r="D546" s="2">
        <v>45998</v>
      </c>
      <c r="E546" t="str">
        <f t="shared" si="247"/>
        <v>2025/12/07</v>
      </c>
      <c r="F546" t="str">
        <f t="shared" si="256"/>
        <v>December</v>
      </c>
      <c r="G546">
        <f t="shared" si="257"/>
        <v>2025</v>
      </c>
      <c r="H546" t="s">
        <v>605</v>
      </c>
      <c r="I546" s="4">
        <v>45854</v>
      </c>
      <c r="J546" s="8">
        <f t="shared" si="248"/>
        <v>-144</v>
      </c>
      <c r="K546" s="8" t="str">
        <f t="shared" si="258"/>
        <v>INVAILD_SHIPPING</v>
      </c>
      <c r="L546" t="s">
        <v>606</v>
      </c>
      <c r="M546" t="s">
        <v>82</v>
      </c>
      <c r="N546" t="str">
        <f t="shared" si="249"/>
        <v>Vikram Iyer</v>
      </c>
      <c r="O546" t="s">
        <v>25</v>
      </c>
      <c r="P546" t="str">
        <f t="shared" si="272"/>
        <v>Consumer</v>
      </c>
      <c r="Q546" t="s">
        <v>61</v>
      </c>
      <c r="R546" t="str">
        <f t="shared" si="273"/>
        <v>South</v>
      </c>
      <c r="S546" t="str">
        <f t="shared" si="259"/>
        <v>OK</v>
      </c>
      <c r="T546" t="s">
        <v>228</v>
      </c>
      <c r="U546" t="str">
        <f t="shared" si="250"/>
        <v>Karnataka</v>
      </c>
      <c r="V546" t="s">
        <v>229</v>
      </c>
      <c r="W546" t="str">
        <f t="shared" si="251"/>
        <v>Bengaluru</v>
      </c>
      <c r="X546" t="str">
        <f t="shared" si="252"/>
        <v>Furniture</v>
      </c>
      <c r="Y546" t="s">
        <v>44</v>
      </c>
      <c r="Z546" t="s">
        <v>75</v>
      </c>
      <c r="AA546" t="str">
        <f t="shared" si="253"/>
        <v>Chairs</v>
      </c>
      <c r="AB546" t="s">
        <v>607</v>
      </c>
      <c r="AC546" t="s">
        <v>55</v>
      </c>
      <c r="AD546" t="str">
        <f t="shared" si="271"/>
        <v>First Class</v>
      </c>
      <c r="AE546" t="str">
        <f t="shared" si="260"/>
        <v>OK</v>
      </c>
      <c r="AF546">
        <v>4</v>
      </c>
      <c r="AG546">
        <v>2865.71</v>
      </c>
      <c r="AH546">
        <v>0</v>
      </c>
      <c r="AI546">
        <f t="shared" si="261"/>
        <v>0</v>
      </c>
      <c r="AJ546" t="str">
        <f t="shared" si="262"/>
        <v>OK</v>
      </c>
      <c r="AK546">
        <v>11462.84</v>
      </c>
      <c r="AL546">
        <v>8979.7800000000007</v>
      </c>
      <c r="AM546">
        <v>2483.06</v>
      </c>
      <c r="AN546" t="s">
        <v>123</v>
      </c>
      <c r="AO546" t="str">
        <f t="shared" si="254"/>
        <v>REFUNDED</v>
      </c>
      <c r="AP546" t="str">
        <f t="shared" si="263"/>
        <v>REFUNDED_PAYMENT</v>
      </c>
      <c r="AQ546" t="s">
        <v>77</v>
      </c>
      <c r="AR546" t="str">
        <f t="shared" si="255"/>
        <v>CANCELLED</v>
      </c>
      <c r="AS546" t="str">
        <f t="shared" si="264"/>
        <v>EXCLUDE_FROM_SALES</v>
      </c>
      <c r="AT546">
        <f t="shared" si="265"/>
        <v>11462.84</v>
      </c>
      <c r="AU546">
        <f t="shared" si="266"/>
        <v>2483.0599999999995</v>
      </c>
      <c r="AV546" s="6">
        <f t="shared" si="267"/>
        <v>0.16044575340840495</v>
      </c>
      <c r="AW546" t="str">
        <f t="shared" si="268"/>
        <v>CLEAN</v>
      </c>
      <c r="AX546" s="10" t="str">
        <f t="shared" si="269"/>
        <v>MATCH</v>
      </c>
      <c r="AY546" t="str">
        <f t="shared" si="270"/>
        <v>MATCH</v>
      </c>
    </row>
    <row r="547" spans="1:51">
      <c r="A547" t="s">
        <v>608</v>
      </c>
      <c r="B547">
        <f t="shared" si="246"/>
        <v>1</v>
      </c>
      <c r="C547" t="s">
        <v>609</v>
      </c>
      <c r="D547" s="3">
        <v>45693</v>
      </c>
      <c r="E547" t="str">
        <f t="shared" si="247"/>
        <v>2025/02/05</v>
      </c>
      <c r="F547" t="str">
        <f t="shared" si="256"/>
        <v>February</v>
      </c>
      <c r="G547">
        <f t="shared" si="257"/>
        <v>2025</v>
      </c>
      <c r="H547" t="s">
        <v>610</v>
      </c>
      <c r="I547" s="4">
        <v>45787</v>
      </c>
      <c r="J547" s="8">
        <f t="shared" si="248"/>
        <v>94</v>
      </c>
      <c r="K547" s="8" t="str">
        <f t="shared" si="258"/>
        <v>OK</v>
      </c>
      <c r="L547" t="s">
        <v>611</v>
      </c>
      <c r="M547" t="s">
        <v>365</v>
      </c>
      <c r="N547" t="str">
        <f t="shared" si="249"/>
        <v>Kabir Singh</v>
      </c>
      <c r="O547" t="s">
        <v>107</v>
      </c>
      <c r="P547" t="str">
        <f t="shared" si="272"/>
        <v>Corporate</v>
      </c>
      <c r="Q547" t="s">
        <v>72</v>
      </c>
      <c r="R547" t="str">
        <f t="shared" si="273"/>
        <v>West</v>
      </c>
      <c r="S547" t="str">
        <f t="shared" si="259"/>
        <v>OK</v>
      </c>
      <c r="T547" t="s">
        <v>73</v>
      </c>
      <c r="U547" t="str">
        <f t="shared" si="250"/>
        <v>Maharashtra</v>
      </c>
      <c r="V547" t="s">
        <v>74</v>
      </c>
      <c r="W547" t="str">
        <f t="shared" si="251"/>
        <v>Mumbai</v>
      </c>
      <c r="X547" t="str">
        <f t="shared" si="252"/>
        <v>Furniture</v>
      </c>
      <c r="Y547" t="s">
        <v>44</v>
      </c>
      <c r="Z547" t="s">
        <v>45</v>
      </c>
      <c r="AA547" t="str">
        <f t="shared" si="253"/>
        <v>Tables</v>
      </c>
      <c r="AB547" t="s">
        <v>612</v>
      </c>
      <c r="AC547" t="s">
        <v>55</v>
      </c>
      <c r="AD547" t="str">
        <f t="shared" si="271"/>
        <v>First Class</v>
      </c>
      <c r="AE547" t="str">
        <f t="shared" si="260"/>
        <v>OK</v>
      </c>
      <c r="AF547">
        <v>4</v>
      </c>
      <c r="AG547">
        <v>2440.34</v>
      </c>
      <c r="AH547">
        <v>0.2</v>
      </c>
      <c r="AI547">
        <f t="shared" si="261"/>
        <v>0.2</v>
      </c>
      <c r="AJ547" t="str">
        <f t="shared" si="262"/>
        <v>OK</v>
      </c>
      <c r="AK547">
        <v>7809.09</v>
      </c>
      <c r="AL547">
        <v>6657.75</v>
      </c>
      <c r="AM547">
        <v>1151.3399999999999</v>
      </c>
      <c r="AN547" t="s">
        <v>33</v>
      </c>
      <c r="AO547" t="str">
        <f t="shared" si="254"/>
        <v>PAID</v>
      </c>
      <c r="AP547" t="str">
        <f t="shared" si="263"/>
        <v>OK</v>
      </c>
      <c r="AQ547" t="s">
        <v>34</v>
      </c>
      <c r="AR547" t="str">
        <f t="shared" si="255"/>
        <v>COMPLETED</v>
      </c>
      <c r="AS547" t="str">
        <f t="shared" si="264"/>
        <v>OK</v>
      </c>
      <c r="AT547">
        <f t="shared" si="265"/>
        <v>7809.0880000000006</v>
      </c>
      <c r="AU547">
        <f t="shared" si="266"/>
        <v>1151.3380000000006</v>
      </c>
      <c r="AV547" s="6">
        <f t="shared" si="267"/>
        <v>0.68962246295598162</v>
      </c>
      <c r="AW547" t="str">
        <f t="shared" si="268"/>
        <v>CLEAN</v>
      </c>
      <c r="AX547" s="10" t="str">
        <f t="shared" si="269"/>
        <v>MATCH</v>
      </c>
      <c r="AY547" t="str">
        <f t="shared" si="270"/>
        <v>MATCH</v>
      </c>
    </row>
    <row r="548" spans="1:51">
      <c r="A548" t="s">
        <v>613</v>
      </c>
      <c r="B548">
        <f t="shared" si="246"/>
        <v>1</v>
      </c>
      <c r="C548" t="s">
        <v>614</v>
      </c>
      <c r="D548" s="3">
        <v>45659</v>
      </c>
      <c r="E548" t="str">
        <f t="shared" si="247"/>
        <v>2025/01/02</v>
      </c>
      <c r="F548" t="str">
        <f t="shared" si="256"/>
        <v>January</v>
      </c>
      <c r="G548">
        <f t="shared" si="257"/>
        <v>2025</v>
      </c>
      <c r="H548" t="s">
        <v>615</v>
      </c>
      <c r="I548" s="4">
        <v>45696</v>
      </c>
      <c r="J548" s="8">
        <f t="shared" si="248"/>
        <v>37</v>
      </c>
      <c r="K548" s="8" t="str">
        <f t="shared" si="258"/>
        <v>OK</v>
      </c>
      <c r="L548" t="s">
        <v>616</v>
      </c>
      <c r="M548" t="s">
        <v>71</v>
      </c>
      <c r="N548" t="str">
        <f t="shared" si="249"/>
        <v>Ananya Rao</v>
      </c>
      <c r="O548" t="s">
        <v>25</v>
      </c>
      <c r="P548" t="str">
        <f t="shared" si="272"/>
        <v>Consumer</v>
      </c>
      <c r="Q548" t="s">
        <v>61</v>
      </c>
      <c r="R548" t="str">
        <f t="shared" si="273"/>
        <v>South</v>
      </c>
      <c r="S548" t="str">
        <f t="shared" si="259"/>
        <v>OK</v>
      </c>
      <c r="T548" t="s">
        <v>228</v>
      </c>
      <c r="U548" t="str">
        <f t="shared" si="250"/>
        <v>Karnataka</v>
      </c>
      <c r="V548" t="s">
        <v>229</v>
      </c>
      <c r="W548" t="str">
        <f t="shared" si="251"/>
        <v>Bengaluru</v>
      </c>
      <c r="X548" t="str">
        <f t="shared" si="252"/>
        <v>Office Supplies</v>
      </c>
      <c r="Y548" t="s">
        <v>29</v>
      </c>
      <c r="Z548" t="s">
        <v>108</v>
      </c>
      <c r="AA548" t="str">
        <f t="shared" si="253"/>
        <v>Labels</v>
      </c>
      <c r="AB548" t="s">
        <v>617</v>
      </c>
      <c r="AC548" t="s">
        <v>47</v>
      </c>
      <c r="AD548" t="str">
        <f t="shared" si="271"/>
        <v>Same Day</v>
      </c>
      <c r="AE548" t="str">
        <f t="shared" si="260"/>
        <v>OK</v>
      </c>
      <c r="AF548">
        <v>5</v>
      </c>
      <c r="AG548">
        <v>2112.54</v>
      </c>
      <c r="AH548">
        <v>0.25</v>
      </c>
      <c r="AI548">
        <f t="shared" si="261"/>
        <v>0.25</v>
      </c>
      <c r="AJ548" t="str">
        <f t="shared" si="262"/>
        <v>OK</v>
      </c>
      <c r="AK548">
        <v>8260.4599999999991</v>
      </c>
      <c r="AL548">
        <v>5619.95</v>
      </c>
      <c r="AM548">
        <v>2302.08</v>
      </c>
      <c r="AN548" t="s">
        <v>33</v>
      </c>
      <c r="AO548" t="str">
        <f t="shared" si="254"/>
        <v>PAID</v>
      </c>
      <c r="AP548" t="str">
        <f t="shared" si="263"/>
        <v>OK</v>
      </c>
      <c r="AQ548" t="s">
        <v>77</v>
      </c>
      <c r="AR548" t="str">
        <f t="shared" si="255"/>
        <v>CANCELLED</v>
      </c>
      <c r="AS548" t="str">
        <f t="shared" si="264"/>
        <v>EXCLUDE_FROM_SALES</v>
      </c>
      <c r="AT548">
        <f t="shared" si="265"/>
        <v>7922.0250000000005</v>
      </c>
      <c r="AU548">
        <f t="shared" si="266"/>
        <v>2302.0750000000007</v>
      </c>
      <c r="AV548" s="6">
        <f t="shared" si="267"/>
        <v>1.027890596154392</v>
      </c>
      <c r="AW548" t="str">
        <f t="shared" si="268"/>
        <v>CLEAN</v>
      </c>
      <c r="AX548" s="10" t="str">
        <f t="shared" si="269"/>
        <v>MISMATCH</v>
      </c>
      <c r="AY548" t="str">
        <f t="shared" si="270"/>
        <v>MATCH</v>
      </c>
    </row>
    <row r="549" spans="1:51">
      <c r="A549" t="s">
        <v>638</v>
      </c>
      <c r="B549">
        <f t="shared" si="246"/>
        <v>1</v>
      </c>
      <c r="C549" t="s">
        <v>639</v>
      </c>
      <c r="D549" s="3">
        <v>45892</v>
      </c>
      <c r="E549" t="str">
        <f t="shared" si="247"/>
        <v>2025/08/23</v>
      </c>
      <c r="F549" t="str">
        <f t="shared" si="256"/>
        <v>August</v>
      </c>
      <c r="G549">
        <f t="shared" si="257"/>
        <v>2025</v>
      </c>
      <c r="H549" t="s">
        <v>478</v>
      </c>
      <c r="I549" s="4">
        <v>45896</v>
      </c>
      <c r="J549" s="8">
        <f t="shared" si="248"/>
        <v>4</v>
      </c>
      <c r="K549" s="8" t="str">
        <f t="shared" si="258"/>
        <v>OK</v>
      </c>
      <c r="L549" t="s">
        <v>640</v>
      </c>
      <c r="M549" t="s">
        <v>167</v>
      </c>
      <c r="N549" t="str">
        <f t="shared" si="249"/>
        <v>Sneha Kapoor</v>
      </c>
      <c r="O549" t="s">
        <v>25</v>
      </c>
      <c r="P549" t="str">
        <f t="shared" si="272"/>
        <v>Consumer</v>
      </c>
      <c r="Q549" t="s">
        <v>26</v>
      </c>
      <c r="R549" t="str">
        <f t="shared" si="273"/>
        <v>North</v>
      </c>
      <c r="S549" t="str">
        <f t="shared" si="259"/>
        <v>OK</v>
      </c>
      <c r="T549" t="s">
        <v>505</v>
      </c>
      <c r="U549" t="str">
        <f t="shared" si="250"/>
        <v>Delhi</v>
      </c>
      <c r="V549" t="s">
        <v>506</v>
      </c>
      <c r="W549" t="str">
        <f t="shared" si="251"/>
        <v>New Delhi</v>
      </c>
      <c r="X549" t="str">
        <f t="shared" si="252"/>
        <v>Office Supplies</v>
      </c>
      <c r="Y549" t="s">
        <v>29</v>
      </c>
      <c r="Z549" t="s">
        <v>197</v>
      </c>
      <c r="AA549" t="str">
        <f t="shared" si="253"/>
        <v>Binders</v>
      </c>
      <c r="AB549" t="s">
        <v>641</v>
      </c>
      <c r="AC549" t="s">
        <v>32</v>
      </c>
      <c r="AD549" t="str">
        <f t="shared" si="271"/>
        <v>Second Class</v>
      </c>
      <c r="AE549" t="str">
        <f t="shared" si="260"/>
        <v>OK</v>
      </c>
      <c r="AF549">
        <v>1</v>
      </c>
      <c r="AG549">
        <v>2788.62</v>
      </c>
      <c r="AH549">
        <v>0.25</v>
      </c>
      <c r="AI549">
        <f t="shared" si="261"/>
        <v>0.25</v>
      </c>
      <c r="AJ549" t="str">
        <f t="shared" si="262"/>
        <v>OK</v>
      </c>
      <c r="AK549">
        <v>2091.4699999999998</v>
      </c>
      <c r="AL549">
        <v>1317.22</v>
      </c>
      <c r="AM549">
        <v>774.25</v>
      </c>
      <c r="AN549" t="s">
        <v>33</v>
      </c>
      <c r="AO549" t="str">
        <f t="shared" si="254"/>
        <v>PAID</v>
      </c>
      <c r="AP549" t="str">
        <f t="shared" si="263"/>
        <v>OK</v>
      </c>
      <c r="AQ549" t="s">
        <v>34</v>
      </c>
      <c r="AR549" t="str">
        <f t="shared" si="255"/>
        <v>COMPLETED</v>
      </c>
      <c r="AS549" t="str">
        <f t="shared" si="264"/>
        <v>OK</v>
      </c>
      <c r="AT549">
        <f t="shared" si="265"/>
        <v>2091.4650000000001</v>
      </c>
      <c r="AU549">
        <f t="shared" si="266"/>
        <v>774.24500000000012</v>
      </c>
      <c r="AV549" s="6">
        <f t="shared" si="267"/>
        <v>0.35953554087684975</v>
      </c>
      <c r="AW549" t="str">
        <f t="shared" si="268"/>
        <v>CLEAN</v>
      </c>
      <c r="AX549" s="10" t="str">
        <f t="shared" si="269"/>
        <v>MATCH</v>
      </c>
      <c r="AY549" t="str">
        <f t="shared" si="270"/>
        <v>MATCH</v>
      </c>
    </row>
    <row r="550" spans="1:51">
      <c r="A550" t="s">
        <v>647</v>
      </c>
      <c r="B550">
        <f t="shared" si="246"/>
        <v>1</v>
      </c>
      <c r="C550" t="s">
        <v>648</v>
      </c>
      <c r="D550" s="3">
        <v>45835</v>
      </c>
      <c r="E550" t="str">
        <f t="shared" si="247"/>
        <v>2025/06/27</v>
      </c>
      <c r="F550" t="str">
        <f t="shared" si="256"/>
        <v>June</v>
      </c>
      <c r="G550">
        <f t="shared" si="257"/>
        <v>2025</v>
      </c>
      <c r="H550" t="s">
        <v>649</v>
      </c>
      <c r="I550" s="4">
        <v>45838</v>
      </c>
      <c r="J550" s="8">
        <f t="shared" si="248"/>
        <v>3</v>
      </c>
      <c r="K550" s="8" t="str">
        <f t="shared" si="258"/>
        <v>OK</v>
      </c>
      <c r="L550" t="s">
        <v>650</v>
      </c>
      <c r="M550" t="s">
        <v>92</v>
      </c>
      <c r="N550" t="str">
        <f t="shared" si="249"/>
        <v>Neha Gupta</v>
      </c>
      <c r="O550" t="s">
        <v>107</v>
      </c>
      <c r="P550" t="str">
        <f t="shared" si="272"/>
        <v>Corporate</v>
      </c>
      <c r="Q550" t="s">
        <v>41</v>
      </c>
      <c r="R550" t="str">
        <f t="shared" si="273"/>
        <v>East</v>
      </c>
      <c r="S550" t="str">
        <f t="shared" si="259"/>
        <v>OK</v>
      </c>
      <c r="T550" t="s">
        <v>185</v>
      </c>
      <c r="U550" t="str">
        <f t="shared" si="250"/>
        <v>Bihar</v>
      </c>
      <c r="V550" t="s">
        <v>186</v>
      </c>
      <c r="W550" t="str">
        <f t="shared" si="251"/>
        <v>Patna</v>
      </c>
      <c r="X550" t="str">
        <f t="shared" si="252"/>
        <v>Technology</v>
      </c>
      <c r="Y550" t="s">
        <v>85</v>
      </c>
      <c r="Z550" t="s">
        <v>86</v>
      </c>
      <c r="AA550" t="str">
        <f t="shared" si="253"/>
        <v>Accessories</v>
      </c>
      <c r="AB550" t="s">
        <v>651</v>
      </c>
      <c r="AC550" t="s">
        <v>55</v>
      </c>
      <c r="AD550" t="str">
        <f t="shared" si="271"/>
        <v>First Class</v>
      </c>
      <c r="AE550" t="str">
        <f t="shared" si="260"/>
        <v>OK</v>
      </c>
      <c r="AF550">
        <v>1</v>
      </c>
      <c r="AG550">
        <v>1708.44</v>
      </c>
      <c r="AH550">
        <v>0.05</v>
      </c>
      <c r="AI550">
        <f t="shared" si="261"/>
        <v>0.05</v>
      </c>
      <c r="AJ550" t="str">
        <f t="shared" si="262"/>
        <v>OK</v>
      </c>
      <c r="AK550">
        <v>1623.02</v>
      </c>
      <c r="AL550">
        <v>1077.46</v>
      </c>
      <c r="AM550">
        <v>545.55999999999995</v>
      </c>
      <c r="AN550" t="s">
        <v>136</v>
      </c>
      <c r="AO550" t="str">
        <f t="shared" si="254"/>
        <v>PENDING</v>
      </c>
      <c r="AP550" t="str">
        <f t="shared" si="263"/>
        <v>OK</v>
      </c>
      <c r="AQ550" t="s">
        <v>77</v>
      </c>
      <c r="AR550" t="str">
        <f t="shared" si="255"/>
        <v>CANCELLED</v>
      </c>
      <c r="AS550" t="str">
        <f t="shared" si="264"/>
        <v>EXCLUDE_FROM_SALES</v>
      </c>
      <c r="AT550">
        <f t="shared" si="265"/>
        <v>1623.018</v>
      </c>
      <c r="AU550">
        <f t="shared" si="266"/>
        <v>545.55799999999999</v>
      </c>
      <c r="AV550" s="6">
        <f t="shared" si="267"/>
        <v>0.45348233969062579</v>
      </c>
      <c r="AW550" t="str">
        <f t="shared" si="268"/>
        <v>CLEAN</v>
      </c>
      <c r="AX550" s="10" t="str">
        <f t="shared" si="269"/>
        <v>MATCH</v>
      </c>
      <c r="AY550" t="str">
        <f t="shared" si="270"/>
        <v>MATCH</v>
      </c>
    </row>
    <row r="551" spans="1:51">
      <c r="A551" t="s">
        <v>670</v>
      </c>
      <c r="B551">
        <f t="shared" si="246"/>
        <v>1</v>
      </c>
      <c r="C551" t="s">
        <v>671</v>
      </c>
      <c r="D551" s="3">
        <v>45703</v>
      </c>
      <c r="E551" t="str">
        <f t="shared" si="247"/>
        <v>2025/02/15</v>
      </c>
      <c r="F551" t="str">
        <f t="shared" si="256"/>
        <v>February</v>
      </c>
      <c r="G551">
        <f t="shared" si="257"/>
        <v>2025</v>
      </c>
      <c r="H551" t="s">
        <v>672</v>
      </c>
      <c r="I551" s="4">
        <v>45707</v>
      </c>
      <c r="J551" s="8">
        <f t="shared" si="248"/>
        <v>4</v>
      </c>
      <c r="K551" s="8" t="str">
        <f t="shared" si="258"/>
        <v>OK</v>
      </c>
      <c r="L551" t="s">
        <v>673</v>
      </c>
      <c r="M551" t="s">
        <v>71</v>
      </c>
      <c r="N551" t="str">
        <f t="shared" si="249"/>
        <v>Ananya Rao</v>
      </c>
      <c r="O551" t="s">
        <v>40</v>
      </c>
      <c r="P551" t="str">
        <f t="shared" si="272"/>
        <v>Small Business</v>
      </c>
      <c r="R551" t="s">
        <v>4109</v>
      </c>
      <c r="S551" t="str">
        <f t="shared" si="259"/>
        <v>MISSING_REGION</v>
      </c>
      <c r="T551" t="s">
        <v>83</v>
      </c>
      <c r="U551" t="str">
        <f t="shared" si="250"/>
        <v>Madhya Pradesh</v>
      </c>
      <c r="V551" t="s">
        <v>84</v>
      </c>
      <c r="W551" t="str">
        <f t="shared" si="251"/>
        <v>Indore</v>
      </c>
      <c r="X551" t="str">
        <f t="shared" si="252"/>
        <v>Office Supplies</v>
      </c>
      <c r="Y551" t="s">
        <v>29</v>
      </c>
      <c r="Z551" t="s">
        <v>197</v>
      </c>
      <c r="AA551" t="str">
        <f t="shared" si="253"/>
        <v>Binders</v>
      </c>
      <c r="AB551" t="s">
        <v>674</v>
      </c>
      <c r="AC551" t="s">
        <v>55</v>
      </c>
      <c r="AD551" t="str">
        <f t="shared" si="271"/>
        <v>First Class</v>
      </c>
      <c r="AE551" t="str">
        <f t="shared" si="260"/>
        <v>OK</v>
      </c>
      <c r="AF551">
        <v>9</v>
      </c>
      <c r="AG551">
        <v>531.99</v>
      </c>
      <c r="AH551">
        <v>0.25</v>
      </c>
      <c r="AI551">
        <f t="shared" si="261"/>
        <v>0.25</v>
      </c>
      <c r="AJ551" t="str">
        <f t="shared" si="262"/>
        <v>OK</v>
      </c>
      <c r="AK551">
        <v>3590.93</v>
      </c>
      <c r="AL551">
        <v>3061.39</v>
      </c>
      <c r="AM551">
        <v>529.54</v>
      </c>
      <c r="AN551" t="s">
        <v>199</v>
      </c>
      <c r="AO551" t="str">
        <f t="shared" si="254"/>
        <v>FAILED</v>
      </c>
      <c r="AP551" t="str">
        <f t="shared" si="263"/>
        <v>EXCLUDE_FROM_SALES</v>
      </c>
      <c r="AQ551" t="s">
        <v>77</v>
      </c>
      <c r="AR551" t="str">
        <f t="shared" si="255"/>
        <v>CANCELLED</v>
      </c>
      <c r="AS551" t="str">
        <f t="shared" si="264"/>
        <v>EXCLUDE_FROM_SALES</v>
      </c>
      <c r="AT551">
        <f t="shared" si="265"/>
        <v>3590.9324999999999</v>
      </c>
      <c r="AU551">
        <f t="shared" si="266"/>
        <v>529.54250000000002</v>
      </c>
      <c r="AV551" s="6">
        <f t="shared" si="267"/>
        <v>0.89155449176502222</v>
      </c>
      <c r="AW551" t="str">
        <f t="shared" si="268"/>
        <v>WARNING</v>
      </c>
      <c r="AX551" s="10" t="str">
        <f t="shared" si="269"/>
        <v>MATCH</v>
      </c>
      <c r="AY551" t="str">
        <f t="shared" si="270"/>
        <v>MATCH</v>
      </c>
    </row>
    <row r="552" spans="1:51">
      <c r="A552" t="s">
        <v>696</v>
      </c>
      <c r="B552">
        <f t="shared" si="246"/>
        <v>1</v>
      </c>
      <c r="C552" t="s">
        <v>697</v>
      </c>
      <c r="D552" s="3">
        <v>45891</v>
      </c>
      <c r="E552" t="str">
        <f t="shared" si="247"/>
        <v>2025/08/22</v>
      </c>
      <c r="F552" t="str">
        <f t="shared" si="256"/>
        <v>August</v>
      </c>
      <c r="G552">
        <f t="shared" si="257"/>
        <v>2025</v>
      </c>
      <c r="H552" t="s">
        <v>698</v>
      </c>
      <c r="I552" s="4">
        <v>45895</v>
      </c>
      <c r="J552" s="8">
        <f t="shared" si="248"/>
        <v>4</v>
      </c>
      <c r="K552" s="8" t="str">
        <f t="shared" si="258"/>
        <v>OK</v>
      </c>
      <c r="L552" t="s">
        <v>699</v>
      </c>
      <c r="M552" t="s">
        <v>365</v>
      </c>
      <c r="N552" t="str">
        <f t="shared" si="249"/>
        <v>Kabir Singh</v>
      </c>
      <c r="O552" t="s">
        <v>700</v>
      </c>
      <c r="P552" t="str">
        <f t="shared" si="272"/>
        <v>Small Business</v>
      </c>
      <c r="Q552" t="s">
        <v>61</v>
      </c>
      <c r="R552" t="str">
        <f t="shared" ref="R552:R583" si="274">PROPER(TRIM(SUBSTITUTE(Q552,CHAR(160)," ")))</f>
        <v>South</v>
      </c>
      <c r="S552" t="str">
        <f t="shared" si="259"/>
        <v>OK</v>
      </c>
      <c r="T552" t="s">
        <v>99</v>
      </c>
      <c r="U552" t="str">
        <f t="shared" si="250"/>
        <v>Andhra Pradesh</v>
      </c>
      <c r="V552" t="s">
        <v>100</v>
      </c>
      <c r="W552" t="str">
        <f t="shared" si="251"/>
        <v>Vijayawada</v>
      </c>
      <c r="X552" t="str">
        <f t="shared" si="252"/>
        <v>Technology</v>
      </c>
      <c r="Y552" t="s">
        <v>85</v>
      </c>
      <c r="Z552" t="s">
        <v>381</v>
      </c>
      <c r="AA552" t="str">
        <f t="shared" si="253"/>
        <v>Machines</v>
      </c>
      <c r="AB552" t="s">
        <v>701</v>
      </c>
      <c r="AC552" t="s">
        <v>32</v>
      </c>
      <c r="AD552" t="str">
        <f t="shared" si="271"/>
        <v>Second Class</v>
      </c>
      <c r="AE552" t="str">
        <f t="shared" si="260"/>
        <v>OK</v>
      </c>
      <c r="AF552">
        <v>5</v>
      </c>
      <c r="AG552">
        <v>3482.92</v>
      </c>
      <c r="AH552">
        <v>0</v>
      </c>
      <c r="AI552">
        <f t="shared" si="261"/>
        <v>0</v>
      </c>
      <c r="AJ552" t="str">
        <f t="shared" si="262"/>
        <v>OK</v>
      </c>
      <c r="AK552">
        <v>17414.599999999999</v>
      </c>
      <c r="AL552">
        <v>11760.91</v>
      </c>
      <c r="AM552">
        <v>5653.69</v>
      </c>
      <c r="AN552" t="s">
        <v>123</v>
      </c>
      <c r="AO552" t="str">
        <f t="shared" si="254"/>
        <v>REFUNDED</v>
      </c>
      <c r="AP552" t="str">
        <f t="shared" si="263"/>
        <v>REFUNDED_PAYMENT</v>
      </c>
      <c r="AQ552" t="s">
        <v>77</v>
      </c>
      <c r="AR552" t="str">
        <f t="shared" si="255"/>
        <v>CANCELLED</v>
      </c>
      <c r="AS552" t="str">
        <f t="shared" si="264"/>
        <v>EXCLUDE_FROM_SALES</v>
      </c>
      <c r="AT552">
        <f t="shared" si="265"/>
        <v>17414.599999999999</v>
      </c>
      <c r="AU552">
        <f t="shared" si="266"/>
        <v>5653.6899999999987</v>
      </c>
      <c r="AV552" s="6">
        <f t="shared" si="267"/>
        <v>4.696203185832578E-2</v>
      </c>
      <c r="AW552" t="str">
        <f t="shared" si="268"/>
        <v>CLEAN</v>
      </c>
      <c r="AX552" s="10" t="str">
        <f t="shared" si="269"/>
        <v>MATCH</v>
      </c>
      <c r="AY552" t="str">
        <f t="shared" si="270"/>
        <v>MATCH</v>
      </c>
    </row>
    <row r="553" spans="1:51">
      <c r="A553" t="s">
        <v>717</v>
      </c>
      <c r="B553">
        <f t="shared" si="246"/>
        <v>1</v>
      </c>
      <c r="C553" t="s">
        <v>718</v>
      </c>
      <c r="D553" s="3">
        <v>45855</v>
      </c>
      <c r="E553" t="str">
        <f t="shared" si="247"/>
        <v>2025/07/17</v>
      </c>
      <c r="F553" t="str">
        <f t="shared" si="256"/>
        <v>July</v>
      </c>
      <c r="G553">
        <f t="shared" si="257"/>
        <v>2025</v>
      </c>
      <c r="H553" t="s">
        <v>719</v>
      </c>
      <c r="I553" s="4">
        <v>45856</v>
      </c>
      <c r="J553" s="8">
        <f t="shared" si="248"/>
        <v>1</v>
      </c>
      <c r="K553" s="8" t="str">
        <f t="shared" si="258"/>
        <v>OK</v>
      </c>
      <c r="L553" t="s">
        <v>720</v>
      </c>
      <c r="M553" t="s">
        <v>92</v>
      </c>
      <c r="N553" t="str">
        <f t="shared" si="249"/>
        <v>Neha Gupta</v>
      </c>
      <c r="O553" t="s">
        <v>40</v>
      </c>
      <c r="P553" t="str">
        <f t="shared" si="272"/>
        <v>Small Business</v>
      </c>
      <c r="Q553" t="s">
        <v>72</v>
      </c>
      <c r="R553" t="str">
        <f t="shared" si="274"/>
        <v>West</v>
      </c>
      <c r="S553" t="str">
        <f t="shared" si="259"/>
        <v>OK</v>
      </c>
      <c r="T553" t="s">
        <v>27</v>
      </c>
      <c r="U553" t="str">
        <f t="shared" si="250"/>
        <v>Rajasthan</v>
      </c>
      <c r="V553" t="s">
        <v>134</v>
      </c>
      <c r="W553" t="str">
        <f t="shared" si="251"/>
        <v>Udaipur</v>
      </c>
      <c r="X553" t="str">
        <f t="shared" si="252"/>
        <v>Furniture</v>
      </c>
      <c r="Y553" t="s">
        <v>44</v>
      </c>
      <c r="Z553" t="s">
        <v>45</v>
      </c>
      <c r="AA553" t="str">
        <f t="shared" si="253"/>
        <v>Tables</v>
      </c>
      <c r="AB553" t="s">
        <v>721</v>
      </c>
      <c r="AC553" t="s">
        <v>47</v>
      </c>
      <c r="AD553" t="str">
        <f t="shared" si="271"/>
        <v>Same Day</v>
      </c>
      <c r="AE553" t="str">
        <f t="shared" si="260"/>
        <v>OK</v>
      </c>
      <c r="AF553">
        <v>6</v>
      </c>
      <c r="AG553">
        <v>3235.27</v>
      </c>
      <c r="AH553">
        <v>0.25</v>
      </c>
      <c r="AI553">
        <f t="shared" si="261"/>
        <v>0.25</v>
      </c>
      <c r="AJ553" t="str">
        <f t="shared" si="262"/>
        <v>OK</v>
      </c>
      <c r="AK553">
        <v>14558.72</v>
      </c>
      <c r="AL553">
        <v>9591.48</v>
      </c>
      <c r="AM553">
        <v>4967.24</v>
      </c>
      <c r="AN553" t="s">
        <v>123</v>
      </c>
      <c r="AO553" t="str">
        <f t="shared" si="254"/>
        <v>REFUNDED</v>
      </c>
      <c r="AP553" t="str">
        <f t="shared" si="263"/>
        <v>REFUNDED_PAYMENT</v>
      </c>
      <c r="AQ553" t="s">
        <v>124</v>
      </c>
      <c r="AR553" t="str">
        <f t="shared" si="255"/>
        <v>RETURNED</v>
      </c>
      <c r="AS553" t="str">
        <f t="shared" si="264"/>
        <v>RETURNED_ORDER</v>
      </c>
      <c r="AT553">
        <f t="shared" si="265"/>
        <v>14558.715</v>
      </c>
      <c r="AU553">
        <f t="shared" si="266"/>
        <v>4967.2350000000006</v>
      </c>
      <c r="AV553" s="6">
        <f t="shared" si="267"/>
        <v>4.0988507570894825E-2</v>
      </c>
      <c r="AW553" t="str">
        <f t="shared" si="268"/>
        <v>CLEAN</v>
      </c>
      <c r="AX553" s="10" t="str">
        <f t="shared" si="269"/>
        <v>MATCH</v>
      </c>
      <c r="AY553" t="str">
        <f t="shared" si="270"/>
        <v>MATCH</v>
      </c>
    </row>
    <row r="554" spans="1:51">
      <c r="A554" t="s">
        <v>722</v>
      </c>
      <c r="B554">
        <f t="shared" si="246"/>
        <v>1</v>
      </c>
      <c r="C554" t="s">
        <v>723</v>
      </c>
      <c r="D554" s="3">
        <v>45924</v>
      </c>
      <c r="E554" t="str">
        <f t="shared" si="247"/>
        <v>2025/09/24</v>
      </c>
      <c r="F554" t="str">
        <f t="shared" si="256"/>
        <v>September</v>
      </c>
      <c r="G554">
        <f t="shared" si="257"/>
        <v>2025</v>
      </c>
      <c r="H554" t="s">
        <v>724</v>
      </c>
      <c r="I554" s="4">
        <v>45926</v>
      </c>
      <c r="J554" s="8">
        <f t="shared" si="248"/>
        <v>2</v>
      </c>
      <c r="K554" s="8" t="str">
        <f t="shared" si="258"/>
        <v>OK</v>
      </c>
      <c r="L554" t="s">
        <v>725</v>
      </c>
      <c r="M554" t="s">
        <v>141</v>
      </c>
      <c r="N554" t="str">
        <f t="shared" si="249"/>
        <v>Priya Menon</v>
      </c>
      <c r="O554" t="s">
        <v>107</v>
      </c>
      <c r="P554" t="str">
        <f t="shared" si="272"/>
        <v>Corporate</v>
      </c>
      <c r="Q554" t="s">
        <v>26</v>
      </c>
      <c r="R554" t="str">
        <f t="shared" si="274"/>
        <v>North</v>
      </c>
      <c r="S554" t="str">
        <f t="shared" si="259"/>
        <v>OK</v>
      </c>
      <c r="T554" t="s">
        <v>505</v>
      </c>
      <c r="U554" t="str">
        <f t="shared" si="250"/>
        <v>Delhi</v>
      </c>
      <c r="V554" t="s">
        <v>506</v>
      </c>
      <c r="W554" t="str">
        <f t="shared" si="251"/>
        <v>New Delhi</v>
      </c>
      <c r="X554" t="str">
        <f t="shared" si="252"/>
        <v>Technology</v>
      </c>
      <c r="Y554" t="s">
        <v>85</v>
      </c>
      <c r="Z554" t="s">
        <v>93</v>
      </c>
      <c r="AA554" t="str">
        <f t="shared" si="253"/>
        <v>Copiers</v>
      </c>
      <c r="AB554" t="s">
        <v>726</v>
      </c>
      <c r="AC554" t="s">
        <v>66</v>
      </c>
      <c r="AD554" t="str">
        <f t="shared" si="271"/>
        <v>Standard Class</v>
      </c>
      <c r="AE554" t="str">
        <f t="shared" si="260"/>
        <v>OK</v>
      </c>
      <c r="AF554">
        <v>3</v>
      </c>
      <c r="AG554">
        <v>1593.86</v>
      </c>
      <c r="AH554">
        <v>0.1</v>
      </c>
      <c r="AI554">
        <f t="shared" si="261"/>
        <v>0.1</v>
      </c>
      <c r="AJ554" t="str">
        <f t="shared" si="262"/>
        <v>OK</v>
      </c>
      <c r="AK554">
        <v>4303.42</v>
      </c>
      <c r="AL554">
        <v>2568.5700000000002</v>
      </c>
      <c r="AM554">
        <v>1734.85</v>
      </c>
      <c r="AN554" t="s">
        <v>33</v>
      </c>
      <c r="AO554" t="str">
        <f t="shared" si="254"/>
        <v>PAID</v>
      </c>
      <c r="AP554" t="str">
        <f t="shared" si="263"/>
        <v>OK</v>
      </c>
      <c r="AQ554" t="s">
        <v>34</v>
      </c>
      <c r="AR554" t="str">
        <f t="shared" si="255"/>
        <v>COMPLETED</v>
      </c>
      <c r="AS554" t="str">
        <f t="shared" si="264"/>
        <v>OK</v>
      </c>
      <c r="AT554">
        <f t="shared" si="265"/>
        <v>4303.4220000000005</v>
      </c>
      <c r="AU554">
        <f t="shared" si="266"/>
        <v>1734.8520000000003</v>
      </c>
      <c r="AV554" s="6">
        <f t="shared" si="267"/>
        <v>1.2269478800824085</v>
      </c>
      <c r="AW554" t="str">
        <f t="shared" si="268"/>
        <v>CLEAN</v>
      </c>
      <c r="AX554" s="10" t="str">
        <f t="shared" si="269"/>
        <v>MATCH</v>
      </c>
      <c r="AY554" t="str">
        <f t="shared" si="270"/>
        <v>MATCH</v>
      </c>
    </row>
    <row r="555" spans="1:51">
      <c r="A555" t="s">
        <v>727</v>
      </c>
      <c r="B555">
        <f t="shared" si="246"/>
        <v>2</v>
      </c>
      <c r="C555" t="s">
        <v>190</v>
      </c>
      <c r="D555" s="3">
        <v>45687</v>
      </c>
      <c r="E555" t="str">
        <f t="shared" si="247"/>
        <v>2025/01/30</v>
      </c>
      <c r="F555" t="str">
        <f t="shared" si="256"/>
        <v>January</v>
      </c>
      <c r="G555">
        <f t="shared" si="257"/>
        <v>2025</v>
      </c>
      <c r="H555" t="s">
        <v>728</v>
      </c>
      <c r="I555" s="4">
        <v>45683</v>
      </c>
      <c r="J555" s="8">
        <f t="shared" si="248"/>
        <v>-4</v>
      </c>
      <c r="K555" s="8" t="str">
        <f t="shared" si="258"/>
        <v>INVAILD_SHIPPING</v>
      </c>
      <c r="L555" t="s">
        <v>729</v>
      </c>
      <c r="M555" t="s">
        <v>141</v>
      </c>
      <c r="N555" t="str">
        <f t="shared" si="249"/>
        <v>Priya Menon</v>
      </c>
      <c r="O555" t="s">
        <v>107</v>
      </c>
      <c r="P555" t="str">
        <f t="shared" si="272"/>
        <v>Corporate</v>
      </c>
      <c r="Q555" t="s">
        <v>72</v>
      </c>
      <c r="R555" t="str">
        <f t="shared" si="274"/>
        <v>West</v>
      </c>
      <c r="S555" t="str">
        <f t="shared" si="259"/>
        <v>OK</v>
      </c>
      <c r="T555" t="s">
        <v>83</v>
      </c>
      <c r="U555" t="str">
        <f t="shared" si="250"/>
        <v>Madhya Pradesh</v>
      </c>
      <c r="V555" t="s">
        <v>84</v>
      </c>
      <c r="W555" t="str">
        <f t="shared" si="251"/>
        <v>Indore</v>
      </c>
      <c r="X555" t="str">
        <f t="shared" si="252"/>
        <v>Office Supplies</v>
      </c>
      <c r="Y555" t="s">
        <v>29</v>
      </c>
      <c r="Z555" t="s">
        <v>155</v>
      </c>
      <c r="AA555" t="str">
        <f t="shared" si="253"/>
        <v>Storage</v>
      </c>
      <c r="AB555" t="s">
        <v>730</v>
      </c>
      <c r="AC555" t="s">
        <v>32</v>
      </c>
      <c r="AD555" t="str">
        <f t="shared" si="271"/>
        <v>Second Class</v>
      </c>
      <c r="AE555" t="str">
        <f t="shared" si="260"/>
        <v>OK</v>
      </c>
      <c r="AF555">
        <v>2</v>
      </c>
      <c r="AG555">
        <v>3039.3</v>
      </c>
      <c r="AH555">
        <v>0.05</v>
      </c>
      <c r="AI555">
        <f t="shared" si="261"/>
        <v>0.05</v>
      </c>
      <c r="AJ555" t="str">
        <f t="shared" si="262"/>
        <v>OK</v>
      </c>
      <c r="AK555">
        <v>5774.67</v>
      </c>
      <c r="AL555">
        <v>3518.36</v>
      </c>
      <c r="AM555">
        <v>2256.31</v>
      </c>
      <c r="AN555" t="s">
        <v>33</v>
      </c>
      <c r="AO555" t="str">
        <f t="shared" si="254"/>
        <v>PAID</v>
      </c>
      <c r="AP555" t="str">
        <f t="shared" si="263"/>
        <v>OK</v>
      </c>
      <c r="AQ555" t="s">
        <v>34</v>
      </c>
      <c r="AR555" t="str">
        <f t="shared" si="255"/>
        <v>COMPLETED</v>
      </c>
      <c r="AS555" t="str">
        <f t="shared" si="264"/>
        <v>OK</v>
      </c>
      <c r="AT555">
        <f t="shared" si="265"/>
        <v>5774.67</v>
      </c>
      <c r="AU555">
        <f t="shared" si="266"/>
        <v>2256.31</v>
      </c>
      <c r="AV555" s="6">
        <f t="shared" si="267"/>
        <v>9.2020842749455795E-2</v>
      </c>
      <c r="AW555" t="str">
        <f t="shared" si="268"/>
        <v>CLEAN</v>
      </c>
      <c r="AX555" s="10" t="str">
        <f t="shared" si="269"/>
        <v>MATCH</v>
      </c>
      <c r="AY555" t="str">
        <f t="shared" si="270"/>
        <v>MATCH</v>
      </c>
    </row>
    <row r="556" spans="1:51">
      <c r="A556" t="s">
        <v>727</v>
      </c>
      <c r="B556">
        <f t="shared" si="246"/>
        <v>2</v>
      </c>
      <c r="C556" t="s">
        <v>190</v>
      </c>
      <c r="D556" s="3">
        <v>45687</v>
      </c>
      <c r="E556" t="str">
        <f t="shared" si="247"/>
        <v>2025/01/30</v>
      </c>
      <c r="F556" t="str">
        <f t="shared" si="256"/>
        <v>January</v>
      </c>
      <c r="G556">
        <f t="shared" si="257"/>
        <v>2025</v>
      </c>
      <c r="H556" t="s">
        <v>728</v>
      </c>
      <c r="I556" s="4">
        <v>45683</v>
      </c>
      <c r="J556" s="8">
        <f t="shared" si="248"/>
        <v>-4</v>
      </c>
      <c r="K556" s="8" t="str">
        <f t="shared" si="258"/>
        <v>INVAILD_SHIPPING</v>
      </c>
      <c r="L556" t="s">
        <v>729</v>
      </c>
      <c r="M556" t="s">
        <v>141</v>
      </c>
      <c r="N556" t="str">
        <f t="shared" si="249"/>
        <v>Priya Menon</v>
      </c>
      <c r="O556" t="s">
        <v>107</v>
      </c>
      <c r="P556" t="str">
        <f t="shared" si="272"/>
        <v>Corporate</v>
      </c>
      <c r="Q556" t="s">
        <v>72</v>
      </c>
      <c r="R556" t="str">
        <f t="shared" si="274"/>
        <v>West</v>
      </c>
      <c r="S556" t="str">
        <f t="shared" si="259"/>
        <v>OK</v>
      </c>
      <c r="T556" t="s">
        <v>83</v>
      </c>
      <c r="U556" t="str">
        <f t="shared" si="250"/>
        <v>Madhya Pradesh</v>
      </c>
      <c r="V556" t="s">
        <v>84</v>
      </c>
      <c r="W556" t="str">
        <f t="shared" si="251"/>
        <v>Indore</v>
      </c>
      <c r="X556" t="str">
        <f t="shared" si="252"/>
        <v>Office Supplies</v>
      </c>
      <c r="Y556" t="s">
        <v>29</v>
      </c>
      <c r="Z556" t="s">
        <v>155</v>
      </c>
      <c r="AA556" t="str">
        <f t="shared" si="253"/>
        <v>Storage</v>
      </c>
      <c r="AB556" t="s">
        <v>730</v>
      </c>
      <c r="AC556" t="s">
        <v>32</v>
      </c>
      <c r="AD556" t="str">
        <f t="shared" si="271"/>
        <v>Second Class</v>
      </c>
      <c r="AE556" t="str">
        <f t="shared" si="260"/>
        <v>OK</v>
      </c>
      <c r="AF556">
        <v>2</v>
      </c>
      <c r="AG556">
        <v>3039.3</v>
      </c>
      <c r="AH556">
        <v>0.05</v>
      </c>
      <c r="AI556">
        <f t="shared" si="261"/>
        <v>0.05</v>
      </c>
      <c r="AJ556" t="str">
        <f t="shared" si="262"/>
        <v>OK</v>
      </c>
      <c r="AK556">
        <v>5774.67</v>
      </c>
      <c r="AL556">
        <v>3518.36</v>
      </c>
      <c r="AM556">
        <v>2256.31</v>
      </c>
      <c r="AN556" t="s">
        <v>33</v>
      </c>
      <c r="AO556" t="str">
        <f t="shared" si="254"/>
        <v>PAID</v>
      </c>
      <c r="AP556" t="str">
        <f t="shared" si="263"/>
        <v>OK</v>
      </c>
      <c r="AQ556" t="s">
        <v>34</v>
      </c>
      <c r="AR556" t="str">
        <f t="shared" si="255"/>
        <v>COMPLETED</v>
      </c>
      <c r="AS556" t="str">
        <f t="shared" si="264"/>
        <v>OK</v>
      </c>
      <c r="AT556">
        <f t="shared" si="265"/>
        <v>5774.67</v>
      </c>
      <c r="AU556">
        <f t="shared" si="266"/>
        <v>2256.31</v>
      </c>
      <c r="AV556" s="6">
        <f t="shared" si="267"/>
        <v>0.35263486917867159</v>
      </c>
      <c r="AW556" t="str">
        <f t="shared" si="268"/>
        <v>CLEAN</v>
      </c>
      <c r="AX556" s="10" t="str">
        <f t="shared" si="269"/>
        <v>MATCH</v>
      </c>
      <c r="AY556" t="str">
        <f t="shared" si="270"/>
        <v>MATCH</v>
      </c>
    </row>
    <row r="557" spans="1:51">
      <c r="A557" t="s">
        <v>745</v>
      </c>
      <c r="B557">
        <f t="shared" si="246"/>
        <v>1</v>
      </c>
      <c r="C557" t="s">
        <v>746</v>
      </c>
      <c r="D557" s="3">
        <v>45929</v>
      </c>
      <c r="E557" t="str">
        <f t="shared" si="247"/>
        <v>2025/09/29</v>
      </c>
      <c r="F557" t="str">
        <f t="shared" si="256"/>
        <v>September</v>
      </c>
      <c r="G557">
        <f t="shared" si="257"/>
        <v>2025</v>
      </c>
      <c r="H557" t="s">
        <v>747</v>
      </c>
      <c r="I557" s="4">
        <v>45934</v>
      </c>
      <c r="J557" s="8">
        <f t="shared" si="248"/>
        <v>5</v>
      </c>
      <c r="K557" s="8" t="str">
        <f t="shared" si="258"/>
        <v>OK</v>
      </c>
      <c r="L557" t="s">
        <v>748</v>
      </c>
      <c r="M557" t="s">
        <v>71</v>
      </c>
      <c r="N557" t="str">
        <f t="shared" si="249"/>
        <v>Ananya Rao</v>
      </c>
      <c r="O557" t="s">
        <v>114</v>
      </c>
      <c r="P557" t="str">
        <f t="shared" si="272"/>
        <v>Home Office</v>
      </c>
      <c r="Q557" t="s">
        <v>41</v>
      </c>
      <c r="R557" t="str">
        <f t="shared" si="274"/>
        <v>East</v>
      </c>
      <c r="S557" t="str">
        <f t="shared" si="259"/>
        <v>OK</v>
      </c>
      <c r="T557" t="s">
        <v>310</v>
      </c>
      <c r="U557" t="str">
        <f t="shared" si="250"/>
        <v>Jharkhand</v>
      </c>
      <c r="V557" t="s">
        <v>311</v>
      </c>
      <c r="W557" t="str">
        <f t="shared" si="251"/>
        <v>Ranchi</v>
      </c>
      <c r="X557" t="str">
        <f t="shared" si="252"/>
        <v>Office Supplies</v>
      </c>
      <c r="Y557" t="s">
        <v>29</v>
      </c>
      <c r="Z557" t="s">
        <v>30</v>
      </c>
      <c r="AA557" t="str">
        <f t="shared" si="253"/>
        <v>Paper</v>
      </c>
      <c r="AB557" t="s">
        <v>749</v>
      </c>
      <c r="AC557" t="s">
        <v>47</v>
      </c>
      <c r="AD557" t="str">
        <f t="shared" si="271"/>
        <v>Same Day</v>
      </c>
      <c r="AE557" t="str">
        <f t="shared" si="260"/>
        <v>OK</v>
      </c>
      <c r="AF557">
        <v>9</v>
      </c>
      <c r="AG557">
        <v>373.91</v>
      </c>
      <c r="AH557">
        <v>0.2</v>
      </c>
      <c r="AI557">
        <f t="shared" si="261"/>
        <v>0.2</v>
      </c>
      <c r="AJ557" t="str">
        <f t="shared" si="262"/>
        <v>OK</v>
      </c>
      <c r="AK557">
        <v>2692.15</v>
      </c>
      <c r="AL557">
        <v>2044.49</v>
      </c>
      <c r="AM557">
        <v>647.66</v>
      </c>
      <c r="AN557" t="s">
        <v>33</v>
      </c>
      <c r="AO557" t="str">
        <f t="shared" si="254"/>
        <v>PAID</v>
      </c>
      <c r="AP557" t="str">
        <f t="shared" si="263"/>
        <v>OK</v>
      </c>
      <c r="AQ557" t="s">
        <v>34</v>
      </c>
      <c r="AR557" t="str">
        <f t="shared" si="255"/>
        <v>COMPLETED</v>
      </c>
      <c r="AS557" t="str">
        <f t="shared" si="264"/>
        <v>OK</v>
      </c>
      <c r="AT557">
        <f t="shared" si="265"/>
        <v>2692.152</v>
      </c>
      <c r="AU557">
        <f t="shared" si="266"/>
        <v>647.66200000000003</v>
      </c>
      <c r="AV557" s="6">
        <f t="shared" si="267"/>
        <v>0.4472110044306562</v>
      </c>
      <c r="AW557" t="str">
        <f t="shared" si="268"/>
        <v>CLEAN</v>
      </c>
      <c r="AX557" s="10" t="str">
        <f t="shared" si="269"/>
        <v>MATCH</v>
      </c>
      <c r="AY557" t="str">
        <f t="shared" si="270"/>
        <v>MATCH</v>
      </c>
    </row>
    <row r="558" spans="1:51">
      <c r="A558" t="s">
        <v>759</v>
      </c>
      <c r="B558">
        <f t="shared" si="246"/>
        <v>1</v>
      </c>
      <c r="C558" t="s">
        <v>760</v>
      </c>
      <c r="D558" s="3">
        <v>45852</v>
      </c>
      <c r="E558" t="str">
        <f t="shared" si="247"/>
        <v>2025/07/14</v>
      </c>
      <c r="F558" t="str">
        <f t="shared" si="256"/>
        <v>July</v>
      </c>
      <c r="G558">
        <f t="shared" si="257"/>
        <v>2025</v>
      </c>
      <c r="H558" t="s">
        <v>761</v>
      </c>
      <c r="I558" s="4">
        <v>45852</v>
      </c>
      <c r="J558" s="8">
        <f t="shared" si="248"/>
        <v>0</v>
      </c>
      <c r="K558" s="8" t="str">
        <f t="shared" si="258"/>
        <v>OK</v>
      </c>
      <c r="L558" t="s">
        <v>762</v>
      </c>
      <c r="M558" t="s">
        <v>82</v>
      </c>
      <c r="N558" t="str">
        <f t="shared" si="249"/>
        <v>Vikram Iyer</v>
      </c>
      <c r="O558" t="s">
        <v>114</v>
      </c>
      <c r="P558" t="str">
        <f t="shared" si="272"/>
        <v>Home Office</v>
      </c>
      <c r="Q558" t="s">
        <v>41</v>
      </c>
      <c r="R558" t="str">
        <f t="shared" si="274"/>
        <v>East</v>
      </c>
      <c r="S558" t="str">
        <f t="shared" si="259"/>
        <v>OK</v>
      </c>
      <c r="T558" t="s">
        <v>120</v>
      </c>
      <c r="U558" t="str">
        <f t="shared" si="250"/>
        <v>West Bengal</v>
      </c>
      <c r="V558" t="s">
        <v>121</v>
      </c>
      <c r="W558" t="str">
        <f t="shared" si="251"/>
        <v>Kolkata</v>
      </c>
      <c r="X558" t="str">
        <f t="shared" si="252"/>
        <v>Furniture</v>
      </c>
      <c r="Y558" t="s">
        <v>44</v>
      </c>
      <c r="Z558" t="s">
        <v>203</v>
      </c>
      <c r="AA558" t="str">
        <f t="shared" si="253"/>
        <v>Bookcases</v>
      </c>
      <c r="AB558" t="s">
        <v>763</v>
      </c>
      <c r="AD558" t="s">
        <v>4109</v>
      </c>
      <c r="AE558" t="str">
        <f t="shared" si="260"/>
        <v>MISSING_SHIP_MODE</v>
      </c>
      <c r="AF558">
        <v>5</v>
      </c>
      <c r="AG558">
        <v>383.1</v>
      </c>
      <c r="AH558">
        <v>0.25</v>
      </c>
      <c r="AI558">
        <f t="shared" si="261"/>
        <v>0.25</v>
      </c>
      <c r="AJ558" t="str">
        <f t="shared" si="262"/>
        <v>OK</v>
      </c>
      <c r="AK558">
        <v>1436.62</v>
      </c>
      <c r="AL558">
        <v>912.52</v>
      </c>
      <c r="AM558">
        <v>524.1</v>
      </c>
      <c r="AN558" t="s">
        <v>136</v>
      </c>
      <c r="AO558" t="str">
        <f t="shared" si="254"/>
        <v>PENDING</v>
      </c>
      <c r="AP558" t="str">
        <f t="shared" si="263"/>
        <v>OK</v>
      </c>
      <c r="AQ558" t="s">
        <v>77</v>
      </c>
      <c r="AR558" t="str">
        <f t="shared" si="255"/>
        <v>CANCELLED</v>
      </c>
      <c r="AS558" t="str">
        <f t="shared" si="264"/>
        <v>EXCLUDE_FROM_SALES</v>
      </c>
      <c r="AT558">
        <f t="shared" si="265"/>
        <v>1436.625</v>
      </c>
      <c r="AU558">
        <f t="shared" si="266"/>
        <v>524.10500000000002</v>
      </c>
      <c r="AV558" s="6">
        <f t="shared" si="267"/>
        <v>0.83804750717828247</v>
      </c>
      <c r="AW558" t="str">
        <f t="shared" si="268"/>
        <v>WARNING</v>
      </c>
      <c r="AX558" s="10" t="str">
        <f t="shared" si="269"/>
        <v>MISMATCH</v>
      </c>
      <c r="AY558" t="str">
        <f t="shared" si="270"/>
        <v>MISMATCH</v>
      </c>
    </row>
    <row r="559" spans="1:51">
      <c r="A559" t="s">
        <v>764</v>
      </c>
      <c r="B559">
        <f t="shared" si="246"/>
        <v>1</v>
      </c>
      <c r="C559" t="s">
        <v>765</v>
      </c>
      <c r="D559" s="3">
        <v>45893</v>
      </c>
      <c r="E559" t="str">
        <f t="shared" si="247"/>
        <v>2025/08/24</v>
      </c>
      <c r="F559" t="str">
        <f t="shared" si="256"/>
        <v>August</v>
      </c>
      <c r="G559">
        <f t="shared" si="257"/>
        <v>2025</v>
      </c>
      <c r="H559" t="s">
        <v>765</v>
      </c>
      <c r="I559" s="4">
        <v>45893</v>
      </c>
      <c r="J559" s="8">
        <f t="shared" si="248"/>
        <v>0</v>
      </c>
      <c r="K559" s="8" t="str">
        <f t="shared" si="258"/>
        <v>OK</v>
      </c>
      <c r="L559" t="s">
        <v>766</v>
      </c>
      <c r="M559" t="s">
        <v>209</v>
      </c>
      <c r="N559" t="str">
        <f t="shared" si="249"/>
        <v>Diya Patel</v>
      </c>
      <c r="O559" t="s">
        <v>40</v>
      </c>
      <c r="P559" t="str">
        <f t="shared" si="272"/>
        <v>Small Business</v>
      </c>
      <c r="Q559" t="s">
        <v>61</v>
      </c>
      <c r="R559" t="str">
        <f t="shared" si="274"/>
        <v>South</v>
      </c>
      <c r="S559" t="str">
        <f t="shared" si="259"/>
        <v>OK</v>
      </c>
      <c r="T559" t="s">
        <v>241</v>
      </c>
      <c r="U559" t="str">
        <f t="shared" si="250"/>
        <v>Kerala</v>
      </c>
      <c r="V559" t="s">
        <v>242</v>
      </c>
      <c r="W559" t="str">
        <f t="shared" si="251"/>
        <v>Kochi</v>
      </c>
      <c r="X559" t="str">
        <f t="shared" si="252"/>
        <v>Furniture</v>
      </c>
      <c r="Y559" t="s">
        <v>44</v>
      </c>
      <c r="Z559" t="s">
        <v>203</v>
      </c>
      <c r="AA559" t="str">
        <f t="shared" si="253"/>
        <v>Bookcases</v>
      </c>
      <c r="AB559" t="s">
        <v>767</v>
      </c>
      <c r="AC559" t="s">
        <v>66</v>
      </c>
      <c r="AD559" t="str">
        <f t="shared" ref="AD559:AD564" si="275">PROPER(TRIM(SUBSTITUTE(AC559,CHAR(160)," ")))</f>
        <v>Standard Class</v>
      </c>
      <c r="AE559" t="str">
        <f t="shared" si="260"/>
        <v>OK</v>
      </c>
      <c r="AF559">
        <v>1</v>
      </c>
      <c r="AG559">
        <v>3424.78</v>
      </c>
      <c r="AH559">
        <v>0</v>
      </c>
      <c r="AI559">
        <f t="shared" si="261"/>
        <v>0</v>
      </c>
      <c r="AJ559" t="str">
        <f t="shared" si="262"/>
        <v>OK</v>
      </c>
      <c r="AK559">
        <v>3424.78</v>
      </c>
      <c r="AL559">
        <v>1951.45</v>
      </c>
      <c r="AM559">
        <v>1473.33</v>
      </c>
      <c r="AN559" t="s">
        <v>33</v>
      </c>
      <c r="AO559" t="str">
        <f t="shared" si="254"/>
        <v>PAID</v>
      </c>
      <c r="AP559" t="str">
        <f t="shared" si="263"/>
        <v>OK</v>
      </c>
      <c r="AQ559" t="s">
        <v>34</v>
      </c>
      <c r="AR559" t="str">
        <f t="shared" si="255"/>
        <v>COMPLETED</v>
      </c>
      <c r="AS559" t="str">
        <f t="shared" si="264"/>
        <v>OK</v>
      </c>
      <c r="AT559">
        <f t="shared" si="265"/>
        <v>3424.78</v>
      </c>
      <c r="AU559">
        <f t="shared" si="266"/>
        <v>1473.3300000000002</v>
      </c>
      <c r="AV559" s="6">
        <f t="shared" si="267"/>
        <v>1.3524116877580461</v>
      </c>
      <c r="AW559" t="str">
        <f t="shared" si="268"/>
        <v>CLEAN</v>
      </c>
      <c r="AX559" s="10" t="str">
        <f t="shared" si="269"/>
        <v>MATCH</v>
      </c>
      <c r="AY559" t="str">
        <f t="shared" si="270"/>
        <v>MATCH</v>
      </c>
    </row>
    <row r="560" spans="1:51">
      <c r="A560" t="s">
        <v>768</v>
      </c>
      <c r="B560">
        <f t="shared" si="246"/>
        <v>1</v>
      </c>
      <c r="C560" t="s">
        <v>769</v>
      </c>
      <c r="D560" s="3">
        <v>45697</v>
      </c>
      <c r="E560" t="str">
        <f t="shared" si="247"/>
        <v>2025/02/09</v>
      </c>
      <c r="F560" t="str">
        <f t="shared" si="256"/>
        <v>February</v>
      </c>
      <c r="G560">
        <f t="shared" si="257"/>
        <v>2025</v>
      </c>
      <c r="H560" t="s">
        <v>770</v>
      </c>
      <c r="I560" s="4">
        <v>45703</v>
      </c>
      <c r="J560" s="8">
        <f t="shared" si="248"/>
        <v>6</v>
      </c>
      <c r="K560" s="8" t="str">
        <f t="shared" si="258"/>
        <v>OK</v>
      </c>
      <c r="L560" t="s">
        <v>771</v>
      </c>
      <c r="M560" t="s">
        <v>39</v>
      </c>
      <c r="N560" t="str">
        <f t="shared" si="249"/>
        <v>Mira Das</v>
      </c>
      <c r="O560" t="s">
        <v>114</v>
      </c>
      <c r="P560" t="str">
        <f t="shared" si="272"/>
        <v>Home Office</v>
      </c>
      <c r="Q560" t="s">
        <v>41</v>
      </c>
      <c r="R560" t="str">
        <f t="shared" si="274"/>
        <v>East</v>
      </c>
      <c r="S560" t="str">
        <f t="shared" si="259"/>
        <v>OK</v>
      </c>
      <c r="T560" t="s">
        <v>310</v>
      </c>
      <c r="U560" t="str">
        <f t="shared" si="250"/>
        <v>Jharkhand</v>
      </c>
      <c r="V560" t="s">
        <v>311</v>
      </c>
      <c r="W560" t="str">
        <f t="shared" si="251"/>
        <v>Ranchi</v>
      </c>
      <c r="X560" t="str">
        <f t="shared" si="252"/>
        <v>Office Supplies</v>
      </c>
      <c r="Y560" t="s">
        <v>29</v>
      </c>
      <c r="Z560" t="s">
        <v>197</v>
      </c>
      <c r="AA560" t="str">
        <f t="shared" si="253"/>
        <v>Binders</v>
      </c>
      <c r="AB560" t="s">
        <v>772</v>
      </c>
      <c r="AC560" t="s">
        <v>773</v>
      </c>
      <c r="AD560" t="str">
        <f t="shared" si="275"/>
        <v>Standard Class</v>
      </c>
      <c r="AE560" t="str">
        <f t="shared" si="260"/>
        <v>OK</v>
      </c>
      <c r="AF560">
        <v>9</v>
      </c>
      <c r="AG560">
        <v>4330.33</v>
      </c>
      <c r="AH560">
        <v>0.2</v>
      </c>
      <c r="AI560">
        <f t="shared" si="261"/>
        <v>0.2</v>
      </c>
      <c r="AJ560" t="str">
        <f t="shared" si="262"/>
        <v>OK</v>
      </c>
      <c r="AK560">
        <v>31178.38</v>
      </c>
      <c r="AL560">
        <v>21421.09</v>
      </c>
      <c r="AM560">
        <v>9757.2900000000009</v>
      </c>
      <c r="AN560" t="s">
        <v>33</v>
      </c>
      <c r="AO560" t="str">
        <f t="shared" si="254"/>
        <v>PAID</v>
      </c>
      <c r="AP560" t="str">
        <f t="shared" si="263"/>
        <v>OK</v>
      </c>
      <c r="AQ560" t="s">
        <v>34</v>
      </c>
      <c r="AR560" t="str">
        <f t="shared" si="255"/>
        <v>COMPLETED</v>
      </c>
      <c r="AS560" t="str">
        <f t="shared" si="264"/>
        <v>OK</v>
      </c>
      <c r="AT560">
        <f t="shared" si="265"/>
        <v>31178.376000000004</v>
      </c>
      <c r="AU560">
        <f t="shared" si="266"/>
        <v>9757.2860000000037</v>
      </c>
      <c r="AV560" s="6">
        <f t="shared" si="267"/>
        <v>0.25218093463238744</v>
      </c>
      <c r="AW560" t="str">
        <f t="shared" si="268"/>
        <v>CLEAN</v>
      </c>
      <c r="AX560" s="10" t="str">
        <f t="shared" si="269"/>
        <v>MATCH</v>
      </c>
      <c r="AY560" t="str">
        <f t="shared" si="270"/>
        <v>MATCH</v>
      </c>
    </row>
    <row r="561" spans="1:51">
      <c r="A561" t="s">
        <v>774</v>
      </c>
      <c r="B561">
        <f t="shared" si="246"/>
        <v>1</v>
      </c>
      <c r="C561" t="s">
        <v>775</v>
      </c>
      <c r="D561" s="3">
        <v>45901</v>
      </c>
      <c r="E561" t="str">
        <f t="shared" si="247"/>
        <v>2025/09/01</v>
      </c>
      <c r="F561" t="str">
        <f t="shared" si="256"/>
        <v>September</v>
      </c>
      <c r="G561">
        <f t="shared" si="257"/>
        <v>2025</v>
      </c>
      <c r="H561" t="s">
        <v>776</v>
      </c>
      <c r="I561" s="4">
        <v>45666</v>
      </c>
      <c r="J561" s="8">
        <f t="shared" si="248"/>
        <v>-235</v>
      </c>
      <c r="K561" s="8" t="str">
        <f t="shared" si="258"/>
        <v>INVAILD_SHIPPING</v>
      </c>
      <c r="L561" t="s">
        <v>777</v>
      </c>
      <c r="M561" t="s">
        <v>167</v>
      </c>
      <c r="N561" t="str">
        <f t="shared" si="249"/>
        <v>Sneha Kapoor</v>
      </c>
      <c r="O561" t="s">
        <v>40</v>
      </c>
      <c r="P561" t="str">
        <f t="shared" si="272"/>
        <v>Small Business</v>
      </c>
      <c r="Q561" t="s">
        <v>26</v>
      </c>
      <c r="R561" t="str">
        <f t="shared" si="274"/>
        <v>North</v>
      </c>
      <c r="S561" t="str">
        <f t="shared" si="259"/>
        <v>OK</v>
      </c>
      <c r="T561" t="s">
        <v>27</v>
      </c>
      <c r="U561" t="str">
        <f t="shared" si="250"/>
        <v>Rajasthan</v>
      </c>
      <c r="V561" t="s">
        <v>28</v>
      </c>
      <c r="W561" t="str">
        <f t="shared" si="251"/>
        <v>Jaipur</v>
      </c>
      <c r="X561" t="str">
        <f t="shared" si="252"/>
        <v>Furniture</v>
      </c>
      <c r="Y561" t="s">
        <v>44</v>
      </c>
      <c r="Z561" t="s">
        <v>75</v>
      </c>
      <c r="AA561" t="str">
        <f t="shared" si="253"/>
        <v>Chairs</v>
      </c>
      <c r="AB561" t="s">
        <v>778</v>
      </c>
      <c r="AC561" t="s">
        <v>47</v>
      </c>
      <c r="AD561" t="str">
        <f t="shared" si="275"/>
        <v>Same Day</v>
      </c>
      <c r="AE561" t="str">
        <f t="shared" si="260"/>
        <v>OK</v>
      </c>
      <c r="AF561">
        <v>8</v>
      </c>
      <c r="AG561">
        <v>2667.07</v>
      </c>
      <c r="AH561">
        <v>0.1</v>
      </c>
      <c r="AI561">
        <f t="shared" si="261"/>
        <v>0.1</v>
      </c>
      <c r="AJ561" t="str">
        <f t="shared" si="262"/>
        <v>OK</v>
      </c>
      <c r="AK561">
        <v>19202.900000000001</v>
      </c>
      <c r="AL561">
        <v>15526.62</v>
      </c>
      <c r="AM561">
        <v>3676.28</v>
      </c>
      <c r="AN561" t="s">
        <v>33</v>
      </c>
      <c r="AO561" t="str">
        <f t="shared" si="254"/>
        <v>PAID</v>
      </c>
      <c r="AP561" t="str">
        <f t="shared" si="263"/>
        <v>OK</v>
      </c>
      <c r="AQ561" t="s">
        <v>34</v>
      </c>
      <c r="AR561" t="str">
        <f t="shared" si="255"/>
        <v>COMPLETED</v>
      </c>
      <c r="AS561" t="str">
        <f t="shared" si="264"/>
        <v>OK</v>
      </c>
      <c r="AT561">
        <f t="shared" si="265"/>
        <v>19202.904000000002</v>
      </c>
      <c r="AU561">
        <f t="shared" si="266"/>
        <v>3676.2840000000015</v>
      </c>
      <c r="AV561" s="6">
        <f t="shared" si="267"/>
        <v>0.18205334984750218</v>
      </c>
      <c r="AW561" t="str">
        <f t="shared" si="268"/>
        <v>CLEAN</v>
      </c>
      <c r="AX561" s="10" t="str">
        <f t="shared" si="269"/>
        <v>MATCH</v>
      </c>
      <c r="AY561" t="str">
        <f t="shared" si="270"/>
        <v>MATCH</v>
      </c>
    </row>
    <row r="562" spans="1:51">
      <c r="A562" t="s">
        <v>784</v>
      </c>
      <c r="B562">
        <f t="shared" si="246"/>
        <v>1</v>
      </c>
      <c r="C562" t="s">
        <v>785</v>
      </c>
      <c r="D562" s="3">
        <v>45691</v>
      </c>
      <c r="E562" t="str">
        <f t="shared" si="247"/>
        <v>2025/02/03</v>
      </c>
      <c r="F562" t="str">
        <f t="shared" si="256"/>
        <v>February</v>
      </c>
      <c r="G562">
        <f t="shared" si="257"/>
        <v>2025</v>
      </c>
      <c r="H562" t="s">
        <v>786</v>
      </c>
      <c r="I562" s="4">
        <v>45841</v>
      </c>
      <c r="J562" s="8">
        <f t="shared" si="248"/>
        <v>150</v>
      </c>
      <c r="K562" s="8" t="str">
        <f t="shared" si="258"/>
        <v>OK</v>
      </c>
      <c r="L562" t="s">
        <v>787</v>
      </c>
      <c r="M562" t="s">
        <v>92</v>
      </c>
      <c r="N562" t="str">
        <f t="shared" si="249"/>
        <v>Neha Gupta</v>
      </c>
      <c r="O562" t="s">
        <v>114</v>
      </c>
      <c r="P562" t="str">
        <f t="shared" si="272"/>
        <v>Home Office</v>
      </c>
      <c r="Q562" t="s">
        <v>61</v>
      </c>
      <c r="R562" t="str">
        <f t="shared" si="274"/>
        <v>South</v>
      </c>
      <c r="S562" t="str">
        <f t="shared" si="259"/>
        <v>OK</v>
      </c>
      <c r="T562" t="s">
        <v>228</v>
      </c>
      <c r="U562" t="str">
        <f t="shared" si="250"/>
        <v>Karnataka</v>
      </c>
      <c r="V562" t="s">
        <v>229</v>
      </c>
      <c r="W562" t="str">
        <f t="shared" si="251"/>
        <v>Bengaluru</v>
      </c>
      <c r="X562" t="str">
        <f t="shared" si="252"/>
        <v>Office Supplies</v>
      </c>
      <c r="Y562" t="s">
        <v>29</v>
      </c>
      <c r="Z562" t="s">
        <v>108</v>
      </c>
      <c r="AA562" t="str">
        <f t="shared" si="253"/>
        <v>Labels</v>
      </c>
      <c r="AB562" t="s">
        <v>788</v>
      </c>
      <c r="AC562" t="s">
        <v>66</v>
      </c>
      <c r="AD562" t="str">
        <f t="shared" si="275"/>
        <v>Standard Class</v>
      </c>
      <c r="AE562" t="str">
        <f t="shared" si="260"/>
        <v>OK</v>
      </c>
      <c r="AF562">
        <v>8</v>
      </c>
      <c r="AG562">
        <v>1287.6300000000001</v>
      </c>
      <c r="AH562">
        <v>0</v>
      </c>
      <c r="AI562">
        <f t="shared" si="261"/>
        <v>0</v>
      </c>
      <c r="AJ562" t="str">
        <f t="shared" si="262"/>
        <v>OK</v>
      </c>
      <c r="AK562">
        <v>10301.040000000001</v>
      </c>
      <c r="AL562">
        <v>6564.06</v>
      </c>
      <c r="AM562">
        <v>3736.98</v>
      </c>
      <c r="AN562" t="s">
        <v>33</v>
      </c>
      <c r="AO562" t="str">
        <f t="shared" si="254"/>
        <v>PAID</v>
      </c>
      <c r="AP562" t="str">
        <f t="shared" si="263"/>
        <v>OK</v>
      </c>
      <c r="AQ562" t="s">
        <v>34</v>
      </c>
      <c r="AR562" t="str">
        <f t="shared" si="255"/>
        <v>COMPLETED</v>
      </c>
      <c r="AS562" t="str">
        <f t="shared" si="264"/>
        <v>OK</v>
      </c>
      <c r="AT562">
        <f t="shared" si="265"/>
        <v>10301.040000000001</v>
      </c>
      <c r="AU562">
        <f t="shared" si="266"/>
        <v>3736.9800000000005</v>
      </c>
      <c r="AV562" s="6">
        <f t="shared" si="267"/>
        <v>1.0016825485582037</v>
      </c>
      <c r="AW562" t="str">
        <f t="shared" si="268"/>
        <v>CLEAN</v>
      </c>
      <c r="AX562" s="10" t="str">
        <f t="shared" si="269"/>
        <v>MATCH</v>
      </c>
      <c r="AY562" t="str">
        <f t="shared" si="270"/>
        <v>MATCH</v>
      </c>
    </row>
    <row r="563" spans="1:51">
      <c r="A563" t="s">
        <v>812</v>
      </c>
      <c r="B563">
        <f t="shared" si="246"/>
        <v>1</v>
      </c>
      <c r="C563" t="s">
        <v>813</v>
      </c>
      <c r="D563" s="3">
        <v>45758</v>
      </c>
      <c r="E563" t="str">
        <f t="shared" si="247"/>
        <v>2025/04/11</v>
      </c>
      <c r="F563" t="str">
        <f t="shared" si="256"/>
        <v>April</v>
      </c>
      <c r="G563">
        <f t="shared" si="257"/>
        <v>2025</v>
      </c>
      <c r="H563" t="s">
        <v>814</v>
      </c>
      <c r="I563" s="4">
        <v>45760</v>
      </c>
      <c r="J563" s="8">
        <f t="shared" si="248"/>
        <v>2</v>
      </c>
      <c r="K563" s="8" t="str">
        <f t="shared" si="258"/>
        <v>OK</v>
      </c>
      <c r="L563" t="s">
        <v>815</v>
      </c>
      <c r="M563" t="s">
        <v>39</v>
      </c>
      <c r="N563" t="str">
        <f t="shared" si="249"/>
        <v>Mira Das</v>
      </c>
      <c r="O563" t="s">
        <v>40</v>
      </c>
      <c r="P563" t="str">
        <f t="shared" si="272"/>
        <v>Small Business</v>
      </c>
      <c r="Q563" t="s">
        <v>72</v>
      </c>
      <c r="R563" t="str">
        <f t="shared" si="274"/>
        <v>West</v>
      </c>
      <c r="S563" t="str">
        <f t="shared" si="259"/>
        <v>OK</v>
      </c>
      <c r="T563" t="s">
        <v>248</v>
      </c>
      <c r="U563" t="str">
        <f t="shared" si="250"/>
        <v>Goa</v>
      </c>
      <c r="V563" t="s">
        <v>249</v>
      </c>
      <c r="W563" t="str">
        <f t="shared" si="251"/>
        <v>Panaji</v>
      </c>
      <c r="X563" t="str">
        <f t="shared" si="252"/>
        <v>Office Supplies</v>
      </c>
      <c r="Y563" t="s">
        <v>29</v>
      </c>
      <c r="Z563" t="s">
        <v>30</v>
      </c>
      <c r="AA563" t="str">
        <f t="shared" si="253"/>
        <v>Paper</v>
      </c>
      <c r="AB563" t="s">
        <v>816</v>
      </c>
      <c r="AC563" t="s">
        <v>66</v>
      </c>
      <c r="AD563" t="str">
        <f t="shared" si="275"/>
        <v>Standard Class</v>
      </c>
      <c r="AE563" t="str">
        <f t="shared" si="260"/>
        <v>OK</v>
      </c>
      <c r="AF563">
        <v>4</v>
      </c>
      <c r="AG563">
        <v>4182.1499999999996</v>
      </c>
      <c r="AH563">
        <v>0.1</v>
      </c>
      <c r="AI563">
        <f t="shared" si="261"/>
        <v>0.1</v>
      </c>
      <c r="AJ563" t="str">
        <f t="shared" si="262"/>
        <v>OK</v>
      </c>
      <c r="AK563">
        <v>15055.74</v>
      </c>
      <c r="AL563">
        <v>9808.83</v>
      </c>
      <c r="AM563">
        <v>5246.91</v>
      </c>
      <c r="AN563" t="s">
        <v>33</v>
      </c>
      <c r="AO563" t="str">
        <f t="shared" si="254"/>
        <v>PAID</v>
      </c>
      <c r="AP563" t="str">
        <f t="shared" si="263"/>
        <v>OK</v>
      </c>
      <c r="AQ563" t="s">
        <v>34</v>
      </c>
      <c r="AR563" t="str">
        <f t="shared" si="255"/>
        <v>COMPLETED</v>
      </c>
      <c r="AS563" t="str">
        <f t="shared" si="264"/>
        <v>OK</v>
      </c>
      <c r="AT563">
        <f t="shared" si="265"/>
        <v>15055.74</v>
      </c>
      <c r="AU563">
        <f t="shared" si="266"/>
        <v>5246.91</v>
      </c>
      <c r="AV563" s="6">
        <f t="shared" si="267"/>
        <v>0.28025789499552989</v>
      </c>
      <c r="AW563" t="str">
        <f t="shared" si="268"/>
        <v>CLEAN</v>
      </c>
      <c r="AX563" s="10" t="str">
        <f t="shared" si="269"/>
        <v>MATCH</v>
      </c>
      <c r="AY563" t="str">
        <f t="shared" si="270"/>
        <v>MATCH</v>
      </c>
    </row>
    <row r="564" spans="1:51">
      <c r="A564" t="s">
        <v>817</v>
      </c>
      <c r="B564">
        <f t="shared" si="246"/>
        <v>1</v>
      </c>
      <c r="C564" t="s">
        <v>818</v>
      </c>
      <c r="D564" s="2">
        <v>45868</v>
      </c>
      <c r="E564" t="str">
        <f t="shared" si="247"/>
        <v>2025/07/30</v>
      </c>
      <c r="F564" t="str">
        <f t="shared" si="256"/>
        <v>July</v>
      </c>
      <c r="G564">
        <f t="shared" si="257"/>
        <v>2025</v>
      </c>
      <c r="H564" t="s">
        <v>819</v>
      </c>
      <c r="I564" s="4">
        <v>45870</v>
      </c>
      <c r="J564" s="8">
        <f t="shared" si="248"/>
        <v>2</v>
      </c>
      <c r="K564" s="8" t="str">
        <f t="shared" si="258"/>
        <v>OK</v>
      </c>
      <c r="L564" t="s">
        <v>820</v>
      </c>
      <c r="M564" t="s">
        <v>167</v>
      </c>
      <c r="N564" t="str">
        <f t="shared" si="249"/>
        <v>Sneha Kapoor</v>
      </c>
      <c r="O564" t="s">
        <v>40</v>
      </c>
      <c r="P564" t="str">
        <f t="shared" si="272"/>
        <v>Small Business</v>
      </c>
      <c r="Q564" t="s">
        <v>61</v>
      </c>
      <c r="R564" t="str">
        <f t="shared" si="274"/>
        <v>South</v>
      </c>
      <c r="S564" t="str">
        <f t="shared" si="259"/>
        <v>OK</v>
      </c>
      <c r="T564" t="s">
        <v>338</v>
      </c>
      <c r="U564" t="str">
        <f t="shared" si="250"/>
        <v>Tamil Nadu</v>
      </c>
      <c r="V564" t="s">
        <v>339</v>
      </c>
      <c r="W564" t="str">
        <f t="shared" si="251"/>
        <v>Chennai</v>
      </c>
      <c r="X564" t="str">
        <f t="shared" si="252"/>
        <v>Office Supplies</v>
      </c>
      <c r="Y564" t="s">
        <v>29</v>
      </c>
      <c r="Z564" t="s">
        <v>155</v>
      </c>
      <c r="AA564" t="str">
        <f t="shared" si="253"/>
        <v>Storage</v>
      </c>
      <c r="AB564" t="s">
        <v>821</v>
      </c>
      <c r="AC564" t="s">
        <v>47</v>
      </c>
      <c r="AD564" t="str">
        <f t="shared" si="275"/>
        <v>Same Day</v>
      </c>
      <c r="AE564" t="str">
        <f t="shared" si="260"/>
        <v>OK</v>
      </c>
      <c r="AF564">
        <v>9</v>
      </c>
      <c r="AG564">
        <v>3165.43</v>
      </c>
      <c r="AH564">
        <v>0.1</v>
      </c>
      <c r="AI564">
        <f t="shared" si="261"/>
        <v>0.1</v>
      </c>
      <c r="AJ564" t="str">
        <f t="shared" si="262"/>
        <v>OK</v>
      </c>
      <c r="AK564">
        <v>25639.98</v>
      </c>
      <c r="AL564">
        <v>21635.08</v>
      </c>
      <c r="AM564">
        <v>4004.9</v>
      </c>
      <c r="AN564" t="s">
        <v>33</v>
      </c>
      <c r="AO564" t="str">
        <f t="shared" si="254"/>
        <v>PAID</v>
      </c>
      <c r="AP564" t="str">
        <f t="shared" si="263"/>
        <v>OK</v>
      </c>
      <c r="AQ564" t="s">
        <v>34</v>
      </c>
      <c r="AR564" t="str">
        <f t="shared" si="255"/>
        <v>COMPLETED</v>
      </c>
      <c r="AS564" t="str">
        <f t="shared" si="264"/>
        <v>OK</v>
      </c>
      <c r="AT564">
        <f t="shared" si="265"/>
        <v>25639.983</v>
      </c>
      <c r="AU564">
        <f t="shared" si="266"/>
        <v>4004.9029999999984</v>
      </c>
      <c r="AV564" s="6">
        <f t="shared" si="267"/>
        <v>0.17860097645150549</v>
      </c>
      <c r="AW564" t="str">
        <f t="shared" si="268"/>
        <v>CLEAN</v>
      </c>
      <c r="AX564" s="10" t="str">
        <f t="shared" si="269"/>
        <v>MATCH</v>
      </c>
      <c r="AY564" t="str">
        <f t="shared" si="270"/>
        <v>MATCH</v>
      </c>
    </row>
    <row r="565" spans="1:51">
      <c r="A565" t="s">
        <v>827</v>
      </c>
      <c r="B565">
        <f t="shared" si="246"/>
        <v>1</v>
      </c>
      <c r="C565" t="s">
        <v>828</v>
      </c>
      <c r="D565" s="2">
        <v>45902</v>
      </c>
      <c r="E565" t="str">
        <f t="shared" si="247"/>
        <v>2025/09/02</v>
      </c>
      <c r="F565" t="str">
        <f t="shared" si="256"/>
        <v>September</v>
      </c>
      <c r="G565">
        <f t="shared" si="257"/>
        <v>2025</v>
      </c>
      <c r="H565" t="s">
        <v>829</v>
      </c>
      <c r="I565" s="4">
        <v>45701</v>
      </c>
      <c r="J565" s="8">
        <f t="shared" si="248"/>
        <v>-201</v>
      </c>
      <c r="K565" s="8" t="str">
        <f t="shared" si="258"/>
        <v>INVAILD_SHIPPING</v>
      </c>
      <c r="L565" t="s">
        <v>830</v>
      </c>
      <c r="M565" t="s">
        <v>39</v>
      </c>
      <c r="N565" t="str">
        <f t="shared" si="249"/>
        <v>Mira Das</v>
      </c>
      <c r="O565" t="s">
        <v>114</v>
      </c>
      <c r="P565" t="str">
        <f t="shared" si="272"/>
        <v>Home Office</v>
      </c>
      <c r="Q565" t="s">
        <v>72</v>
      </c>
      <c r="R565" t="str">
        <f t="shared" si="274"/>
        <v>West</v>
      </c>
      <c r="S565" t="str">
        <f t="shared" si="259"/>
        <v>OK</v>
      </c>
      <c r="T565" t="s">
        <v>83</v>
      </c>
      <c r="U565" t="str">
        <f t="shared" si="250"/>
        <v>Madhya Pradesh</v>
      </c>
      <c r="V565" t="s">
        <v>84</v>
      </c>
      <c r="W565" t="str">
        <f t="shared" si="251"/>
        <v>Indore</v>
      </c>
      <c r="X565" t="str">
        <f t="shared" si="252"/>
        <v>Technology</v>
      </c>
      <c r="Y565" t="s">
        <v>85</v>
      </c>
      <c r="Z565" t="s">
        <v>222</v>
      </c>
      <c r="AA565" t="str">
        <f t="shared" si="253"/>
        <v>Phones</v>
      </c>
      <c r="AB565" t="s">
        <v>831</v>
      </c>
      <c r="AD565" t="s">
        <v>4109</v>
      </c>
      <c r="AE565" t="str">
        <f t="shared" si="260"/>
        <v>MISSING_SHIP_MODE</v>
      </c>
      <c r="AF565">
        <v>8</v>
      </c>
      <c r="AG565">
        <v>1696.07</v>
      </c>
      <c r="AH565">
        <v>0.25</v>
      </c>
      <c r="AI565">
        <f t="shared" si="261"/>
        <v>0.25</v>
      </c>
      <c r="AJ565" t="str">
        <f t="shared" si="262"/>
        <v>OK</v>
      </c>
      <c r="AK565">
        <v>10176.42</v>
      </c>
      <c r="AL565">
        <v>7604.47</v>
      </c>
      <c r="AM565">
        <v>2571.9499999999998</v>
      </c>
      <c r="AN565" t="s">
        <v>33</v>
      </c>
      <c r="AO565" t="str">
        <f t="shared" si="254"/>
        <v>PAID</v>
      </c>
      <c r="AP565" t="str">
        <f t="shared" si="263"/>
        <v>OK</v>
      </c>
      <c r="AQ565" t="s">
        <v>34</v>
      </c>
      <c r="AR565" t="str">
        <f t="shared" si="255"/>
        <v>COMPLETED</v>
      </c>
      <c r="AS565" t="str">
        <f t="shared" si="264"/>
        <v>OK</v>
      </c>
      <c r="AT565">
        <f t="shared" si="265"/>
        <v>10176.42</v>
      </c>
      <c r="AU565">
        <f t="shared" si="266"/>
        <v>2571.9499999999998</v>
      </c>
      <c r="AV565" s="6">
        <f t="shared" si="267"/>
        <v>0.24578977675842775</v>
      </c>
      <c r="AW565" t="str">
        <f t="shared" si="268"/>
        <v>WARNING</v>
      </c>
      <c r="AX565" s="10" t="str">
        <f t="shared" si="269"/>
        <v>MATCH</v>
      </c>
      <c r="AY565" t="str">
        <f t="shared" si="270"/>
        <v>MATCH</v>
      </c>
    </row>
    <row r="566" spans="1:51">
      <c r="A566" t="s">
        <v>852</v>
      </c>
      <c r="B566">
        <f t="shared" si="246"/>
        <v>1</v>
      </c>
      <c r="C566" t="s">
        <v>853</v>
      </c>
      <c r="D566" s="2">
        <v>45923</v>
      </c>
      <c r="E566" t="str">
        <f t="shared" si="247"/>
        <v>2025/09/23</v>
      </c>
      <c r="F566" t="str">
        <f t="shared" si="256"/>
        <v>September</v>
      </c>
      <c r="G566">
        <f t="shared" si="257"/>
        <v>2025</v>
      </c>
      <c r="H566" t="s">
        <v>854</v>
      </c>
      <c r="I566" s="4">
        <v>45925</v>
      </c>
      <c r="J566" s="8">
        <f t="shared" si="248"/>
        <v>2</v>
      </c>
      <c r="K566" s="8" t="str">
        <f t="shared" si="258"/>
        <v>OK</v>
      </c>
      <c r="L566" t="s">
        <v>855</v>
      </c>
      <c r="M566" t="s">
        <v>106</v>
      </c>
      <c r="N566" t="str">
        <f t="shared" si="249"/>
        <v>Aditi Sen</v>
      </c>
      <c r="O566" t="s">
        <v>25</v>
      </c>
      <c r="P566" t="str">
        <f t="shared" si="272"/>
        <v>Consumer</v>
      </c>
      <c r="Q566" t="s">
        <v>41</v>
      </c>
      <c r="R566" t="str">
        <f t="shared" si="274"/>
        <v>East</v>
      </c>
      <c r="S566" t="str">
        <f t="shared" si="259"/>
        <v>OK</v>
      </c>
      <c r="T566" t="s">
        <v>42</v>
      </c>
      <c r="U566" t="str">
        <f t="shared" si="250"/>
        <v>Odisha</v>
      </c>
      <c r="V566" t="s">
        <v>43</v>
      </c>
      <c r="W566" t="str">
        <f t="shared" si="251"/>
        <v>Bhubaneswar</v>
      </c>
      <c r="X566" t="str">
        <f t="shared" si="252"/>
        <v>Office Supplies</v>
      </c>
      <c r="Y566" t="s">
        <v>29</v>
      </c>
      <c r="Z566" t="s">
        <v>108</v>
      </c>
      <c r="AA566" t="str">
        <f t="shared" si="253"/>
        <v>Labels</v>
      </c>
      <c r="AB566" t="s">
        <v>856</v>
      </c>
      <c r="AC566" t="s">
        <v>66</v>
      </c>
      <c r="AD566" t="str">
        <f t="shared" ref="AD566:AD571" si="276">PROPER(TRIM(SUBSTITUTE(AC566,CHAR(160)," ")))</f>
        <v>Standard Class</v>
      </c>
      <c r="AE566" t="str">
        <f t="shared" si="260"/>
        <v>OK</v>
      </c>
      <c r="AF566">
        <v>7</v>
      </c>
      <c r="AG566">
        <v>3280.31</v>
      </c>
      <c r="AH566">
        <v>0</v>
      </c>
      <c r="AI566">
        <f t="shared" si="261"/>
        <v>0</v>
      </c>
      <c r="AJ566" t="str">
        <f t="shared" si="262"/>
        <v>OK</v>
      </c>
      <c r="AK566">
        <v>22962.17</v>
      </c>
      <c r="AL566">
        <v>15716.5</v>
      </c>
      <c r="AM566">
        <v>7245.67</v>
      </c>
      <c r="AN566" t="s">
        <v>123</v>
      </c>
      <c r="AO566" t="str">
        <f t="shared" si="254"/>
        <v>REFUNDED</v>
      </c>
      <c r="AP566" t="str">
        <f t="shared" si="263"/>
        <v>REFUNDED_PAYMENT</v>
      </c>
      <c r="AQ566" t="s">
        <v>124</v>
      </c>
      <c r="AR566" t="str">
        <f t="shared" si="255"/>
        <v>RETURNED</v>
      </c>
      <c r="AS566" t="str">
        <f t="shared" si="264"/>
        <v>RETURNED_ORDER</v>
      </c>
      <c r="AT566">
        <f t="shared" si="265"/>
        <v>22962.17</v>
      </c>
      <c r="AU566">
        <f t="shared" si="266"/>
        <v>7245.6699999999983</v>
      </c>
      <c r="AV566" s="6">
        <f t="shared" si="267"/>
        <v>6.4633960988878691E-2</v>
      </c>
      <c r="AW566" t="str">
        <f t="shared" si="268"/>
        <v>CLEAN</v>
      </c>
      <c r="AX566" s="10" t="str">
        <f t="shared" si="269"/>
        <v>MATCH</v>
      </c>
      <c r="AY566" t="str">
        <f t="shared" si="270"/>
        <v>MATCH</v>
      </c>
    </row>
    <row r="567" spans="1:51">
      <c r="A567" t="s">
        <v>861</v>
      </c>
      <c r="B567">
        <f t="shared" si="246"/>
        <v>1</v>
      </c>
      <c r="C567" t="s">
        <v>558</v>
      </c>
      <c r="D567" s="3">
        <v>45683</v>
      </c>
      <c r="E567" t="str">
        <f t="shared" si="247"/>
        <v>2025/01/26</v>
      </c>
      <c r="F567" t="str">
        <f t="shared" si="256"/>
        <v>January</v>
      </c>
      <c r="G567">
        <f t="shared" si="257"/>
        <v>2025</v>
      </c>
      <c r="H567" t="s">
        <v>439</v>
      </c>
      <c r="I567" s="4">
        <v>45691</v>
      </c>
      <c r="J567" s="8">
        <f t="shared" si="248"/>
        <v>8</v>
      </c>
      <c r="K567" s="8" t="str">
        <f t="shared" si="258"/>
        <v>OK</v>
      </c>
      <c r="L567" t="s">
        <v>862</v>
      </c>
      <c r="M567" t="s">
        <v>24</v>
      </c>
      <c r="N567" t="str">
        <f t="shared" si="249"/>
        <v>Karan Malhotra</v>
      </c>
      <c r="O567" t="s">
        <v>107</v>
      </c>
      <c r="P567" t="str">
        <f t="shared" si="272"/>
        <v>Corporate</v>
      </c>
      <c r="Q567" t="s">
        <v>72</v>
      </c>
      <c r="R567" t="str">
        <f t="shared" si="274"/>
        <v>West</v>
      </c>
      <c r="S567" t="str">
        <f t="shared" si="259"/>
        <v>OK</v>
      </c>
      <c r="T567" t="s">
        <v>27</v>
      </c>
      <c r="U567" t="str">
        <f t="shared" si="250"/>
        <v>Rajasthan</v>
      </c>
      <c r="V567" t="s">
        <v>134</v>
      </c>
      <c r="W567" t="str">
        <f t="shared" si="251"/>
        <v>Udaipur</v>
      </c>
      <c r="X567" t="str">
        <f t="shared" si="252"/>
        <v>Furniture</v>
      </c>
      <c r="Y567" t="s">
        <v>44</v>
      </c>
      <c r="Z567" t="s">
        <v>64</v>
      </c>
      <c r="AA567" t="str">
        <f t="shared" si="253"/>
        <v>Furnishings</v>
      </c>
      <c r="AB567" t="s">
        <v>863</v>
      </c>
      <c r="AC567" t="s">
        <v>47</v>
      </c>
      <c r="AD567" t="str">
        <f t="shared" si="276"/>
        <v>Same Day</v>
      </c>
      <c r="AE567" t="str">
        <f t="shared" si="260"/>
        <v>OK</v>
      </c>
      <c r="AF567">
        <v>3</v>
      </c>
      <c r="AG567">
        <v>2859.32</v>
      </c>
      <c r="AH567">
        <v>0.1</v>
      </c>
      <c r="AI567">
        <f t="shared" si="261"/>
        <v>0.1</v>
      </c>
      <c r="AJ567" t="str">
        <f t="shared" si="262"/>
        <v>OK</v>
      </c>
      <c r="AK567">
        <v>7720.16</v>
      </c>
      <c r="AL567">
        <v>5881</v>
      </c>
      <c r="AM567">
        <v>1839.16</v>
      </c>
      <c r="AN567" t="s">
        <v>123</v>
      </c>
      <c r="AO567" t="str">
        <f t="shared" si="254"/>
        <v>REFUNDED</v>
      </c>
      <c r="AP567" t="str">
        <f t="shared" si="263"/>
        <v>REFUNDED_PAYMENT</v>
      </c>
      <c r="AQ567" t="s">
        <v>124</v>
      </c>
      <c r="AR567" t="str">
        <f t="shared" si="255"/>
        <v>RETURNED</v>
      </c>
      <c r="AS567" t="str">
        <f t="shared" si="264"/>
        <v>RETURNED_ORDER</v>
      </c>
      <c r="AT567">
        <f t="shared" si="265"/>
        <v>7720.1640000000007</v>
      </c>
      <c r="AU567">
        <f t="shared" si="266"/>
        <v>1839.1640000000007</v>
      </c>
      <c r="AV567" s="6">
        <f t="shared" si="267"/>
        <v>1.6828360122919663</v>
      </c>
      <c r="AW567" t="str">
        <f t="shared" si="268"/>
        <v>CLEAN</v>
      </c>
      <c r="AX567" s="10" t="str">
        <f t="shared" si="269"/>
        <v>MATCH</v>
      </c>
      <c r="AY567" t="str">
        <f t="shared" si="270"/>
        <v>MATCH</v>
      </c>
    </row>
    <row r="568" spans="1:51">
      <c r="A568" t="s">
        <v>864</v>
      </c>
      <c r="B568">
        <f t="shared" si="246"/>
        <v>1</v>
      </c>
      <c r="C568" t="s">
        <v>865</v>
      </c>
      <c r="D568" s="3">
        <v>45743</v>
      </c>
      <c r="E568" t="str">
        <f t="shared" si="247"/>
        <v>2025/03/27</v>
      </c>
      <c r="F568" t="str">
        <f t="shared" si="256"/>
        <v>March</v>
      </c>
      <c r="G568">
        <f t="shared" si="257"/>
        <v>2025</v>
      </c>
      <c r="H568" t="s">
        <v>866</v>
      </c>
      <c r="I568" s="4">
        <v>45743</v>
      </c>
      <c r="J568" s="8">
        <f t="shared" si="248"/>
        <v>0</v>
      </c>
      <c r="K568" s="8" t="str">
        <f t="shared" si="258"/>
        <v>OK</v>
      </c>
      <c r="L568" t="s">
        <v>867</v>
      </c>
      <c r="M568" t="s">
        <v>82</v>
      </c>
      <c r="N568" t="str">
        <f t="shared" si="249"/>
        <v>Vikram Iyer</v>
      </c>
      <c r="O568" t="s">
        <v>40</v>
      </c>
      <c r="P568" t="str">
        <f t="shared" si="272"/>
        <v>Small Business</v>
      </c>
      <c r="Q568" t="s">
        <v>41</v>
      </c>
      <c r="R568" t="str">
        <f t="shared" si="274"/>
        <v>East</v>
      </c>
      <c r="S568" t="str">
        <f t="shared" si="259"/>
        <v>OK</v>
      </c>
      <c r="T568" t="s">
        <v>185</v>
      </c>
      <c r="U568" t="str">
        <f t="shared" si="250"/>
        <v>Bihar</v>
      </c>
      <c r="V568" t="s">
        <v>186</v>
      </c>
      <c r="W568" t="str">
        <f t="shared" si="251"/>
        <v>Patna</v>
      </c>
      <c r="X568" t="str">
        <f t="shared" si="252"/>
        <v>Technology</v>
      </c>
      <c r="Y568" t="s">
        <v>85</v>
      </c>
      <c r="Z568" t="s">
        <v>381</v>
      </c>
      <c r="AA568" t="str">
        <f t="shared" si="253"/>
        <v>Machines</v>
      </c>
      <c r="AB568" t="s">
        <v>868</v>
      </c>
      <c r="AC568" t="s">
        <v>32</v>
      </c>
      <c r="AD568" t="str">
        <f t="shared" si="276"/>
        <v>Second Class</v>
      </c>
      <c r="AE568" t="str">
        <f t="shared" si="260"/>
        <v>OK</v>
      </c>
      <c r="AF568">
        <v>7</v>
      </c>
      <c r="AG568">
        <v>2305.37</v>
      </c>
      <c r="AH568">
        <v>0.25</v>
      </c>
      <c r="AI568">
        <f t="shared" si="261"/>
        <v>0.25</v>
      </c>
      <c r="AJ568" t="str">
        <f t="shared" si="262"/>
        <v>OK</v>
      </c>
      <c r="AK568">
        <v>12103.19</v>
      </c>
      <c r="AL568">
        <v>6717.87</v>
      </c>
      <c r="AM568">
        <v>5385.32</v>
      </c>
      <c r="AN568" t="s">
        <v>33</v>
      </c>
      <c r="AO568" t="str">
        <f t="shared" si="254"/>
        <v>PAID</v>
      </c>
      <c r="AP568" t="str">
        <f t="shared" si="263"/>
        <v>OK</v>
      </c>
      <c r="AQ568" t="s">
        <v>34</v>
      </c>
      <c r="AR568" t="str">
        <f t="shared" si="255"/>
        <v>COMPLETED</v>
      </c>
      <c r="AS568" t="str">
        <f t="shared" si="264"/>
        <v>OK</v>
      </c>
      <c r="AT568">
        <f t="shared" si="265"/>
        <v>12103.192500000001</v>
      </c>
      <c r="AU568">
        <f t="shared" si="266"/>
        <v>5385.3225000000011</v>
      </c>
      <c r="AV568" s="6">
        <f t="shared" si="267"/>
        <v>4.2544394795009648E-2</v>
      </c>
      <c r="AW568" t="str">
        <f t="shared" si="268"/>
        <v>CLEAN</v>
      </c>
      <c r="AX568" s="10" t="str">
        <f t="shared" si="269"/>
        <v>MATCH</v>
      </c>
      <c r="AY568" t="str">
        <f t="shared" si="270"/>
        <v>MATCH</v>
      </c>
    </row>
    <row r="569" spans="1:51">
      <c r="A569" t="s">
        <v>879</v>
      </c>
      <c r="B569">
        <f t="shared" si="246"/>
        <v>1</v>
      </c>
      <c r="C569" t="s">
        <v>880</v>
      </c>
      <c r="D569" s="3">
        <v>45687</v>
      </c>
      <c r="E569" t="str">
        <f t="shared" si="247"/>
        <v>2025/01/30</v>
      </c>
      <c r="F569" t="str">
        <f t="shared" si="256"/>
        <v>January</v>
      </c>
      <c r="G569">
        <f t="shared" si="257"/>
        <v>2025</v>
      </c>
      <c r="H569" t="s">
        <v>881</v>
      </c>
      <c r="I569" s="4">
        <v>45749</v>
      </c>
      <c r="J569" s="8">
        <f t="shared" si="248"/>
        <v>62</v>
      </c>
      <c r="K569" s="8" t="str">
        <f t="shared" si="258"/>
        <v>OK</v>
      </c>
      <c r="L569" t="s">
        <v>882</v>
      </c>
      <c r="M569" t="s">
        <v>141</v>
      </c>
      <c r="N569" t="str">
        <f t="shared" si="249"/>
        <v>Priya Menon</v>
      </c>
      <c r="O569" t="s">
        <v>107</v>
      </c>
      <c r="P569" t="str">
        <f t="shared" si="272"/>
        <v>Corporate</v>
      </c>
      <c r="Q569" t="s">
        <v>26</v>
      </c>
      <c r="R569" t="str">
        <f t="shared" si="274"/>
        <v>North</v>
      </c>
      <c r="S569" t="str">
        <f t="shared" si="259"/>
        <v>OK</v>
      </c>
      <c r="T569" t="s">
        <v>322</v>
      </c>
      <c r="U569" t="str">
        <f t="shared" si="250"/>
        <v>Haryana</v>
      </c>
      <c r="V569" t="s">
        <v>323</v>
      </c>
      <c r="W569" t="str">
        <f t="shared" si="251"/>
        <v>Gurugram</v>
      </c>
      <c r="X569" t="str">
        <f t="shared" si="252"/>
        <v>Furniture</v>
      </c>
      <c r="Y569" t="s">
        <v>44</v>
      </c>
      <c r="Z569" t="s">
        <v>75</v>
      </c>
      <c r="AA569" t="str">
        <f t="shared" si="253"/>
        <v>Chairs</v>
      </c>
      <c r="AB569" t="s">
        <v>883</v>
      </c>
      <c r="AC569" t="s">
        <v>47</v>
      </c>
      <c r="AD569" t="str">
        <f t="shared" si="276"/>
        <v>Same Day</v>
      </c>
      <c r="AE569" t="str">
        <f t="shared" si="260"/>
        <v>OK</v>
      </c>
      <c r="AF569">
        <v>9</v>
      </c>
      <c r="AG569">
        <v>4430.5</v>
      </c>
      <c r="AH569">
        <v>0.15</v>
      </c>
      <c r="AI569">
        <f t="shared" si="261"/>
        <v>0.15</v>
      </c>
      <c r="AJ569" t="str">
        <f t="shared" si="262"/>
        <v>OK</v>
      </c>
      <c r="AK569">
        <v>33893.32</v>
      </c>
      <c r="AL569">
        <v>25750.35</v>
      </c>
      <c r="AM569">
        <v>8142.97</v>
      </c>
      <c r="AN569" t="s">
        <v>136</v>
      </c>
      <c r="AO569" t="str">
        <f t="shared" si="254"/>
        <v>PENDING</v>
      </c>
      <c r="AP569" t="str">
        <f t="shared" si="263"/>
        <v>OK</v>
      </c>
      <c r="AQ569" t="s">
        <v>77</v>
      </c>
      <c r="AR569" t="str">
        <f t="shared" si="255"/>
        <v>CANCELLED</v>
      </c>
      <c r="AS569" t="str">
        <f t="shared" si="264"/>
        <v>EXCLUDE_FROM_SALES</v>
      </c>
      <c r="AT569">
        <f t="shared" si="265"/>
        <v>33893.324999999997</v>
      </c>
      <c r="AU569">
        <f t="shared" si="266"/>
        <v>8142.9749999999985</v>
      </c>
      <c r="AV569" s="6">
        <f t="shared" si="267"/>
        <v>5.6209135574630101E-2</v>
      </c>
      <c r="AW569" t="str">
        <f t="shared" si="268"/>
        <v>CLEAN</v>
      </c>
      <c r="AX569" s="10" t="str">
        <f t="shared" si="269"/>
        <v>MISMATCH</v>
      </c>
      <c r="AY569" t="str">
        <f t="shared" si="270"/>
        <v>MISMATCH</v>
      </c>
    </row>
    <row r="570" spans="1:51">
      <c r="A570" t="s">
        <v>884</v>
      </c>
      <c r="B570">
        <f t="shared" si="246"/>
        <v>1</v>
      </c>
      <c r="C570" t="s">
        <v>885</v>
      </c>
      <c r="D570" s="3">
        <v>45938</v>
      </c>
      <c r="E570" t="str">
        <f t="shared" si="247"/>
        <v>2025/10/08</v>
      </c>
      <c r="F570" t="str">
        <f t="shared" si="256"/>
        <v>October</v>
      </c>
      <c r="G570">
        <f t="shared" si="257"/>
        <v>2025</v>
      </c>
      <c r="H570" t="s">
        <v>886</v>
      </c>
      <c r="I570" s="4">
        <v>45936</v>
      </c>
      <c r="J570" s="8">
        <f t="shared" si="248"/>
        <v>-2</v>
      </c>
      <c r="K570" s="8" t="str">
        <f t="shared" si="258"/>
        <v>INVAILD_SHIPPING</v>
      </c>
      <c r="L570" t="s">
        <v>887</v>
      </c>
      <c r="M570" t="s">
        <v>82</v>
      </c>
      <c r="N570" t="str">
        <f t="shared" si="249"/>
        <v>Vikram Iyer</v>
      </c>
      <c r="O570" t="s">
        <v>40</v>
      </c>
      <c r="P570" t="str">
        <f t="shared" si="272"/>
        <v>Small Business</v>
      </c>
      <c r="Q570" t="s">
        <v>72</v>
      </c>
      <c r="R570" t="str">
        <f t="shared" si="274"/>
        <v>West</v>
      </c>
      <c r="S570" t="str">
        <f t="shared" si="259"/>
        <v>OK</v>
      </c>
      <c r="T570" t="s">
        <v>73</v>
      </c>
      <c r="U570" t="str">
        <f t="shared" si="250"/>
        <v>Maharashtra</v>
      </c>
      <c r="V570" t="s">
        <v>74</v>
      </c>
      <c r="W570" t="str">
        <f t="shared" si="251"/>
        <v>Mumbai</v>
      </c>
      <c r="X570" t="str">
        <f t="shared" si="252"/>
        <v>Office Supplies</v>
      </c>
      <c r="Y570" t="s">
        <v>29</v>
      </c>
      <c r="Z570" t="s">
        <v>30</v>
      </c>
      <c r="AA570" t="str">
        <f t="shared" si="253"/>
        <v>Paper</v>
      </c>
      <c r="AB570" t="s">
        <v>888</v>
      </c>
      <c r="AC570" t="s">
        <v>32</v>
      </c>
      <c r="AD570" t="str">
        <f t="shared" si="276"/>
        <v>Second Class</v>
      </c>
      <c r="AE570" t="str">
        <f t="shared" si="260"/>
        <v>OK</v>
      </c>
      <c r="AF570">
        <v>4</v>
      </c>
      <c r="AG570">
        <v>1260.42</v>
      </c>
      <c r="AH570">
        <v>0.05</v>
      </c>
      <c r="AI570">
        <f t="shared" si="261"/>
        <v>0.05</v>
      </c>
      <c r="AJ570" t="str">
        <f t="shared" si="262"/>
        <v>OK</v>
      </c>
      <c r="AK570">
        <v>4789.6000000000004</v>
      </c>
      <c r="AL570">
        <v>4037.64</v>
      </c>
      <c r="AM570">
        <v>751.96</v>
      </c>
      <c r="AN570" t="s">
        <v>136</v>
      </c>
      <c r="AO570" t="str">
        <f t="shared" si="254"/>
        <v>PENDING</v>
      </c>
      <c r="AP570" t="str">
        <f t="shared" si="263"/>
        <v>OK</v>
      </c>
      <c r="AQ570" t="s">
        <v>77</v>
      </c>
      <c r="AR570" t="str">
        <f t="shared" si="255"/>
        <v>CANCELLED</v>
      </c>
      <c r="AS570" t="str">
        <f t="shared" si="264"/>
        <v>EXCLUDE_FROM_SALES</v>
      </c>
      <c r="AT570">
        <f t="shared" si="265"/>
        <v>4789.5960000000005</v>
      </c>
      <c r="AU570">
        <f t="shared" si="266"/>
        <v>751.95600000000059</v>
      </c>
      <c r="AV570" s="6">
        <f t="shared" si="267"/>
        <v>0.42536155450271784</v>
      </c>
      <c r="AW570" t="str">
        <f t="shared" si="268"/>
        <v>CLEAN</v>
      </c>
      <c r="AX570" s="10" t="str">
        <f t="shared" si="269"/>
        <v>MATCH</v>
      </c>
      <c r="AY570" t="str">
        <f t="shared" si="270"/>
        <v>MATCH</v>
      </c>
    </row>
    <row r="571" spans="1:51">
      <c r="A571" t="s">
        <v>889</v>
      </c>
      <c r="B571">
        <f t="shared" si="246"/>
        <v>1</v>
      </c>
      <c r="C571" t="s">
        <v>890</v>
      </c>
      <c r="D571" s="3">
        <v>45862</v>
      </c>
      <c r="E571" t="str">
        <f t="shared" si="247"/>
        <v>2025/07/24</v>
      </c>
      <c r="F571" t="str">
        <f t="shared" si="256"/>
        <v>July</v>
      </c>
      <c r="G571">
        <f t="shared" si="257"/>
        <v>2025</v>
      </c>
      <c r="H571" t="s">
        <v>891</v>
      </c>
      <c r="I571" s="4">
        <v>45868</v>
      </c>
      <c r="J571" s="8">
        <f t="shared" si="248"/>
        <v>6</v>
      </c>
      <c r="K571" s="8" t="str">
        <f t="shared" si="258"/>
        <v>OK</v>
      </c>
      <c r="L571" t="s">
        <v>892</v>
      </c>
      <c r="M571" t="s">
        <v>60</v>
      </c>
      <c r="N571" t="str">
        <f t="shared" si="249"/>
        <v>Arjun Bose</v>
      </c>
      <c r="O571" t="s">
        <v>893</v>
      </c>
      <c r="P571" t="str">
        <f t="shared" si="272"/>
        <v>Consumer</v>
      </c>
      <c r="Q571" t="s">
        <v>72</v>
      </c>
      <c r="R571" t="str">
        <f t="shared" si="274"/>
        <v>West</v>
      </c>
      <c r="S571" t="str">
        <f t="shared" si="259"/>
        <v>OK</v>
      </c>
      <c r="T571" t="s">
        <v>27</v>
      </c>
      <c r="U571" t="str">
        <f t="shared" si="250"/>
        <v>Rajasthan</v>
      </c>
      <c r="V571" t="s">
        <v>134</v>
      </c>
      <c r="W571" t="str">
        <f t="shared" si="251"/>
        <v>Udaipur</v>
      </c>
      <c r="X571" t="str">
        <f t="shared" si="252"/>
        <v>Office Supplies</v>
      </c>
      <c r="Y571" t="s">
        <v>29</v>
      </c>
      <c r="Z571" t="s">
        <v>197</v>
      </c>
      <c r="AA571" t="str">
        <f t="shared" si="253"/>
        <v>Binders</v>
      </c>
      <c r="AB571" t="s">
        <v>894</v>
      </c>
      <c r="AC571" t="s">
        <v>66</v>
      </c>
      <c r="AD571" t="str">
        <f t="shared" si="276"/>
        <v>Standard Class</v>
      </c>
      <c r="AE571" t="str">
        <f t="shared" si="260"/>
        <v>OK</v>
      </c>
      <c r="AF571">
        <v>1</v>
      </c>
      <c r="AG571">
        <v>1643.41</v>
      </c>
      <c r="AH571">
        <v>0</v>
      </c>
      <c r="AI571">
        <f t="shared" si="261"/>
        <v>0</v>
      </c>
      <c r="AJ571" t="str">
        <f t="shared" si="262"/>
        <v>OK</v>
      </c>
      <c r="AK571">
        <v>1643.41</v>
      </c>
      <c r="AL571">
        <v>907.4</v>
      </c>
      <c r="AM571">
        <v>736.01</v>
      </c>
      <c r="AN571" t="s">
        <v>136</v>
      </c>
      <c r="AO571" t="str">
        <f t="shared" si="254"/>
        <v>PENDING</v>
      </c>
      <c r="AP571" t="str">
        <f t="shared" si="263"/>
        <v>OK</v>
      </c>
      <c r="AQ571" t="s">
        <v>77</v>
      </c>
      <c r="AR571" t="str">
        <f t="shared" si="255"/>
        <v>CANCELLED</v>
      </c>
      <c r="AS571" t="str">
        <f t="shared" si="264"/>
        <v>EXCLUDE_FROM_SALES</v>
      </c>
      <c r="AT571">
        <f t="shared" si="265"/>
        <v>1643.41</v>
      </c>
      <c r="AU571">
        <f t="shared" si="266"/>
        <v>736.0100000000001</v>
      </c>
      <c r="AV571" s="6">
        <f t="shared" si="267"/>
        <v>2.0284773732665586</v>
      </c>
      <c r="AW571" t="str">
        <f t="shared" si="268"/>
        <v>CLEAN</v>
      </c>
      <c r="AX571" s="10" t="str">
        <f t="shared" si="269"/>
        <v>MATCH</v>
      </c>
      <c r="AY571" t="str">
        <f t="shared" si="270"/>
        <v>MATCH</v>
      </c>
    </row>
    <row r="572" spans="1:51">
      <c r="A572" t="s">
        <v>900</v>
      </c>
      <c r="B572">
        <f t="shared" si="246"/>
        <v>1</v>
      </c>
      <c r="C572" t="s">
        <v>901</v>
      </c>
      <c r="D572" s="3">
        <v>45921</v>
      </c>
      <c r="E572" t="str">
        <f t="shared" si="247"/>
        <v>2025/09/21</v>
      </c>
      <c r="F572" t="str">
        <f t="shared" si="256"/>
        <v>September</v>
      </c>
      <c r="G572">
        <f t="shared" si="257"/>
        <v>2025</v>
      </c>
      <c r="H572" t="s">
        <v>724</v>
      </c>
      <c r="I572" s="4">
        <v>45926</v>
      </c>
      <c r="J572" s="8">
        <f t="shared" si="248"/>
        <v>5</v>
      </c>
      <c r="K572" s="8" t="str">
        <f t="shared" si="258"/>
        <v>OK</v>
      </c>
      <c r="L572" t="s">
        <v>902</v>
      </c>
      <c r="M572" t="s">
        <v>179</v>
      </c>
      <c r="N572" t="str">
        <f t="shared" si="249"/>
        <v>Rohan Mehta</v>
      </c>
      <c r="O572" t="s">
        <v>114</v>
      </c>
      <c r="P572" t="str">
        <f t="shared" si="272"/>
        <v>Home Office</v>
      </c>
      <c r="Q572" t="s">
        <v>72</v>
      </c>
      <c r="R572" t="str">
        <f t="shared" si="274"/>
        <v>West</v>
      </c>
      <c r="S572" t="str">
        <f t="shared" si="259"/>
        <v>OK</v>
      </c>
      <c r="T572" t="s">
        <v>234</v>
      </c>
      <c r="U572" t="str">
        <f t="shared" si="250"/>
        <v>Gujarat</v>
      </c>
      <c r="V572" t="s">
        <v>235</v>
      </c>
      <c r="W572" t="str">
        <f t="shared" si="251"/>
        <v>Ahmedabad</v>
      </c>
      <c r="X572" t="str">
        <f t="shared" si="252"/>
        <v>Furniture</v>
      </c>
      <c r="Y572" t="s">
        <v>44</v>
      </c>
      <c r="Z572" t="s">
        <v>45</v>
      </c>
      <c r="AA572" t="str">
        <f t="shared" si="253"/>
        <v>Tables</v>
      </c>
      <c r="AB572" t="s">
        <v>903</v>
      </c>
      <c r="AD572" t="s">
        <v>4109</v>
      </c>
      <c r="AE572" t="str">
        <f t="shared" si="260"/>
        <v>MISSING_SHIP_MODE</v>
      </c>
      <c r="AF572">
        <v>6</v>
      </c>
      <c r="AG572">
        <v>2903.58</v>
      </c>
      <c r="AH572">
        <v>0.1</v>
      </c>
      <c r="AI572">
        <f t="shared" si="261"/>
        <v>0.1</v>
      </c>
      <c r="AJ572" t="str">
        <f t="shared" si="262"/>
        <v>OK</v>
      </c>
      <c r="AK572">
        <v>15679.33</v>
      </c>
      <c r="AL572">
        <v>12477.82</v>
      </c>
      <c r="AM572">
        <v>3201.51</v>
      </c>
      <c r="AN572" t="s">
        <v>136</v>
      </c>
      <c r="AO572" t="str">
        <f t="shared" si="254"/>
        <v>PENDING</v>
      </c>
      <c r="AP572" t="str">
        <f t="shared" si="263"/>
        <v>OK</v>
      </c>
      <c r="AQ572" t="s">
        <v>124</v>
      </c>
      <c r="AR572" t="str">
        <f t="shared" si="255"/>
        <v>RETURNED</v>
      </c>
      <c r="AS572" t="str">
        <f t="shared" si="264"/>
        <v>RETURNED_ORDER</v>
      </c>
      <c r="AT572">
        <f t="shared" si="265"/>
        <v>15679.332</v>
      </c>
      <c r="AU572">
        <f t="shared" si="266"/>
        <v>3201.5120000000006</v>
      </c>
      <c r="AV572" s="6">
        <f t="shared" si="267"/>
        <v>0.23667462363830305</v>
      </c>
      <c r="AW572" t="str">
        <f t="shared" si="268"/>
        <v>WARNING</v>
      </c>
      <c r="AX572" s="10" t="str">
        <f t="shared" si="269"/>
        <v>MATCH</v>
      </c>
      <c r="AY572" t="str">
        <f t="shared" si="270"/>
        <v>MATCH</v>
      </c>
    </row>
    <row r="573" spans="1:51">
      <c r="A573" t="s">
        <v>904</v>
      </c>
      <c r="B573">
        <f t="shared" si="246"/>
        <v>1</v>
      </c>
      <c r="C573" t="s">
        <v>905</v>
      </c>
      <c r="D573" s="2">
        <v>45909</v>
      </c>
      <c r="E573" t="str">
        <f t="shared" si="247"/>
        <v>2025/09/09</v>
      </c>
      <c r="F573" t="str">
        <f t="shared" si="256"/>
        <v>September</v>
      </c>
      <c r="G573">
        <f t="shared" si="257"/>
        <v>2025</v>
      </c>
      <c r="H573" t="s">
        <v>906</v>
      </c>
      <c r="I573" s="4">
        <v>45914</v>
      </c>
      <c r="J573" s="8">
        <f t="shared" si="248"/>
        <v>5</v>
      </c>
      <c r="K573" s="8" t="str">
        <f t="shared" si="258"/>
        <v>OK</v>
      </c>
      <c r="L573" t="s">
        <v>907</v>
      </c>
      <c r="M573" t="s">
        <v>147</v>
      </c>
      <c r="N573" t="str">
        <f t="shared" si="249"/>
        <v>Rahul Verma</v>
      </c>
      <c r="O573" t="s">
        <v>40</v>
      </c>
      <c r="P573" t="str">
        <f t="shared" si="272"/>
        <v>Small Business</v>
      </c>
      <c r="Q573" t="s">
        <v>41</v>
      </c>
      <c r="R573" t="str">
        <f t="shared" si="274"/>
        <v>East</v>
      </c>
      <c r="S573" t="str">
        <f t="shared" si="259"/>
        <v>OK</v>
      </c>
      <c r="T573" t="s">
        <v>120</v>
      </c>
      <c r="U573" t="str">
        <f t="shared" si="250"/>
        <v>West Bengal</v>
      </c>
      <c r="V573" t="s">
        <v>121</v>
      </c>
      <c r="W573" t="str">
        <f t="shared" si="251"/>
        <v>Kolkata</v>
      </c>
      <c r="X573" t="str">
        <f t="shared" si="252"/>
        <v>Furniture</v>
      </c>
      <c r="Y573" t="s">
        <v>44</v>
      </c>
      <c r="Z573" t="s">
        <v>203</v>
      </c>
      <c r="AA573" t="str">
        <f t="shared" si="253"/>
        <v>Bookcases</v>
      </c>
      <c r="AB573" t="s">
        <v>908</v>
      </c>
      <c r="AC573" t="s">
        <v>32</v>
      </c>
      <c r="AD573" t="str">
        <f t="shared" ref="AD573:AD604" si="277">PROPER(TRIM(SUBSTITUTE(AC573,CHAR(160)," ")))</f>
        <v>Second Class</v>
      </c>
      <c r="AE573" t="str">
        <f t="shared" si="260"/>
        <v>OK</v>
      </c>
      <c r="AF573">
        <v>1</v>
      </c>
      <c r="AG573">
        <v>3154.42</v>
      </c>
      <c r="AH573">
        <v>0.25</v>
      </c>
      <c r="AI573">
        <f t="shared" si="261"/>
        <v>0.25</v>
      </c>
      <c r="AJ573" t="str">
        <f t="shared" si="262"/>
        <v>OK</v>
      </c>
      <c r="AK573">
        <v>2365.8200000000002</v>
      </c>
      <c r="AL573">
        <v>1547.99</v>
      </c>
      <c r="AM573">
        <v>817.83</v>
      </c>
      <c r="AN573" t="s">
        <v>33</v>
      </c>
      <c r="AO573" t="str">
        <f t="shared" si="254"/>
        <v>PAID</v>
      </c>
      <c r="AP573" t="str">
        <f t="shared" si="263"/>
        <v>OK</v>
      </c>
      <c r="AQ573" t="s">
        <v>34</v>
      </c>
      <c r="AR573" t="str">
        <f t="shared" si="255"/>
        <v>COMPLETED</v>
      </c>
      <c r="AS573" t="str">
        <f t="shared" si="264"/>
        <v>OK</v>
      </c>
      <c r="AT573">
        <f t="shared" si="265"/>
        <v>2365.8150000000001</v>
      </c>
      <c r="AU573">
        <f t="shared" si="266"/>
        <v>817.82500000000005</v>
      </c>
      <c r="AW573" t="str">
        <f t="shared" si="268"/>
        <v>CLEAN</v>
      </c>
      <c r="AX573" s="10" t="str">
        <f t="shared" si="269"/>
        <v>MATCH</v>
      </c>
      <c r="AY573" t="str">
        <f t="shared" si="270"/>
        <v>MATCH</v>
      </c>
    </row>
    <row r="574" spans="1:51">
      <c r="A574" t="s">
        <v>914</v>
      </c>
      <c r="B574">
        <f t="shared" si="246"/>
        <v>1</v>
      </c>
      <c r="C574" t="s">
        <v>915</v>
      </c>
      <c r="D574" s="3">
        <v>45708</v>
      </c>
      <c r="E574" t="str">
        <f t="shared" si="247"/>
        <v>2025/02/20</v>
      </c>
      <c r="F574" t="str">
        <f t="shared" si="256"/>
        <v>February</v>
      </c>
      <c r="G574">
        <f t="shared" si="257"/>
        <v>2025</v>
      </c>
      <c r="H574" t="s">
        <v>97</v>
      </c>
      <c r="I574" s="4">
        <v>45714</v>
      </c>
      <c r="J574" s="8">
        <f t="shared" si="248"/>
        <v>6</v>
      </c>
      <c r="K574" s="8" t="str">
        <f t="shared" si="258"/>
        <v>OK</v>
      </c>
      <c r="L574" t="s">
        <v>916</v>
      </c>
      <c r="M574" t="s">
        <v>24</v>
      </c>
      <c r="N574" t="str">
        <f t="shared" si="249"/>
        <v>Karan Malhotra</v>
      </c>
      <c r="O574" t="s">
        <v>40</v>
      </c>
      <c r="P574" t="str">
        <f t="shared" si="272"/>
        <v>Small Business</v>
      </c>
      <c r="Q574" t="s">
        <v>72</v>
      </c>
      <c r="R574" t="str">
        <f t="shared" si="274"/>
        <v>West</v>
      </c>
      <c r="S574" t="str">
        <f t="shared" si="259"/>
        <v>OK</v>
      </c>
      <c r="T574" t="s">
        <v>234</v>
      </c>
      <c r="U574" t="str">
        <f t="shared" si="250"/>
        <v>Gujarat</v>
      </c>
      <c r="V574" t="s">
        <v>235</v>
      </c>
      <c r="W574" t="str">
        <f t="shared" si="251"/>
        <v>Ahmedabad</v>
      </c>
      <c r="X574" t="str">
        <f t="shared" si="252"/>
        <v>Office Supplies</v>
      </c>
      <c r="Y574" t="s">
        <v>917</v>
      </c>
      <c r="Z574" t="s">
        <v>108</v>
      </c>
      <c r="AA574" t="str">
        <f t="shared" si="253"/>
        <v>Labels</v>
      </c>
      <c r="AB574" t="s">
        <v>918</v>
      </c>
      <c r="AC574" t="s">
        <v>55</v>
      </c>
      <c r="AD574" t="str">
        <f t="shared" si="277"/>
        <v>First Class</v>
      </c>
      <c r="AE574" t="str">
        <f t="shared" si="260"/>
        <v>OK</v>
      </c>
      <c r="AF574">
        <v>1</v>
      </c>
      <c r="AG574">
        <v>2557.85</v>
      </c>
      <c r="AH574">
        <v>0.2</v>
      </c>
      <c r="AI574">
        <f t="shared" si="261"/>
        <v>0.2</v>
      </c>
      <c r="AJ574" t="str">
        <f t="shared" si="262"/>
        <v>OK</v>
      </c>
      <c r="AK574">
        <v>2046.28</v>
      </c>
      <c r="AL574">
        <v>1449.54</v>
      </c>
      <c r="AM574">
        <v>596.74</v>
      </c>
      <c r="AN574" t="s">
        <v>33</v>
      </c>
      <c r="AO574" t="str">
        <f t="shared" si="254"/>
        <v>PAID</v>
      </c>
      <c r="AP574" t="str">
        <f t="shared" si="263"/>
        <v>OK</v>
      </c>
      <c r="AQ574" t="s">
        <v>34</v>
      </c>
      <c r="AR574" t="str">
        <f t="shared" si="255"/>
        <v>COMPLETED</v>
      </c>
      <c r="AS574" t="str">
        <f t="shared" si="264"/>
        <v>OK</v>
      </c>
      <c r="AT574">
        <f t="shared" si="265"/>
        <v>2046.28</v>
      </c>
      <c r="AU574">
        <f t="shared" si="266"/>
        <v>596.74</v>
      </c>
      <c r="AV574" s="6">
        <f t="shared" si="267"/>
        <v>0.94859159059366305</v>
      </c>
      <c r="AW574" t="str">
        <f t="shared" si="268"/>
        <v>CLEAN</v>
      </c>
      <c r="AX574" s="10" t="str">
        <f t="shared" si="269"/>
        <v>MATCH</v>
      </c>
      <c r="AY574" t="str">
        <f t="shared" si="270"/>
        <v>MATCH</v>
      </c>
    </row>
    <row r="575" spans="1:51">
      <c r="A575" t="s">
        <v>919</v>
      </c>
      <c r="B575">
        <f t="shared" si="246"/>
        <v>1</v>
      </c>
      <c r="C575" t="s">
        <v>920</v>
      </c>
      <c r="D575" s="3">
        <v>45887</v>
      </c>
      <c r="E575" t="str">
        <f t="shared" si="247"/>
        <v>2025/08/18</v>
      </c>
      <c r="F575" t="str">
        <f t="shared" si="256"/>
        <v>August</v>
      </c>
      <c r="G575">
        <f t="shared" si="257"/>
        <v>2025</v>
      </c>
      <c r="H575" t="s">
        <v>921</v>
      </c>
      <c r="I575" s="4">
        <v>45887</v>
      </c>
      <c r="J575" s="8">
        <f t="shared" si="248"/>
        <v>0</v>
      </c>
      <c r="K575" s="8" t="str">
        <f t="shared" si="258"/>
        <v>OK</v>
      </c>
      <c r="L575" t="s">
        <v>922</v>
      </c>
      <c r="M575" t="s">
        <v>60</v>
      </c>
      <c r="N575" t="str">
        <f t="shared" si="249"/>
        <v>Arjun Bose</v>
      </c>
      <c r="O575" t="s">
        <v>114</v>
      </c>
      <c r="P575" t="str">
        <f t="shared" si="272"/>
        <v>Home Office</v>
      </c>
      <c r="Q575" t="s">
        <v>61</v>
      </c>
      <c r="R575" t="str">
        <f t="shared" si="274"/>
        <v>South</v>
      </c>
      <c r="S575" t="str">
        <f t="shared" si="259"/>
        <v>OK</v>
      </c>
      <c r="T575" t="s">
        <v>228</v>
      </c>
      <c r="U575" t="str">
        <f t="shared" si="250"/>
        <v>Karnataka</v>
      </c>
      <c r="V575" t="s">
        <v>229</v>
      </c>
      <c r="W575" t="str">
        <f t="shared" si="251"/>
        <v>Bengaluru</v>
      </c>
      <c r="X575" t="str">
        <f t="shared" si="252"/>
        <v>Office Supplies</v>
      </c>
      <c r="Y575" t="s">
        <v>29</v>
      </c>
      <c r="Z575" t="s">
        <v>155</v>
      </c>
      <c r="AA575" t="str">
        <f t="shared" si="253"/>
        <v>Storage</v>
      </c>
      <c r="AB575" t="s">
        <v>923</v>
      </c>
      <c r="AC575" t="s">
        <v>55</v>
      </c>
      <c r="AD575" t="str">
        <f t="shared" si="277"/>
        <v>First Class</v>
      </c>
      <c r="AE575" t="str">
        <f t="shared" si="260"/>
        <v>OK</v>
      </c>
      <c r="AF575">
        <v>9</v>
      </c>
      <c r="AG575">
        <v>3030.93</v>
      </c>
      <c r="AH575">
        <v>0.15</v>
      </c>
      <c r="AI575">
        <f t="shared" si="261"/>
        <v>0.15</v>
      </c>
      <c r="AJ575" t="str">
        <f t="shared" si="262"/>
        <v>OK</v>
      </c>
      <c r="AK575">
        <v>23186.61</v>
      </c>
      <c r="AL575">
        <v>17906.54</v>
      </c>
      <c r="AM575">
        <v>5280.07</v>
      </c>
      <c r="AN575" t="s">
        <v>33</v>
      </c>
      <c r="AO575" t="str">
        <f t="shared" si="254"/>
        <v>PAID</v>
      </c>
      <c r="AP575" t="str">
        <f t="shared" si="263"/>
        <v>OK</v>
      </c>
      <c r="AQ575" t="s">
        <v>124</v>
      </c>
      <c r="AR575" t="str">
        <f t="shared" si="255"/>
        <v>RETURNED</v>
      </c>
      <c r="AS575" t="str">
        <f t="shared" si="264"/>
        <v>RETURNED_ORDER</v>
      </c>
      <c r="AT575">
        <f t="shared" si="265"/>
        <v>23186.6145</v>
      </c>
      <c r="AU575">
        <f t="shared" si="266"/>
        <v>5280.0744999999988</v>
      </c>
      <c r="AV575" s="6">
        <f t="shared" si="267"/>
        <v>1.7516830669695223E-2</v>
      </c>
      <c r="AW575" t="str">
        <f t="shared" si="268"/>
        <v>CLEAN</v>
      </c>
      <c r="AX575" s="10" t="str">
        <f t="shared" si="269"/>
        <v>MATCH</v>
      </c>
      <c r="AY575" t="str">
        <f t="shared" si="270"/>
        <v>MATCH</v>
      </c>
    </row>
    <row r="576" spans="1:51">
      <c r="A576" t="s">
        <v>924</v>
      </c>
      <c r="B576">
        <f t="shared" si="246"/>
        <v>1</v>
      </c>
      <c r="C576" t="s">
        <v>925</v>
      </c>
      <c r="D576" s="3">
        <v>45677</v>
      </c>
      <c r="E576" t="str">
        <f t="shared" si="247"/>
        <v>2025/01/20</v>
      </c>
      <c r="F576" t="str">
        <f t="shared" si="256"/>
        <v>January</v>
      </c>
      <c r="G576">
        <f t="shared" si="257"/>
        <v>2025</v>
      </c>
      <c r="H576" t="s">
        <v>183</v>
      </c>
      <c r="I576" s="4">
        <v>45680</v>
      </c>
      <c r="J576" s="8">
        <f t="shared" si="248"/>
        <v>3</v>
      </c>
      <c r="K576" s="8" t="str">
        <f t="shared" si="258"/>
        <v>OK</v>
      </c>
      <c r="L576" t="s">
        <v>926</v>
      </c>
      <c r="M576" t="s">
        <v>365</v>
      </c>
      <c r="N576" t="str">
        <f t="shared" si="249"/>
        <v>Kabir Singh</v>
      </c>
      <c r="O576" t="s">
        <v>25</v>
      </c>
      <c r="P576" t="str">
        <f t="shared" si="272"/>
        <v>Consumer</v>
      </c>
      <c r="Q576" t="s">
        <v>72</v>
      </c>
      <c r="R576" t="str">
        <f t="shared" si="274"/>
        <v>West</v>
      </c>
      <c r="S576" t="str">
        <f t="shared" si="259"/>
        <v>OK</v>
      </c>
      <c r="T576" t="s">
        <v>73</v>
      </c>
      <c r="U576" t="str">
        <f t="shared" si="250"/>
        <v>Maharashtra</v>
      </c>
      <c r="V576" t="s">
        <v>74</v>
      </c>
      <c r="W576" t="str">
        <f t="shared" si="251"/>
        <v>Mumbai</v>
      </c>
      <c r="X576" t="str">
        <f t="shared" si="252"/>
        <v>Technology</v>
      </c>
      <c r="Y576" t="s">
        <v>85</v>
      </c>
      <c r="Z576" t="s">
        <v>86</v>
      </c>
      <c r="AA576" t="str">
        <f t="shared" si="253"/>
        <v>Accessories</v>
      </c>
      <c r="AB576" t="s">
        <v>927</v>
      </c>
      <c r="AC576" t="s">
        <v>47</v>
      </c>
      <c r="AD576" t="str">
        <f t="shared" si="277"/>
        <v>Same Day</v>
      </c>
      <c r="AE576" t="str">
        <f t="shared" si="260"/>
        <v>OK</v>
      </c>
      <c r="AF576">
        <v>5</v>
      </c>
      <c r="AG576">
        <v>639.27</v>
      </c>
      <c r="AH576">
        <v>0.2</v>
      </c>
      <c r="AI576">
        <f t="shared" si="261"/>
        <v>0.2</v>
      </c>
      <c r="AJ576" t="str">
        <f t="shared" si="262"/>
        <v>OK</v>
      </c>
      <c r="AK576">
        <v>2557.08</v>
      </c>
      <c r="AL576">
        <v>2025.69</v>
      </c>
      <c r="AM576">
        <v>531.39</v>
      </c>
      <c r="AN576" t="s">
        <v>33</v>
      </c>
      <c r="AO576" t="str">
        <f t="shared" si="254"/>
        <v>PAID</v>
      </c>
      <c r="AP576" t="str">
        <f t="shared" si="263"/>
        <v>OK</v>
      </c>
      <c r="AQ576" t="s">
        <v>77</v>
      </c>
      <c r="AR576" t="str">
        <f t="shared" si="255"/>
        <v>CANCELLED</v>
      </c>
      <c r="AS576" t="str">
        <f t="shared" si="264"/>
        <v>EXCLUDE_FROM_SALES</v>
      </c>
      <c r="AT576">
        <f t="shared" si="265"/>
        <v>2557.08</v>
      </c>
      <c r="AU576">
        <f t="shared" si="266"/>
        <v>531.38999999999987</v>
      </c>
      <c r="AV576" s="6">
        <f t="shared" si="267"/>
        <v>0.3375889686673863</v>
      </c>
      <c r="AW576" t="str">
        <f t="shared" si="268"/>
        <v>CLEAN</v>
      </c>
      <c r="AX576" s="10" t="str">
        <f t="shared" si="269"/>
        <v>MATCH</v>
      </c>
      <c r="AY576" t="str">
        <f t="shared" si="270"/>
        <v>MATCH</v>
      </c>
    </row>
    <row r="577" spans="1:51">
      <c r="A577" t="s">
        <v>928</v>
      </c>
      <c r="B577">
        <f t="shared" si="246"/>
        <v>1</v>
      </c>
      <c r="C577" t="s">
        <v>929</v>
      </c>
      <c r="D577" s="3">
        <v>45913</v>
      </c>
      <c r="E577" t="str">
        <f t="shared" si="247"/>
        <v>2025/09/13</v>
      </c>
      <c r="F577" t="str">
        <f t="shared" si="256"/>
        <v>September</v>
      </c>
      <c r="G577">
        <f t="shared" si="257"/>
        <v>2025</v>
      </c>
      <c r="H577" t="s">
        <v>930</v>
      </c>
      <c r="I577" s="4">
        <v>45913</v>
      </c>
      <c r="J577" s="8">
        <f t="shared" si="248"/>
        <v>0</v>
      </c>
      <c r="K577" s="8" t="str">
        <f t="shared" si="258"/>
        <v>OK</v>
      </c>
      <c r="L577" t="s">
        <v>931</v>
      </c>
      <c r="M577" t="s">
        <v>209</v>
      </c>
      <c r="N577" t="str">
        <f t="shared" si="249"/>
        <v>Diya Patel</v>
      </c>
      <c r="O577" t="s">
        <v>25</v>
      </c>
      <c r="P577" t="str">
        <f t="shared" si="272"/>
        <v>Consumer</v>
      </c>
      <c r="Q577" t="s">
        <v>41</v>
      </c>
      <c r="R577" t="str">
        <f t="shared" si="274"/>
        <v>East</v>
      </c>
      <c r="S577" t="str">
        <f t="shared" si="259"/>
        <v>OK</v>
      </c>
      <c r="T577" t="s">
        <v>215</v>
      </c>
      <c r="U577" t="str">
        <f t="shared" si="250"/>
        <v>Assam</v>
      </c>
      <c r="V577" t="s">
        <v>216</v>
      </c>
      <c r="W577" t="str">
        <f t="shared" si="251"/>
        <v>Guwahati</v>
      </c>
      <c r="X577" t="str">
        <f t="shared" si="252"/>
        <v>Office Supplies</v>
      </c>
      <c r="Y577" t="s">
        <v>29</v>
      </c>
      <c r="Z577" t="s">
        <v>53</v>
      </c>
      <c r="AA577" t="str">
        <f t="shared" si="253"/>
        <v>Art</v>
      </c>
      <c r="AB577" t="s">
        <v>932</v>
      </c>
      <c r="AC577" t="s">
        <v>66</v>
      </c>
      <c r="AD577" t="str">
        <f t="shared" si="277"/>
        <v>Standard Class</v>
      </c>
      <c r="AE577" t="str">
        <f t="shared" si="260"/>
        <v>OK</v>
      </c>
      <c r="AF577">
        <v>8</v>
      </c>
      <c r="AG577">
        <v>733.9</v>
      </c>
      <c r="AH577">
        <v>0.05</v>
      </c>
      <c r="AI577">
        <f t="shared" si="261"/>
        <v>0.05</v>
      </c>
      <c r="AJ577" t="str">
        <f t="shared" si="262"/>
        <v>OK</v>
      </c>
      <c r="AK577">
        <v>5577.64</v>
      </c>
      <c r="AL577">
        <v>3541.29</v>
      </c>
      <c r="AM577">
        <v>2036.35</v>
      </c>
      <c r="AN577" t="s">
        <v>136</v>
      </c>
      <c r="AO577" t="str">
        <f t="shared" si="254"/>
        <v>PENDING</v>
      </c>
      <c r="AP577" t="str">
        <f t="shared" si="263"/>
        <v>OK</v>
      </c>
      <c r="AQ577" t="s">
        <v>124</v>
      </c>
      <c r="AR577" t="str">
        <f t="shared" si="255"/>
        <v>RETURNED</v>
      </c>
      <c r="AS577" t="str">
        <f t="shared" si="264"/>
        <v>RETURNED_ORDER</v>
      </c>
      <c r="AT577">
        <f t="shared" si="265"/>
        <v>5577.6399999999994</v>
      </c>
      <c r="AU577">
        <f t="shared" si="266"/>
        <v>2036.3499999999995</v>
      </c>
      <c r="AV577" s="6">
        <f t="shared" si="267"/>
        <v>2.5795856311988583E-2</v>
      </c>
      <c r="AW577" t="str">
        <f t="shared" si="268"/>
        <v>CLEAN</v>
      </c>
      <c r="AX577" s="10" t="str">
        <f t="shared" si="269"/>
        <v>MATCH</v>
      </c>
      <c r="AY577" t="str">
        <f t="shared" si="270"/>
        <v>MATCH</v>
      </c>
    </row>
    <row r="578" spans="1:51">
      <c r="A578" t="s">
        <v>933</v>
      </c>
      <c r="B578">
        <f t="shared" ref="B578:B641" si="278">COUNTIF($A:$A,A578)</f>
        <v>2</v>
      </c>
      <c r="C578" t="s">
        <v>111</v>
      </c>
      <c r="D578" s="3">
        <v>45907</v>
      </c>
      <c r="E578" t="str">
        <f t="shared" ref="E578:E641" si="279">IFERROR(
TEXT(
  IF(ISNUMBER(SEARCH("/",D578)),
     DATE(RIGHT(D578,4),LEFT(D578,FIND("/",D578)-1),
          MID(D578,FIND("/",D578)+1,FIND("/",D578,FIND("/",D578)+1)-FIND("/",D578)-1)),
     IF(ISNUMBER(SEARCH("-",D578)),
        DATEVALUE(SUBSTITUTE(D578,"-","/")),
        DATEVALUE(TEXT(D578,"dd mmm yyyy"))
     )
  ),
"yyyy/mm/dd"
),
"")</f>
        <v>2025/09/07</v>
      </c>
      <c r="F578" t="str">
        <f t="shared" si="256"/>
        <v>September</v>
      </c>
      <c r="G578">
        <f t="shared" si="257"/>
        <v>2025</v>
      </c>
      <c r="H578" t="s">
        <v>934</v>
      </c>
      <c r="I578" s="4">
        <v>45915</v>
      </c>
      <c r="J578" s="8">
        <f t="shared" ref="J578:J641" si="280">I578-E578</f>
        <v>8</v>
      </c>
      <c r="K578" s="8" t="str">
        <f t="shared" si="258"/>
        <v>OK</v>
      </c>
      <c r="L578" t="s">
        <v>935</v>
      </c>
      <c r="M578" t="s">
        <v>179</v>
      </c>
      <c r="N578" t="str">
        <f t="shared" ref="N578:N641" si="281">PROPER(TRIM(SUBSTITUTE(M578,CHAR(160)," ")))</f>
        <v>Rohan Mehta</v>
      </c>
      <c r="O578" t="s">
        <v>107</v>
      </c>
      <c r="P578" t="str">
        <f t="shared" si="272"/>
        <v>Corporate</v>
      </c>
      <c r="Q578" t="s">
        <v>41</v>
      </c>
      <c r="R578" t="str">
        <f t="shared" si="274"/>
        <v>East</v>
      </c>
      <c r="S578" t="str">
        <f t="shared" si="259"/>
        <v>OK</v>
      </c>
      <c r="T578" t="s">
        <v>185</v>
      </c>
      <c r="U578" t="str">
        <f t="shared" ref="U578:U641" si="282">PROPER(TRIM(SUBSTITUTE(T578,CHAR(160)," ")))</f>
        <v>Bihar</v>
      </c>
      <c r="V578" t="s">
        <v>186</v>
      </c>
      <c r="W578" t="str">
        <f t="shared" ref="W578:W641" si="283">PROPER(TRIM(SUBSTITUTE(V578,CHAR(160)," ")))</f>
        <v>Patna</v>
      </c>
      <c r="X578" t="str">
        <f t="shared" ref="X578:X641" si="284">PROPER(TRIM(SUBSTITUTE(Y578,CHAR(160)," ")))</f>
        <v>Technology</v>
      </c>
      <c r="Y578" t="s">
        <v>85</v>
      </c>
      <c r="Z578" t="s">
        <v>93</v>
      </c>
      <c r="AA578" t="str">
        <f t="shared" ref="AA578:AA641" si="285">PROPER(TRIM(SUBSTITUTE(Z578,CHAR(160)," ")))</f>
        <v>Copiers</v>
      </c>
      <c r="AB578" t="s">
        <v>936</v>
      </c>
      <c r="AC578" t="s">
        <v>66</v>
      </c>
      <c r="AD578" t="str">
        <f t="shared" si="277"/>
        <v>Standard Class</v>
      </c>
      <c r="AE578" t="str">
        <f t="shared" si="260"/>
        <v>OK</v>
      </c>
      <c r="AF578">
        <v>3</v>
      </c>
      <c r="AG578">
        <v>1711.32</v>
      </c>
      <c r="AH578">
        <v>0</v>
      </c>
      <c r="AI578">
        <f t="shared" si="261"/>
        <v>0</v>
      </c>
      <c r="AJ578" t="str">
        <f t="shared" si="262"/>
        <v>OK</v>
      </c>
      <c r="AK578">
        <v>5133.96</v>
      </c>
      <c r="AL578">
        <v>3930</v>
      </c>
      <c r="AM578">
        <v>1203.96</v>
      </c>
      <c r="AN578" t="s">
        <v>33</v>
      </c>
      <c r="AO578" t="str">
        <f t="shared" ref="AO578:AO641" si="286">UPPER(TRIM(SUBSTITUTE(AN578,CHAR(160)," ")))</f>
        <v>PAID</v>
      </c>
      <c r="AP578" t="str">
        <f t="shared" si="263"/>
        <v>OK</v>
      </c>
      <c r="AQ578" t="s">
        <v>34</v>
      </c>
      <c r="AR578" t="str">
        <f t="shared" ref="AR578:AR641" si="287">UPPER(TRIM(SUBSTITUTE(AQ578,CHAR(160)," ")))</f>
        <v>COMPLETED</v>
      </c>
      <c r="AS578" t="str">
        <f t="shared" si="264"/>
        <v>OK</v>
      </c>
      <c r="AT578">
        <f t="shared" si="265"/>
        <v>5133.96</v>
      </c>
      <c r="AU578">
        <f t="shared" si="266"/>
        <v>1203.96</v>
      </c>
      <c r="AV578" s="6">
        <f t="shared" si="267"/>
        <v>7.1079634434237912E-2</v>
      </c>
      <c r="AW578" t="str">
        <f t="shared" si="268"/>
        <v>CLEAN</v>
      </c>
      <c r="AX578" s="10" t="str">
        <f t="shared" si="269"/>
        <v>MATCH</v>
      </c>
      <c r="AY578" t="str">
        <f t="shared" si="270"/>
        <v>MATCH</v>
      </c>
    </row>
    <row r="579" spans="1:51">
      <c r="A579" t="s">
        <v>933</v>
      </c>
      <c r="B579">
        <f t="shared" si="278"/>
        <v>2</v>
      </c>
      <c r="C579" t="s">
        <v>111</v>
      </c>
      <c r="D579" s="3">
        <v>45907</v>
      </c>
      <c r="E579" t="str">
        <f t="shared" si="279"/>
        <v>2025/09/07</v>
      </c>
      <c r="F579" t="str">
        <f t="shared" ref="F579:F642" si="288">TEXT(E579,"MMMM")</f>
        <v>September</v>
      </c>
      <c r="G579">
        <f t="shared" ref="G579:G642" si="289">YEAR(E579)</f>
        <v>2025</v>
      </c>
      <c r="H579" t="s">
        <v>934</v>
      </c>
      <c r="I579" s="4">
        <v>45915</v>
      </c>
      <c r="J579" s="8">
        <f t="shared" si="280"/>
        <v>8</v>
      </c>
      <c r="K579" s="8" t="str">
        <f t="shared" ref="K579:K642" si="290">IF(J579&lt;0,"INVAILD_SHIPPING","OK")</f>
        <v>OK</v>
      </c>
      <c r="L579" t="s">
        <v>935</v>
      </c>
      <c r="M579" t="s">
        <v>179</v>
      </c>
      <c r="N579" t="str">
        <f t="shared" si="281"/>
        <v>Rohan Mehta</v>
      </c>
      <c r="O579" t="s">
        <v>107</v>
      </c>
      <c r="P579" t="str">
        <f t="shared" si="272"/>
        <v>Corporate</v>
      </c>
      <c r="Q579" t="s">
        <v>41</v>
      </c>
      <c r="R579" t="str">
        <f t="shared" si="274"/>
        <v>East</v>
      </c>
      <c r="S579" t="str">
        <f t="shared" ref="S579:S642" si="291">IF(R579="Unknown","MISSING_REGION","OK")</f>
        <v>OK</v>
      </c>
      <c r="T579" t="s">
        <v>185</v>
      </c>
      <c r="U579" t="str">
        <f t="shared" si="282"/>
        <v>Bihar</v>
      </c>
      <c r="V579" t="s">
        <v>186</v>
      </c>
      <c r="W579" t="str">
        <f t="shared" si="283"/>
        <v>Patna</v>
      </c>
      <c r="X579" t="str">
        <f t="shared" si="284"/>
        <v>Technology</v>
      </c>
      <c r="Y579" t="s">
        <v>85</v>
      </c>
      <c r="Z579" t="s">
        <v>93</v>
      </c>
      <c r="AA579" t="str">
        <f t="shared" si="285"/>
        <v>Copiers</v>
      </c>
      <c r="AB579" t="s">
        <v>936</v>
      </c>
      <c r="AC579" t="s">
        <v>66</v>
      </c>
      <c r="AD579" t="str">
        <f t="shared" si="277"/>
        <v>Standard Class</v>
      </c>
      <c r="AE579" t="str">
        <f t="shared" ref="AE579:AE642" si="292">IF(AD579="Unknown","MISSING_SHIP_MODE","OK")</f>
        <v>OK</v>
      </c>
      <c r="AF579">
        <v>3</v>
      </c>
      <c r="AG579">
        <v>1711.32</v>
      </c>
      <c r="AH579">
        <v>0</v>
      </c>
      <c r="AI579">
        <f t="shared" ref="AI579:AI642" si="293">IF(RIGHT(AH579,1)="%",VALUE(SUBSTITUTE(AH579,"%",""))/100,AH579)</f>
        <v>0</v>
      </c>
      <c r="AJ579" t="str">
        <f t="shared" ref="AJ579:AJ642" si="294">IF(AH579="","Missing Discount",
IF(AH579&lt;0,"Invalid Negative Discount",
"OK"))</f>
        <v>OK</v>
      </c>
      <c r="AK579">
        <v>5206.53</v>
      </c>
      <c r="AL579">
        <v>3930</v>
      </c>
      <c r="AM579">
        <v>1203.96</v>
      </c>
      <c r="AN579" t="s">
        <v>33</v>
      </c>
      <c r="AO579" t="str">
        <f t="shared" si="286"/>
        <v>PAID</v>
      </c>
      <c r="AP579" t="str">
        <f t="shared" ref="AP579:AP642" si="295">IF(AO579="Failed","EXCLUDE_FROM_SALES",
IF(AO579="Refunded","REFUNDED_PAYMENT",
"OK"))</f>
        <v>OK</v>
      </c>
      <c r="AQ579" t="s">
        <v>124</v>
      </c>
      <c r="AR579" t="str">
        <f t="shared" si="287"/>
        <v>RETURNED</v>
      </c>
      <c r="AS579" t="str">
        <f t="shared" ref="AS579:AS642" si="296">IF(AR579="Cancelled","EXCLUDE_FROM_SALES",
IF(AR579="Returned","RETURNED_ORDER",
"OK"))</f>
        <v>RETURNED_ORDER</v>
      </c>
      <c r="AT579">
        <f t="shared" ref="AT579:AT642" si="297">IF(AI579&lt;0,"INVAILD",AF579*AG579*(1-AI579))</f>
        <v>5133.96</v>
      </c>
      <c r="AU579">
        <f t="shared" ref="AU579:AU642" si="298">IF(AT579="INVAILD","INVAILD",AT579-AL579)</f>
        <v>1203.96</v>
      </c>
      <c r="AV579" s="6">
        <f t="shared" ref="AV579:AV642" si="299">IF(OR(AT579="INVALID",AU579="INVALID"),"",AU600/AT579)</f>
        <v>0.46074725942547268</v>
      </c>
      <c r="AW579" t="str">
        <f t="shared" ref="AW579:AW642" si="300">IF(OR(AJ579&lt;&gt;"OK",K579="INVALID_SHIPPING"),
"INVALID",
IF(OR(S579&lt;&gt;"OK",AE579&lt;&gt;"OK"),
"WARNING",
"CLEAN"))</f>
        <v>CLEAN</v>
      </c>
      <c r="AX579" s="10" t="str">
        <f t="shared" ref="AX579:AX642" si="301">IF(AT579="INVALID","INVALID",
IF(ROUND(AK579,2)=ROUND(AT579,2),"MATCH","MISMATCH"))</f>
        <v>MISMATCH</v>
      </c>
      <c r="AY579" t="str">
        <f t="shared" ref="AY579:AY642" si="302">IF(AU579="INVALID","INVALID",IF(ROUND(AM579,2)=ROUND(AU579,2),"MATCH","MISMATCH"))</f>
        <v>MATCH</v>
      </c>
    </row>
    <row r="580" spans="1:51">
      <c r="A580" t="s">
        <v>937</v>
      </c>
      <c r="B580">
        <f t="shared" si="278"/>
        <v>1</v>
      </c>
      <c r="C580" t="s">
        <v>96</v>
      </c>
      <c r="D580" s="3">
        <v>45711</v>
      </c>
      <c r="E580" t="str">
        <f t="shared" si="279"/>
        <v>2025/02/23</v>
      </c>
      <c r="F580" t="str">
        <f t="shared" si="288"/>
        <v>February</v>
      </c>
      <c r="G580">
        <f t="shared" si="289"/>
        <v>2025</v>
      </c>
      <c r="H580" t="s">
        <v>938</v>
      </c>
      <c r="I580" s="4">
        <v>45713</v>
      </c>
      <c r="J580" s="8">
        <f t="shared" si="280"/>
        <v>2</v>
      </c>
      <c r="K580" s="8" t="str">
        <f t="shared" si="290"/>
        <v>OK</v>
      </c>
      <c r="L580" t="s">
        <v>939</v>
      </c>
      <c r="M580" t="s">
        <v>24</v>
      </c>
      <c r="N580" t="str">
        <f t="shared" si="281"/>
        <v>Karan Malhotra</v>
      </c>
      <c r="O580" t="s">
        <v>107</v>
      </c>
      <c r="P580" t="str">
        <f t="shared" si="272"/>
        <v>Corporate</v>
      </c>
      <c r="Q580" t="s">
        <v>41</v>
      </c>
      <c r="R580" t="str">
        <f t="shared" si="274"/>
        <v>East</v>
      </c>
      <c r="S580" t="str">
        <f t="shared" si="291"/>
        <v>OK</v>
      </c>
      <c r="T580" t="s">
        <v>185</v>
      </c>
      <c r="U580" t="str">
        <f t="shared" si="282"/>
        <v>Bihar</v>
      </c>
      <c r="V580" t="s">
        <v>186</v>
      </c>
      <c r="W580" t="str">
        <f t="shared" si="283"/>
        <v>Patna</v>
      </c>
      <c r="X580" t="str">
        <f t="shared" si="284"/>
        <v>Office Supplies</v>
      </c>
      <c r="Y580" t="s">
        <v>29</v>
      </c>
      <c r="Z580" t="s">
        <v>108</v>
      </c>
      <c r="AA580" t="str">
        <f t="shared" si="285"/>
        <v>Labels</v>
      </c>
      <c r="AB580" t="s">
        <v>940</v>
      </c>
      <c r="AC580" t="s">
        <v>47</v>
      </c>
      <c r="AD580" t="str">
        <f t="shared" si="277"/>
        <v>Same Day</v>
      </c>
      <c r="AE580" t="str">
        <f t="shared" si="292"/>
        <v>OK</v>
      </c>
      <c r="AF580">
        <v>5</v>
      </c>
      <c r="AG580">
        <v>4246.2700000000004</v>
      </c>
      <c r="AH580">
        <v>0.25</v>
      </c>
      <c r="AI580">
        <f t="shared" si="293"/>
        <v>0.25</v>
      </c>
      <c r="AJ580" t="str">
        <f t="shared" si="294"/>
        <v>OK</v>
      </c>
      <c r="AK580">
        <v>15923.51</v>
      </c>
      <c r="AL580">
        <v>11291.8</v>
      </c>
      <c r="AM580">
        <v>4631.71</v>
      </c>
      <c r="AN580" t="s">
        <v>33</v>
      </c>
      <c r="AO580" t="str">
        <f t="shared" si="286"/>
        <v>PAID</v>
      </c>
      <c r="AP580" t="str">
        <f t="shared" si="295"/>
        <v>OK</v>
      </c>
      <c r="AQ580" t="s">
        <v>34</v>
      </c>
      <c r="AR580" t="str">
        <f t="shared" si="287"/>
        <v>COMPLETED</v>
      </c>
      <c r="AS580" t="str">
        <f t="shared" si="296"/>
        <v>OK</v>
      </c>
      <c r="AT580">
        <f t="shared" si="297"/>
        <v>15923.512500000001</v>
      </c>
      <c r="AU580">
        <f t="shared" si="298"/>
        <v>4631.7125000000015</v>
      </c>
      <c r="AV580" s="6">
        <f t="shared" si="299"/>
        <v>0.21328899638192261</v>
      </c>
      <c r="AW580" t="str">
        <f t="shared" si="300"/>
        <v>CLEAN</v>
      </c>
      <c r="AX580" s="10" t="str">
        <f t="shared" si="301"/>
        <v>MATCH</v>
      </c>
      <c r="AY580" t="str">
        <f t="shared" si="302"/>
        <v>MATCH</v>
      </c>
    </row>
    <row r="581" spans="1:51">
      <c r="A581" t="s">
        <v>941</v>
      </c>
      <c r="B581">
        <f t="shared" si="278"/>
        <v>1</v>
      </c>
      <c r="C581" t="s">
        <v>942</v>
      </c>
      <c r="D581" s="3">
        <v>45871</v>
      </c>
      <c r="E581" t="str">
        <f t="shared" si="279"/>
        <v>2025/08/02</v>
      </c>
      <c r="F581" t="str">
        <f t="shared" si="288"/>
        <v>August</v>
      </c>
      <c r="G581">
        <f t="shared" si="289"/>
        <v>2025</v>
      </c>
      <c r="H581" t="s">
        <v>943</v>
      </c>
      <c r="I581" s="4">
        <v>45938</v>
      </c>
      <c r="J581" s="8">
        <f t="shared" si="280"/>
        <v>67</v>
      </c>
      <c r="K581" s="8" t="str">
        <f t="shared" si="290"/>
        <v>OK</v>
      </c>
      <c r="L581" t="s">
        <v>944</v>
      </c>
      <c r="M581" t="s">
        <v>24</v>
      </c>
      <c r="N581" t="str">
        <f t="shared" si="281"/>
        <v>Karan Malhotra</v>
      </c>
      <c r="O581" t="s">
        <v>107</v>
      </c>
      <c r="P581" t="str">
        <f t="shared" si="272"/>
        <v>Corporate</v>
      </c>
      <c r="Q581" t="s">
        <v>26</v>
      </c>
      <c r="R581" t="str">
        <f t="shared" si="274"/>
        <v>North</v>
      </c>
      <c r="S581" t="str">
        <f t="shared" si="291"/>
        <v>OK</v>
      </c>
      <c r="T581" t="s">
        <v>505</v>
      </c>
      <c r="U581" t="str">
        <f t="shared" si="282"/>
        <v>Delhi</v>
      </c>
      <c r="V581" t="s">
        <v>506</v>
      </c>
      <c r="W581" t="str">
        <f t="shared" si="283"/>
        <v>New Delhi</v>
      </c>
      <c r="X581" t="str">
        <f t="shared" si="284"/>
        <v>Furniture</v>
      </c>
      <c r="Y581" t="s">
        <v>44</v>
      </c>
      <c r="Z581" t="s">
        <v>64</v>
      </c>
      <c r="AA581" t="str">
        <f t="shared" si="285"/>
        <v>Furnishings</v>
      </c>
      <c r="AB581" t="s">
        <v>945</v>
      </c>
      <c r="AC581" t="s">
        <v>47</v>
      </c>
      <c r="AD581" t="str">
        <f t="shared" si="277"/>
        <v>Same Day</v>
      </c>
      <c r="AE581" t="str">
        <f t="shared" si="292"/>
        <v>OK</v>
      </c>
      <c r="AF581">
        <v>9</v>
      </c>
      <c r="AG581">
        <v>2962.62</v>
      </c>
      <c r="AH581">
        <v>0.1</v>
      </c>
      <c r="AI581">
        <f t="shared" si="293"/>
        <v>0.1</v>
      </c>
      <c r="AJ581" t="str">
        <f t="shared" si="294"/>
        <v>OK</v>
      </c>
      <c r="AK581">
        <v>23997.22</v>
      </c>
      <c r="AL581">
        <v>16134.63</v>
      </c>
      <c r="AM581">
        <v>7862.59</v>
      </c>
      <c r="AN581" t="s">
        <v>123</v>
      </c>
      <c r="AO581" t="str">
        <f t="shared" si="286"/>
        <v>REFUNDED</v>
      </c>
      <c r="AP581" t="str">
        <f t="shared" si="295"/>
        <v>REFUNDED_PAYMENT</v>
      </c>
      <c r="AQ581" t="s">
        <v>124</v>
      </c>
      <c r="AR581" t="str">
        <f t="shared" si="287"/>
        <v>RETURNED</v>
      </c>
      <c r="AS581" t="str">
        <f t="shared" si="296"/>
        <v>RETURNED_ORDER</v>
      </c>
      <c r="AT581">
        <f t="shared" si="297"/>
        <v>23997.221999999998</v>
      </c>
      <c r="AU581">
        <f t="shared" si="298"/>
        <v>7862.5919999999987</v>
      </c>
      <c r="AV581" s="6">
        <f t="shared" si="299"/>
        <v>4.9962449820233366E-2</v>
      </c>
      <c r="AW581" t="str">
        <f t="shared" si="300"/>
        <v>CLEAN</v>
      </c>
      <c r="AX581" s="10" t="str">
        <f t="shared" si="301"/>
        <v>MATCH</v>
      </c>
      <c r="AY581" t="str">
        <f t="shared" si="302"/>
        <v>MATCH</v>
      </c>
    </row>
    <row r="582" spans="1:51">
      <c r="A582" t="s">
        <v>952</v>
      </c>
      <c r="B582">
        <f t="shared" si="278"/>
        <v>1</v>
      </c>
      <c r="C582" t="s">
        <v>953</v>
      </c>
      <c r="D582" s="2">
        <v>45928</v>
      </c>
      <c r="E582" t="str">
        <f t="shared" si="279"/>
        <v>2025/09/28</v>
      </c>
      <c r="F582" t="str">
        <f t="shared" si="288"/>
        <v>September</v>
      </c>
      <c r="G582">
        <f t="shared" si="289"/>
        <v>2025</v>
      </c>
      <c r="H582" t="s">
        <v>954</v>
      </c>
      <c r="I582" s="4">
        <v>45757</v>
      </c>
      <c r="J582" s="8">
        <f t="shared" si="280"/>
        <v>-171</v>
      </c>
      <c r="K582" s="8" t="str">
        <f t="shared" si="290"/>
        <v>INVAILD_SHIPPING</v>
      </c>
      <c r="L582" t="s">
        <v>955</v>
      </c>
      <c r="M582" t="s">
        <v>24</v>
      </c>
      <c r="N582" t="str">
        <f t="shared" si="281"/>
        <v>Karan Malhotra</v>
      </c>
      <c r="O582" t="s">
        <v>40</v>
      </c>
      <c r="P582" t="str">
        <f t="shared" si="272"/>
        <v>Small Business</v>
      </c>
      <c r="Q582" t="s">
        <v>61</v>
      </c>
      <c r="R582" t="str">
        <f t="shared" si="274"/>
        <v>South</v>
      </c>
      <c r="S582" t="str">
        <f t="shared" si="291"/>
        <v>OK</v>
      </c>
      <c r="T582" t="s">
        <v>228</v>
      </c>
      <c r="U582" t="str">
        <f t="shared" si="282"/>
        <v>Karnataka</v>
      </c>
      <c r="V582" t="s">
        <v>229</v>
      </c>
      <c r="W582" t="str">
        <f t="shared" si="283"/>
        <v>Bengaluru</v>
      </c>
      <c r="X582" t="str">
        <f t="shared" si="284"/>
        <v>Furniture</v>
      </c>
      <c r="Y582" t="s">
        <v>44</v>
      </c>
      <c r="Z582" t="s">
        <v>203</v>
      </c>
      <c r="AA582" t="str">
        <f t="shared" si="285"/>
        <v>Bookcases</v>
      </c>
      <c r="AB582" t="s">
        <v>956</v>
      </c>
      <c r="AC582" t="s">
        <v>55</v>
      </c>
      <c r="AD582" t="str">
        <f t="shared" si="277"/>
        <v>First Class</v>
      </c>
      <c r="AE582" t="str">
        <f t="shared" si="292"/>
        <v>OK</v>
      </c>
      <c r="AF582">
        <v>6</v>
      </c>
      <c r="AG582">
        <v>1620.53</v>
      </c>
      <c r="AH582">
        <v>0.15</v>
      </c>
      <c r="AI582">
        <f t="shared" si="293"/>
        <v>0.15</v>
      </c>
      <c r="AJ582" t="str">
        <f t="shared" si="294"/>
        <v>OK</v>
      </c>
      <c r="AK582">
        <v>8264.7000000000007</v>
      </c>
      <c r="AL582">
        <v>4768.75</v>
      </c>
      <c r="AM582">
        <v>3495.95</v>
      </c>
      <c r="AN582" t="s">
        <v>136</v>
      </c>
      <c r="AO582" t="str">
        <f t="shared" si="286"/>
        <v>PENDING</v>
      </c>
      <c r="AP582" t="str">
        <f t="shared" si="295"/>
        <v>OK</v>
      </c>
      <c r="AQ582" t="s">
        <v>124</v>
      </c>
      <c r="AR582" t="str">
        <f t="shared" si="287"/>
        <v>RETURNED</v>
      </c>
      <c r="AS582" t="str">
        <f t="shared" si="296"/>
        <v>RETURNED_ORDER</v>
      </c>
      <c r="AT582">
        <f t="shared" si="297"/>
        <v>8264.7029999999995</v>
      </c>
      <c r="AU582">
        <f t="shared" si="298"/>
        <v>3495.9529999999995</v>
      </c>
      <c r="AV582" s="6">
        <f t="shared" si="299"/>
        <v>6.4668990525128367E-2</v>
      </c>
      <c r="AW582" t="str">
        <f t="shared" si="300"/>
        <v>CLEAN</v>
      </c>
      <c r="AX582" s="10" t="str">
        <f t="shared" si="301"/>
        <v>MATCH</v>
      </c>
      <c r="AY582" t="str">
        <f t="shared" si="302"/>
        <v>MATCH</v>
      </c>
    </row>
    <row r="583" spans="1:51">
      <c r="A583" t="s">
        <v>961</v>
      </c>
      <c r="B583">
        <f t="shared" si="278"/>
        <v>1</v>
      </c>
      <c r="C583" t="s">
        <v>962</v>
      </c>
      <c r="D583" s="3">
        <v>45734</v>
      </c>
      <c r="E583" t="str">
        <f t="shared" si="279"/>
        <v>2025/03/18</v>
      </c>
      <c r="F583" t="str">
        <f t="shared" si="288"/>
        <v>March</v>
      </c>
      <c r="G583">
        <f t="shared" si="289"/>
        <v>2025</v>
      </c>
      <c r="H583" t="s">
        <v>963</v>
      </c>
      <c r="I583" s="4">
        <v>45742</v>
      </c>
      <c r="J583" s="8">
        <f t="shared" si="280"/>
        <v>8</v>
      </c>
      <c r="K583" s="8" t="str">
        <f t="shared" si="290"/>
        <v>OK</v>
      </c>
      <c r="L583" t="s">
        <v>964</v>
      </c>
      <c r="M583" t="s">
        <v>82</v>
      </c>
      <c r="N583" t="str">
        <f t="shared" si="281"/>
        <v>Vikram Iyer</v>
      </c>
      <c r="O583" t="s">
        <v>107</v>
      </c>
      <c r="P583" t="str">
        <f t="shared" si="272"/>
        <v>Corporate</v>
      </c>
      <c r="Q583" t="s">
        <v>41</v>
      </c>
      <c r="R583" t="str">
        <f t="shared" si="274"/>
        <v>East</v>
      </c>
      <c r="S583" t="str">
        <f t="shared" si="291"/>
        <v>OK</v>
      </c>
      <c r="T583" t="s">
        <v>310</v>
      </c>
      <c r="U583" t="str">
        <f t="shared" si="282"/>
        <v>Jharkhand</v>
      </c>
      <c r="V583" t="s">
        <v>311</v>
      </c>
      <c r="W583" t="str">
        <f t="shared" si="283"/>
        <v>Ranchi</v>
      </c>
      <c r="X583" t="str">
        <f t="shared" si="284"/>
        <v>Furniture</v>
      </c>
      <c r="Y583" t="s">
        <v>44</v>
      </c>
      <c r="Z583" t="s">
        <v>203</v>
      </c>
      <c r="AA583" t="str">
        <f t="shared" si="285"/>
        <v>Bookcases</v>
      </c>
      <c r="AB583" t="s">
        <v>965</v>
      </c>
      <c r="AC583" t="s">
        <v>66</v>
      </c>
      <c r="AD583" t="str">
        <f t="shared" si="277"/>
        <v>Standard Class</v>
      </c>
      <c r="AE583" t="str">
        <f t="shared" si="292"/>
        <v>OK</v>
      </c>
      <c r="AF583">
        <v>8</v>
      </c>
      <c r="AG583">
        <v>3563.09</v>
      </c>
      <c r="AH583">
        <v>0.15</v>
      </c>
      <c r="AI583">
        <f t="shared" si="293"/>
        <v>0.15</v>
      </c>
      <c r="AJ583" t="str">
        <f t="shared" si="294"/>
        <v>OK</v>
      </c>
      <c r="AK583">
        <v>24229.01</v>
      </c>
      <c r="AL583">
        <v>13910.64</v>
      </c>
      <c r="AM583">
        <v>10318.370000000001</v>
      </c>
      <c r="AN583" t="s">
        <v>33</v>
      </c>
      <c r="AO583" t="str">
        <f t="shared" si="286"/>
        <v>PAID</v>
      </c>
      <c r="AP583" t="str">
        <f t="shared" si="295"/>
        <v>OK</v>
      </c>
      <c r="AQ583" t="s">
        <v>34</v>
      </c>
      <c r="AR583" t="str">
        <f t="shared" si="287"/>
        <v>COMPLETED</v>
      </c>
      <c r="AS583" t="str">
        <f t="shared" si="296"/>
        <v>OK</v>
      </c>
      <c r="AT583">
        <f t="shared" si="297"/>
        <v>24229.011999999999</v>
      </c>
      <c r="AU583">
        <f t="shared" si="298"/>
        <v>10318.371999999999</v>
      </c>
      <c r="AV583" s="6">
        <f t="shared" si="299"/>
        <v>5.5644282977778861E-2</v>
      </c>
      <c r="AW583" t="str">
        <f t="shared" si="300"/>
        <v>CLEAN</v>
      </c>
      <c r="AX583" s="10" t="str">
        <f t="shared" si="301"/>
        <v>MATCH</v>
      </c>
      <c r="AY583" t="str">
        <f t="shared" si="302"/>
        <v>MATCH</v>
      </c>
    </row>
    <row r="584" spans="1:51">
      <c r="A584" t="s">
        <v>986</v>
      </c>
      <c r="B584">
        <f t="shared" si="278"/>
        <v>1</v>
      </c>
      <c r="C584" t="s">
        <v>987</v>
      </c>
      <c r="D584" s="3">
        <v>45909</v>
      </c>
      <c r="E584" t="str">
        <f t="shared" si="279"/>
        <v>2025/09/09</v>
      </c>
      <c r="F584" t="str">
        <f t="shared" si="288"/>
        <v>September</v>
      </c>
      <c r="G584">
        <f t="shared" si="289"/>
        <v>2025</v>
      </c>
      <c r="H584" t="s">
        <v>988</v>
      </c>
      <c r="I584" s="4">
        <v>45939</v>
      </c>
      <c r="J584" s="8">
        <f t="shared" si="280"/>
        <v>30</v>
      </c>
      <c r="K584" s="8" t="str">
        <f t="shared" si="290"/>
        <v>OK</v>
      </c>
      <c r="L584" t="s">
        <v>989</v>
      </c>
      <c r="M584" t="s">
        <v>141</v>
      </c>
      <c r="N584" t="str">
        <f t="shared" si="281"/>
        <v>Priya Menon</v>
      </c>
      <c r="O584" t="s">
        <v>114</v>
      </c>
      <c r="P584" t="str">
        <f t="shared" si="272"/>
        <v>Home Office</v>
      </c>
      <c r="Q584" t="s">
        <v>61</v>
      </c>
      <c r="R584" t="str">
        <f t="shared" ref="R584:R608" si="303">PROPER(TRIM(SUBSTITUTE(Q584,CHAR(160)," ")))</f>
        <v>South</v>
      </c>
      <c r="S584" t="str">
        <f t="shared" si="291"/>
        <v>OK</v>
      </c>
      <c r="T584" t="s">
        <v>338</v>
      </c>
      <c r="U584" t="str">
        <f t="shared" si="282"/>
        <v>Tamil Nadu</v>
      </c>
      <c r="V584" t="s">
        <v>339</v>
      </c>
      <c r="W584" t="str">
        <f t="shared" si="283"/>
        <v>Chennai</v>
      </c>
      <c r="X584" t="str">
        <f t="shared" si="284"/>
        <v>Office Supplies</v>
      </c>
      <c r="Y584" t="s">
        <v>29</v>
      </c>
      <c r="Z584" t="s">
        <v>53</v>
      </c>
      <c r="AA584" t="str">
        <f t="shared" si="285"/>
        <v>Art</v>
      </c>
      <c r="AB584" t="s">
        <v>990</v>
      </c>
      <c r="AC584" t="s">
        <v>32</v>
      </c>
      <c r="AD584" t="str">
        <f t="shared" si="277"/>
        <v>Second Class</v>
      </c>
      <c r="AE584" t="str">
        <f t="shared" si="292"/>
        <v>OK</v>
      </c>
      <c r="AF584">
        <v>4</v>
      </c>
      <c r="AG584">
        <v>2551.4499999999998</v>
      </c>
      <c r="AH584">
        <v>0</v>
      </c>
      <c r="AI584">
        <f t="shared" si="293"/>
        <v>0</v>
      </c>
      <c r="AJ584" t="str">
        <f t="shared" si="294"/>
        <v>OK</v>
      </c>
      <c r="AK584">
        <v>10205.799999999999</v>
      </c>
      <c r="AL584">
        <v>5986.31</v>
      </c>
      <c r="AM584">
        <v>4219.49</v>
      </c>
      <c r="AN584" t="s">
        <v>33</v>
      </c>
      <c r="AO584" t="str">
        <f t="shared" si="286"/>
        <v>PAID</v>
      </c>
      <c r="AP584" t="str">
        <f t="shared" si="295"/>
        <v>OK</v>
      </c>
      <c r="AQ584" t="s">
        <v>34</v>
      </c>
      <c r="AR584" t="str">
        <f t="shared" si="287"/>
        <v>COMPLETED</v>
      </c>
      <c r="AS584" t="str">
        <f t="shared" si="296"/>
        <v>OK</v>
      </c>
      <c r="AT584">
        <f t="shared" si="297"/>
        <v>10205.799999999999</v>
      </c>
      <c r="AU584">
        <f t="shared" si="298"/>
        <v>4219.4899999999989</v>
      </c>
      <c r="AV584" s="6">
        <f t="shared" si="299"/>
        <v>0.79557212565404001</v>
      </c>
      <c r="AW584" t="str">
        <f t="shared" si="300"/>
        <v>CLEAN</v>
      </c>
      <c r="AX584" s="10" t="str">
        <f t="shared" si="301"/>
        <v>MATCH</v>
      </c>
      <c r="AY584" t="str">
        <f t="shared" si="302"/>
        <v>MATCH</v>
      </c>
    </row>
    <row r="585" spans="1:51">
      <c r="A585" t="s">
        <v>994</v>
      </c>
      <c r="B585">
        <f t="shared" si="278"/>
        <v>1</v>
      </c>
      <c r="C585" t="s">
        <v>995</v>
      </c>
      <c r="D585" s="3">
        <v>45832</v>
      </c>
      <c r="E585" t="str">
        <f t="shared" si="279"/>
        <v>2025/06/24</v>
      </c>
      <c r="F585" t="str">
        <f t="shared" si="288"/>
        <v>June</v>
      </c>
      <c r="G585">
        <f t="shared" si="289"/>
        <v>2025</v>
      </c>
      <c r="H585" t="s">
        <v>996</v>
      </c>
      <c r="I585" s="4">
        <v>45835</v>
      </c>
      <c r="J585" s="8">
        <f t="shared" si="280"/>
        <v>3</v>
      </c>
      <c r="K585" s="8" t="str">
        <f t="shared" si="290"/>
        <v>OK</v>
      </c>
      <c r="L585" t="s">
        <v>997</v>
      </c>
      <c r="M585" t="s">
        <v>82</v>
      </c>
      <c r="N585" t="str">
        <f t="shared" si="281"/>
        <v>Vikram Iyer</v>
      </c>
      <c r="O585" t="s">
        <v>114</v>
      </c>
      <c r="P585" t="str">
        <f t="shared" ref="P585:P648" si="304">PROPER(TRIM(SUBSTITUTE(O585,CHAR(160)," ")))</f>
        <v>Home Office</v>
      </c>
      <c r="Q585" t="s">
        <v>61</v>
      </c>
      <c r="R585" t="str">
        <f t="shared" si="303"/>
        <v>South</v>
      </c>
      <c r="S585" t="str">
        <f t="shared" si="291"/>
        <v>OK</v>
      </c>
      <c r="T585" t="s">
        <v>62</v>
      </c>
      <c r="U585" t="str">
        <f t="shared" si="282"/>
        <v>Telangana</v>
      </c>
      <c r="V585" t="s">
        <v>63</v>
      </c>
      <c r="W585" t="str">
        <f t="shared" si="283"/>
        <v>Hyderabad</v>
      </c>
      <c r="X585" t="str">
        <f t="shared" si="284"/>
        <v>Technology</v>
      </c>
      <c r="Y585" t="s">
        <v>85</v>
      </c>
      <c r="Z585" t="s">
        <v>93</v>
      </c>
      <c r="AA585" t="str">
        <f t="shared" si="285"/>
        <v>Copiers</v>
      </c>
      <c r="AB585" t="s">
        <v>998</v>
      </c>
      <c r="AC585" t="s">
        <v>66</v>
      </c>
      <c r="AD585" t="str">
        <f t="shared" si="277"/>
        <v>Standard Class</v>
      </c>
      <c r="AE585" t="str">
        <f t="shared" si="292"/>
        <v>OK</v>
      </c>
      <c r="AF585">
        <v>7</v>
      </c>
      <c r="AG585">
        <v>2304.86</v>
      </c>
      <c r="AH585">
        <v>0.2</v>
      </c>
      <c r="AI585">
        <f t="shared" si="293"/>
        <v>0.2</v>
      </c>
      <c r="AJ585" t="str">
        <f t="shared" si="294"/>
        <v>OK</v>
      </c>
      <c r="AK585">
        <v>12907.22</v>
      </c>
      <c r="AL585">
        <v>8327.89</v>
      </c>
      <c r="AM585">
        <v>4579.33</v>
      </c>
      <c r="AN585" t="s">
        <v>33</v>
      </c>
      <c r="AO585" t="str">
        <f t="shared" si="286"/>
        <v>PAID</v>
      </c>
      <c r="AP585" t="str">
        <f t="shared" si="295"/>
        <v>OK</v>
      </c>
      <c r="AQ585" t="s">
        <v>124</v>
      </c>
      <c r="AR585" t="str">
        <f t="shared" si="287"/>
        <v>RETURNED</v>
      </c>
      <c r="AS585" t="str">
        <f t="shared" si="296"/>
        <v>RETURNED_ORDER</v>
      </c>
      <c r="AT585">
        <f t="shared" si="297"/>
        <v>12907.216</v>
      </c>
      <c r="AU585">
        <f t="shared" si="298"/>
        <v>4579.3260000000009</v>
      </c>
      <c r="AV585" s="6">
        <f t="shared" si="299"/>
        <v>4.0472709219400993E-2</v>
      </c>
      <c r="AW585" t="str">
        <f t="shared" si="300"/>
        <v>CLEAN</v>
      </c>
      <c r="AX585" s="10" t="str">
        <f t="shared" si="301"/>
        <v>MATCH</v>
      </c>
      <c r="AY585" t="str">
        <f t="shared" si="302"/>
        <v>MATCH</v>
      </c>
    </row>
    <row r="586" spans="1:51">
      <c r="A586" t="s">
        <v>1010</v>
      </c>
      <c r="B586">
        <f t="shared" si="278"/>
        <v>1</v>
      </c>
      <c r="C586" t="s">
        <v>1011</v>
      </c>
      <c r="D586" s="3">
        <v>45662</v>
      </c>
      <c r="E586" t="str">
        <f t="shared" si="279"/>
        <v>2025/01/05</v>
      </c>
      <c r="F586" t="str">
        <f t="shared" si="288"/>
        <v>January</v>
      </c>
      <c r="G586">
        <f t="shared" si="289"/>
        <v>2025</v>
      </c>
      <c r="H586" t="s">
        <v>1012</v>
      </c>
      <c r="I586" s="4">
        <v>45779</v>
      </c>
      <c r="J586" s="8">
        <f t="shared" si="280"/>
        <v>117</v>
      </c>
      <c r="K586" s="8" t="str">
        <f t="shared" si="290"/>
        <v>OK</v>
      </c>
      <c r="L586" t="s">
        <v>1013</v>
      </c>
      <c r="M586" t="s">
        <v>39</v>
      </c>
      <c r="N586" t="str">
        <f t="shared" si="281"/>
        <v>Mira Das</v>
      </c>
      <c r="O586" t="s">
        <v>25</v>
      </c>
      <c r="P586" t="str">
        <f t="shared" si="304"/>
        <v>Consumer</v>
      </c>
      <c r="Q586" t="s">
        <v>72</v>
      </c>
      <c r="R586" t="str">
        <f t="shared" si="303"/>
        <v>West</v>
      </c>
      <c r="S586" t="str">
        <f t="shared" si="291"/>
        <v>OK</v>
      </c>
      <c r="T586" t="s">
        <v>83</v>
      </c>
      <c r="U586" t="str">
        <f t="shared" si="282"/>
        <v>Madhya Pradesh</v>
      </c>
      <c r="V586" t="s">
        <v>84</v>
      </c>
      <c r="W586" t="str">
        <f t="shared" si="283"/>
        <v>Indore</v>
      </c>
      <c r="X586" t="str">
        <f t="shared" si="284"/>
        <v>Furniture</v>
      </c>
      <c r="Y586" t="s">
        <v>44</v>
      </c>
      <c r="Z586" t="s">
        <v>75</v>
      </c>
      <c r="AA586" t="str">
        <f t="shared" si="285"/>
        <v>Chairs</v>
      </c>
      <c r="AB586" t="s">
        <v>1014</v>
      </c>
      <c r="AC586" t="s">
        <v>47</v>
      </c>
      <c r="AD586" t="str">
        <f t="shared" si="277"/>
        <v>Same Day</v>
      </c>
      <c r="AE586" t="str">
        <f t="shared" si="292"/>
        <v>OK</v>
      </c>
      <c r="AF586">
        <v>3</v>
      </c>
      <c r="AG586">
        <v>2905.74</v>
      </c>
      <c r="AH586">
        <v>0</v>
      </c>
      <c r="AI586">
        <f t="shared" si="293"/>
        <v>0</v>
      </c>
      <c r="AJ586" t="str">
        <f t="shared" si="294"/>
        <v>OK</v>
      </c>
      <c r="AK586">
        <v>8717.2199999999993</v>
      </c>
      <c r="AL586">
        <v>6215.96</v>
      </c>
      <c r="AM586">
        <v>2501.2600000000002</v>
      </c>
      <c r="AN586" t="s">
        <v>33</v>
      </c>
      <c r="AO586" t="str">
        <f t="shared" si="286"/>
        <v>PAID</v>
      </c>
      <c r="AP586" t="str">
        <f t="shared" si="295"/>
        <v>OK</v>
      </c>
      <c r="AQ586" t="s">
        <v>124</v>
      </c>
      <c r="AR586" t="str">
        <f t="shared" si="287"/>
        <v>RETURNED</v>
      </c>
      <c r="AS586" t="str">
        <f t="shared" si="296"/>
        <v>RETURNED_ORDER</v>
      </c>
      <c r="AT586">
        <f t="shared" si="297"/>
        <v>8717.2199999999993</v>
      </c>
      <c r="AU586">
        <f t="shared" si="298"/>
        <v>2501.2599999999993</v>
      </c>
      <c r="AV586" s="6">
        <f t="shared" si="299"/>
        <v>0.59089939223743349</v>
      </c>
      <c r="AW586" t="str">
        <f t="shared" si="300"/>
        <v>CLEAN</v>
      </c>
      <c r="AX586" s="10" t="str">
        <f t="shared" si="301"/>
        <v>MATCH</v>
      </c>
      <c r="AY586" t="str">
        <f t="shared" si="302"/>
        <v>MATCH</v>
      </c>
    </row>
    <row r="587" spans="1:51">
      <c r="A587" t="s">
        <v>1015</v>
      </c>
      <c r="B587">
        <f t="shared" si="278"/>
        <v>1</v>
      </c>
      <c r="C587" t="s">
        <v>1016</v>
      </c>
      <c r="D587" s="3">
        <v>45798</v>
      </c>
      <c r="E587" t="str">
        <f t="shared" si="279"/>
        <v>2025/05/21</v>
      </c>
      <c r="F587" t="str">
        <f t="shared" si="288"/>
        <v>May</v>
      </c>
      <c r="G587">
        <f t="shared" si="289"/>
        <v>2025</v>
      </c>
      <c r="H587" t="s">
        <v>1017</v>
      </c>
      <c r="I587" s="4">
        <v>45805</v>
      </c>
      <c r="J587" s="8">
        <f t="shared" si="280"/>
        <v>7</v>
      </c>
      <c r="K587" s="8" t="str">
        <f t="shared" si="290"/>
        <v>OK</v>
      </c>
      <c r="L587" t="s">
        <v>1018</v>
      </c>
      <c r="M587" t="s">
        <v>141</v>
      </c>
      <c r="N587" t="str">
        <f t="shared" si="281"/>
        <v>Priya Menon</v>
      </c>
      <c r="O587" t="s">
        <v>107</v>
      </c>
      <c r="P587" t="str">
        <f t="shared" si="304"/>
        <v>Corporate</v>
      </c>
      <c r="Q587" t="s">
        <v>41</v>
      </c>
      <c r="R587" t="str">
        <f t="shared" si="303"/>
        <v>East</v>
      </c>
      <c r="S587" t="str">
        <f t="shared" si="291"/>
        <v>OK</v>
      </c>
      <c r="T587" t="s">
        <v>120</v>
      </c>
      <c r="U587" t="str">
        <f t="shared" si="282"/>
        <v>West Bengal</v>
      </c>
      <c r="V587" t="s">
        <v>121</v>
      </c>
      <c r="W587" t="str">
        <f t="shared" si="283"/>
        <v>Kolkata</v>
      </c>
      <c r="X587" t="str">
        <f t="shared" si="284"/>
        <v>Furniture</v>
      </c>
      <c r="Y587" t="s">
        <v>44</v>
      </c>
      <c r="Z587" t="s">
        <v>203</v>
      </c>
      <c r="AA587" t="str">
        <f t="shared" si="285"/>
        <v>Bookcases</v>
      </c>
      <c r="AB587" t="s">
        <v>1019</v>
      </c>
      <c r="AC587" t="s">
        <v>47</v>
      </c>
      <c r="AD587" t="str">
        <f t="shared" si="277"/>
        <v>Same Day</v>
      </c>
      <c r="AE587" t="str">
        <f t="shared" si="292"/>
        <v>OK</v>
      </c>
      <c r="AF587">
        <v>2</v>
      </c>
      <c r="AG587">
        <v>3559.57</v>
      </c>
      <c r="AH587">
        <v>0.1</v>
      </c>
      <c r="AI587">
        <f t="shared" si="293"/>
        <v>0.1</v>
      </c>
      <c r="AJ587" t="str">
        <f t="shared" si="294"/>
        <v>OK</v>
      </c>
      <c r="AK587">
        <v>6553.95</v>
      </c>
      <c r="AL587">
        <v>4923.09</v>
      </c>
      <c r="AM587">
        <v>1484.14</v>
      </c>
      <c r="AN587" t="s">
        <v>33</v>
      </c>
      <c r="AO587" t="str">
        <f t="shared" si="286"/>
        <v>PAID</v>
      </c>
      <c r="AP587" t="str">
        <f t="shared" si="295"/>
        <v>OK</v>
      </c>
      <c r="AQ587" t="s">
        <v>34</v>
      </c>
      <c r="AR587" t="str">
        <f t="shared" si="287"/>
        <v>COMPLETED</v>
      </c>
      <c r="AS587" t="str">
        <f t="shared" si="296"/>
        <v>OK</v>
      </c>
      <c r="AT587">
        <f t="shared" si="297"/>
        <v>6407.2260000000006</v>
      </c>
      <c r="AU587">
        <f t="shared" si="298"/>
        <v>1484.1360000000004</v>
      </c>
      <c r="AV587" s="6">
        <f t="shared" si="299"/>
        <v>0.80393605594683248</v>
      </c>
      <c r="AW587" t="str">
        <f t="shared" si="300"/>
        <v>CLEAN</v>
      </c>
      <c r="AX587" s="10" t="str">
        <f t="shared" si="301"/>
        <v>MISMATCH</v>
      </c>
      <c r="AY587" t="str">
        <f t="shared" si="302"/>
        <v>MATCH</v>
      </c>
    </row>
    <row r="588" spans="1:51">
      <c r="A588" t="s">
        <v>1020</v>
      </c>
      <c r="B588">
        <f t="shared" si="278"/>
        <v>1</v>
      </c>
      <c r="C588" t="s">
        <v>1021</v>
      </c>
      <c r="D588" s="3">
        <v>45813</v>
      </c>
      <c r="E588" t="str">
        <f t="shared" si="279"/>
        <v>2025/06/05</v>
      </c>
      <c r="F588" t="str">
        <f t="shared" si="288"/>
        <v>June</v>
      </c>
      <c r="G588">
        <f t="shared" si="289"/>
        <v>2025</v>
      </c>
      <c r="H588" t="s">
        <v>1022</v>
      </c>
      <c r="I588" s="4">
        <v>45784</v>
      </c>
      <c r="J588" s="8">
        <f t="shared" si="280"/>
        <v>-29</v>
      </c>
      <c r="K588" s="8" t="str">
        <f t="shared" si="290"/>
        <v>INVAILD_SHIPPING</v>
      </c>
      <c r="L588" t="s">
        <v>1023</v>
      </c>
      <c r="M588" t="s">
        <v>60</v>
      </c>
      <c r="N588" t="str">
        <f t="shared" si="281"/>
        <v>Arjun Bose</v>
      </c>
      <c r="O588" t="s">
        <v>25</v>
      </c>
      <c r="P588" t="str">
        <f t="shared" si="304"/>
        <v>Consumer</v>
      </c>
      <c r="Q588" t="s">
        <v>72</v>
      </c>
      <c r="R588" t="str">
        <f t="shared" si="303"/>
        <v>West</v>
      </c>
      <c r="S588" t="str">
        <f t="shared" si="291"/>
        <v>OK</v>
      </c>
      <c r="T588" t="s">
        <v>27</v>
      </c>
      <c r="U588" t="str">
        <f t="shared" si="282"/>
        <v>Rajasthan</v>
      </c>
      <c r="V588" t="s">
        <v>134</v>
      </c>
      <c r="W588" t="str">
        <f t="shared" si="283"/>
        <v>Udaipur</v>
      </c>
      <c r="X588" t="str">
        <f t="shared" si="284"/>
        <v>Furniture</v>
      </c>
      <c r="Y588" t="s">
        <v>44</v>
      </c>
      <c r="Z588" t="s">
        <v>203</v>
      </c>
      <c r="AA588" t="str">
        <f t="shared" si="285"/>
        <v>Bookcases</v>
      </c>
      <c r="AB588" t="s">
        <v>1024</v>
      </c>
      <c r="AC588" t="s">
        <v>55</v>
      </c>
      <c r="AD588" t="str">
        <f t="shared" si="277"/>
        <v>First Class</v>
      </c>
      <c r="AE588" t="str">
        <f t="shared" si="292"/>
        <v>OK</v>
      </c>
      <c r="AF588">
        <v>9</v>
      </c>
      <c r="AG588">
        <v>3318.24</v>
      </c>
      <c r="AI588">
        <f t="shared" si="293"/>
        <v>0</v>
      </c>
      <c r="AJ588" t="str">
        <f t="shared" si="294"/>
        <v>Missing Discount</v>
      </c>
      <c r="AK588">
        <v>25384.54</v>
      </c>
      <c r="AL588">
        <v>16872.39</v>
      </c>
      <c r="AM588">
        <v>8512.15</v>
      </c>
      <c r="AN588" t="s">
        <v>33</v>
      </c>
      <c r="AO588" t="str">
        <f t="shared" si="286"/>
        <v>PAID</v>
      </c>
      <c r="AP588" t="str">
        <f t="shared" si="295"/>
        <v>OK</v>
      </c>
      <c r="AQ588" t="s">
        <v>1025</v>
      </c>
      <c r="AR588" t="str">
        <f t="shared" si="287"/>
        <v>COMPLETED</v>
      </c>
      <c r="AS588" t="str">
        <f t="shared" si="296"/>
        <v>OK</v>
      </c>
      <c r="AT588">
        <f t="shared" si="297"/>
        <v>29864.159999999996</v>
      </c>
      <c r="AU588">
        <f t="shared" si="298"/>
        <v>12991.769999999997</v>
      </c>
      <c r="AV588" s="6">
        <f t="shared" si="299"/>
        <v>2.9373436252685497E-2</v>
      </c>
      <c r="AW588" t="str">
        <f t="shared" si="300"/>
        <v>INVALID</v>
      </c>
      <c r="AX588" s="10" t="str">
        <f t="shared" si="301"/>
        <v>MISMATCH</v>
      </c>
      <c r="AY588" t="str">
        <f t="shared" si="302"/>
        <v>MISMATCH</v>
      </c>
    </row>
    <row r="589" spans="1:51">
      <c r="A589" t="s">
        <v>1026</v>
      </c>
      <c r="B589">
        <f t="shared" si="278"/>
        <v>1</v>
      </c>
      <c r="C589" t="s">
        <v>1027</v>
      </c>
      <c r="D589" s="3">
        <v>45767</v>
      </c>
      <c r="E589" t="str">
        <f t="shared" si="279"/>
        <v>2025/04/20</v>
      </c>
      <c r="F589" t="str">
        <f t="shared" si="288"/>
        <v>April</v>
      </c>
      <c r="G589">
        <f t="shared" si="289"/>
        <v>2025</v>
      </c>
      <c r="H589" t="s">
        <v>1028</v>
      </c>
      <c r="I589" s="4">
        <v>45768</v>
      </c>
      <c r="J589" s="8">
        <f t="shared" si="280"/>
        <v>1</v>
      </c>
      <c r="K589" s="8" t="str">
        <f t="shared" si="290"/>
        <v>OK</v>
      </c>
      <c r="L589" t="s">
        <v>1029</v>
      </c>
      <c r="M589" t="s">
        <v>106</v>
      </c>
      <c r="N589" t="str">
        <f t="shared" si="281"/>
        <v>Aditi Sen</v>
      </c>
      <c r="O589" t="s">
        <v>25</v>
      </c>
      <c r="P589" t="str">
        <f t="shared" si="304"/>
        <v>Consumer</v>
      </c>
      <c r="Q589" t="s">
        <v>61</v>
      </c>
      <c r="R589" t="str">
        <f t="shared" si="303"/>
        <v>South</v>
      </c>
      <c r="S589" t="str">
        <f t="shared" si="291"/>
        <v>OK</v>
      </c>
      <c r="T589" t="s">
        <v>338</v>
      </c>
      <c r="U589" t="str">
        <f t="shared" si="282"/>
        <v>Tamil Nadu</v>
      </c>
      <c r="V589" t="s">
        <v>339</v>
      </c>
      <c r="W589" t="str">
        <f t="shared" si="283"/>
        <v>Chennai</v>
      </c>
      <c r="X589" t="str">
        <f t="shared" si="284"/>
        <v>Office Supplies</v>
      </c>
      <c r="Y589" t="s">
        <v>29</v>
      </c>
      <c r="Z589" t="s">
        <v>155</v>
      </c>
      <c r="AA589" t="str">
        <f t="shared" si="285"/>
        <v>Storage</v>
      </c>
      <c r="AB589" t="s">
        <v>1030</v>
      </c>
      <c r="AC589" t="s">
        <v>55</v>
      </c>
      <c r="AD589" t="str">
        <f t="shared" si="277"/>
        <v>First Class</v>
      </c>
      <c r="AE589" t="str">
        <f t="shared" si="292"/>
        <v>OK</v>
      </c>
      <c r="AF589">
        <v>3</v>
      </c>
      <c r="AG589">
        <v>540.09</v>
      </c>
      <c r="AH589">
        <v>0.1</v>
      </c>
      <c r="AI589">
        <f t="shared" si="293"/>
        <v>0.1</v>
      </c>
      <c r="AJ589" t="str">
        <f t="shared" si="294"/>
        <v>OK</v>
      </c>
      <c r="AK589">
        <v>1458.24</v>
      </c>
      <c r="AL589">
        <v>943.32</v>
      </c>
      <c r="AM589">
        <v>514.91999999999996</v>
      </c>
      <c r="AN589" t="s">
        <v>33</v>
      </c>
      <c r="AO589" t="str">
        <f t="shared" si="286"/>
        <v>PAID</v>
      </c>
      <c r="AP589" t="str">
        <f t="shared" si="295"/>
        <v>OK</v>
      </c>
      <c r="AQ589" t="s">
        <v>34</v>
      </c>
      <c r="AR589" t="str">
        <f t="shared" si="287"/>
        <v>COMPLETED</v>
      </c>
      <c r="AS589" t="str">
        <f t="shared" si="296"/>
        <v>OK</v>
      </c>
      <c r="AT589">
        <f t="shared" si="297"/>
        <v>1458.2429999999999</v>
      </c>
      <c r="AU589">
        <f t="shared" si="298"/>
        <v>514.92299999999989</v>
      </c>
      <c r="AV589" s="6">
        <f t="shared" si="299"/>
        <v>2.1414469330557395</v>
      </c>
      <c r="AW589" t="str">
        <f t="shared" si="300"/>
        <v>CLEAN</v>
      </c>
      <c r="AX589" s="10" t="str">
        <f t="shared" si="301"/>
        <v>MATCH</v>
      </c>
      <c r="AY589" t="str">
        <f t="shared" si="302"/>
        <v>MATCH</v>
      </c>
    </row>
    <row r="590" spans="1:51">
      <c r="A590" t="s">
        <v>1045</v>
      </c>
      <c r="B590">
        <f t="shared" si="278"/>
        <v>1</v>
      </c>
      <c r="C590" t="s">
        <v>1046</v>
      </c>
      <c r="D590" s="3">
        <v>45685</v>
      </c>
      <c r="E590" t="str">
        <f t="shared" si="279"/>
        <v>2025/01/28</v>
      </c>
      <c r="F590" t="str">
        <f t="shared" si="288"/>
        <v>January</v>
      </c>
      <c r="G590">
        <f t="shared" si="289"/>
        <v>2025</v>
      </c>
      <c r="H590" t="s">
        <v>1047</v>
      </c>
      <c r="I590" s="4">
        <v>45688</v>
      </c>
      <c r="J590" s="8">
        <f t="shared" si="280"/>
        <v>3</v>
      </c>
      <c r="K590" s="8" t="str">
        <f t="shared" si="290"/>
        <v>OK</v>
      </c>
      <c r="L590" t="s">
        <v>1048</v>
      </c>
      <c r="M590" t="s">
        <v>141</v>
      </c>
      <c r="N590" t="str">
        <f t="shared" si="281"/>
        <v>Priya Menon</v>
      </c>
      <c r="O590" t="s">
        <v>25</v>
      </c>
      <c r="P590" t="str">
        <f t="shared" si="304"/>
        <v>Consumer</v>
      </c>
      <c r="Q590" t="s">
        <v>1049</v>
      </c>
      <c r="R590" t="str">
        <f t="shared" si="303"/>
        <v>West</v>
      </c>
      <c r="S590" t="str">
        <f t="shared" si="291"/>
        <v>OK</v>
      </c>
      <c r="T590" t="s">
        <v>73</v>
      </c>
      <c r="U590" t="str">
        <f t="shared" si="282"/>
        <v>Maharashtra</v>
      </c>
      <c r="V590" t="s">
        <v>74</v>
      </c>
      <c r="W590" t="str">
        <f t="shared" si="283"/>
        <v>Mumbai</v>
      </c>
      <c r="X590" t="str">
        <f t="shared" si="284"/>
        <v>Furniture</v>
      </c>
      <c r="Y590" t="s">
        <v>44</v>
      </c>
      <c r="Z590" t="s">
        <v>64</v>
      </c>
      <c r="AA590" t="str">
        <f t="shared" si="285"/>
        <v>Furnishings</v>
      </c>
      <c r="AB590" t="s">
        <v>1050</v>
      </c>
      <c r="AC590" t="s">
        <v>55</v>
      </c>
      <c r="AD590" t="str">
        <f t="shared" si="277"/>
        <v>First Class</v>
      </c>
      <c r="AE590" t="str">
        <f t="shared" si="292"/>
        <v>OK</v>
      </c>
      <c r="AF590">
        <v>9</v>
      </c>
      <c r="AG590">
        <v>858.39</v>
      </c>
      <c r="AH590">
        <v>0.05</v>
      </c>
      <c r="AI590">
        <f t="shared" si="293"/>
        <v>0.05</v>
      </c>
      <c r="AJ590" t="str">
        <f t="shared" si="294"/>
        <v>OK</v>
      </c>
      <c r="AK590">
        <v>7339.23</v>
      </c>
      <c r="AL590">
        <v>5434.12</v>
      </c>
      <c r="AM590">
        <v>1905.11</v>
      </c>
      <c r="AN590" t="s">
        <v>136</v>
      </c>
      <c r="AO590" t="str">
        <f t="shared" si="286"/>
        <v>PENDING</v>
      </c>
      <c r="AP590" t="str">
        <f t="shared" si="295"/>
        <v>OK</v>
      </c>
      <c r="AQ590" t="s">
        <v>124</v>
      </c>
      <c r="AR590" t="str">
        <f t="shared" si="287"/>
        <v>RETURNED</v>
      </c>
      <c r="AS590" t="str">
        <f t="shared" si="296"/>
        <v>RETURNED_ORDER</v>
      </c>
      <c r="AT590">
        <f t="shared" si="297"/>
        <v>7339.2344999999996</v>
      </c>
      <c r="AU590">
        <f t="shared" si="298"/>
        <v>1905.1144999999997</v>
      </c>
      <c r="AV590" s="6">
        <f t="shared" si="299"/>
        <v>1.5061516293013933E-2</v>
      </c>
      <c r="AW590" t="str">
        <f t="shared" si="300"/>
        <v>CLEAN</v>
      </c>
      <c r="AX590" s="10" t="str">
        <f t="shared" si="301"/>
        <v>MATCH</v>
      </c>
      <c r="AY590" t="str">
        <f t="shared" si="302"/>
        <v>MATCH</v>
      </c>
    </row>
    <row r="591" spans="1:51">
      <c r="A591" t="s">
        <v>1051</v>
      </c>
      <c r="B591">
        <f t="shared" si="278"/>
        <v>1</v>
      </c>
      <c r="C591" t="s">
        <v>1052</v>
      </c>
      <c r="D591" s="2">
        <v>45860</v>
      </c>
      <c r="E591" t="str">
        <f t="shared" si="279"/>
        <v>2025/07/22</v>
      </c>
      <c r="F591" t="str">
        <f t="shared" si="288"/>
        <v>July</v>
      </c>
      <c r="G591">
        <f t="shared" si="289"/>
        <v>2025</v>
      </c>
      <c r="H591" t="s">
        <v>1053</v>
      </c>
      <c r="I591" s="4">
        <v>45862</v>
      </c>
      <c r="J591" s="8">
        <f t="shared" si="280"/>
        <v>2</v>
      </c>
      <c r="K591" s="8" t="str">
        <f t="shared" si="290"/>
        <v>OK</v>
      </c>
      <c r="L591" t="s">
        <v>1054</v>
      </c>
      <c r="M591" t="s">
        <v>92</v>
      </c>
      <c r="N591" t="str">
        <f t="shared" si="281"/>
        <v>Neha Gupta</v>
      </c>
      <c r="O591" t="s">
        <v>114</v>
      </c>
      <c r="P591" t="str">
        <f t="shared" si="304"/>
        <v>Home Office</v>
      </c>
      <c r="Q591" t="s">
        <v>61</v>
      </c>
      <c r="R591" t="str">
        <f t="shared" si="303"/>
        <v>South</v>
      </c>
      <c r="S591" t="str">
        <f t="shared" si="291"/>
        <v>OK</v>
      </c>
      <c r="T591" t="s">
        <v>99</v>
      </c>
      <c r="U591" t="str">
        <f t="shared" si="282"/>
        <v>Andhra Pradesh</v>
      </c>
      <c r="V591" t="s">
        <v>100</v>
      </c>
      <c r="W591" t="str">
        <f t="shared" si="283"/>
        <v>Vijayawada</v>
      </c>
      <c r="X591" t="str">
        <f t="shared" si="284"/>
        <v>Furniture</v>
      </c>
      <c r="Y591" t="s">
        <v>44</v>
      </c>
      <c r="Z591" t="s">
        <v>64</v>
      </c>
      <c r="AA591" t="str">
        <f t="shared" si="285"/>
        <v>Furnishings</v>
      </c>
      <c r="AB591" t="s">
        <v>1055</v>
      </c>
      <c r="AC591" t="s">
        <v>47</v>
      </c>
      <c r="AD591" t="str">
        <f t="shared" si="277"/>
        <v>Same Day</v>
      </c>
      <c r="AE591" t="str">
        <f t="shared" si="292"/>
        <v>OK</v>
      </c>
      <c r="AF591">
        <v>5</v>
      </c>
      <c r="AG591">
        <v>1922.83</v>
      </c>
      <c r="AH591">
        <v>0</v>
      </c>
      <c r="AI591">
        <f t="shared" si="293"/>
        <v>0</v>
      </c>
      <c r="AJ591" t="str">
        <f t="shared" si="294"/>
        <v>OK</v>
      </c>
      <c r="AK591">
        <v>9614.15</v>
      </c>
      <c r="AL591">
        <v>7576.84</v>
      </c>
      <c r="AM591">
        <v>2037.31</v>
      </c>
      <c r="AN591" t="s">
        <v>33</v>
      </c>
      <c r="AO591" t="str">
        <f t="shared" si="286"/>
        <v>PAID</v>
      </c>
      <c r="AP591" t="str">
        <f t="shared" si="295"/>
        <v>OK</v>
      </c>
      <c r="AQ591" t="s">
        <v>34</v>
      </c>
      <c r="AR591" t="str">
        <f t="shared" si="287"/>
        <v>COMPLETED</v>
      </c>
      <c r="AS591" t="str">
        <f t="shared" si="296"/>
        <v>OK</v>
      </c>
      <c r="AT591">
        <f t="shared" si="297"/>
        <v>9614.15</v>
      </c>
      <c r="AU591">
        <f t="shared" si="298"/>
        <v>2037.3099999999995</v>
      </c>
      <c r="AV591" s="6">
        <f t="shared" si="299"/>
        <v>5.4334496549356952E-2</v>
      </c>
      <c r="AW591" t="str">
        <f t="shared" si="300"/>
        <v>CLEAN</v>
      </c>
      <c r="AX591" s="10" t="str">
        <f t="shared" si="301"/>
        <v>MATCH</v>
      </c>
      <c r="AY591" t="str">
        <f t="shared" si="302"/>
        <v>MATCH</v>
      </c>
    </row>
    <row r="592" spans="1:51">
      <c r="A592" t="s">
        <v>1061</v>
      </c>
      <c r="B592">
        <f t="shared" si="278"/>
        <v>1</v>
      </c>
      <c r="C592" t="s">
        <v>368</v>
      </c>
      <c r="D592" s="2">
        <v>45747</v>
      </c>
      <c r="E592" t="str">
        <f t="shared" si="279"/>
        <v>2025/03/31</v>
      </c>
      <c r="F592" t="str">
        <f t="shared" si="288"/>
        <v>March</v>
      </c>
      <c r="G592">
        <f t="shared" si="289"/>
        <v>2025</v>
      </c>
      <c r="H592" t="s">
        <v>1062</v>
      </c>
      <c r="I592" s="4">
        <v>45842</v>
      </c>
      <c r="J592" s="8">
        <f t="shared" si="280"/>
        <v>95</v>
      </c>
      <c r="K592" s="8" t="str">
        <f t="shared" si="290"/>
        <v>OK</v>
      </c>
      <c r="L592" t="s">
        <v>563</v>
      </c>
      <c r="M592" t="s">
        <v>147</v>
      </c>
      <c r="N592" t="str">
        <f t="shared" si="281"/>
        <v>Rahul Verma</v>
      </c>
      <c r="O592" t="s">
        <v>700</v>
      </c>
      <c r="P592" t="str">
        <f t="shared" si="304"/>
        <v>Small Business</v>
      </c>
      <c r="Q592" t="s">
        <v>41</v>
      </c>
      <c r="R592" t="str">
        <f t="shared" si="303"/>
        <v>East</v>
      </c>
      <c r="S592" t="str">
        <f t="shared" si="291"/>
        <v>OK</v>
      </c>
      <c r="T592" t="s">
        <v>185</v>
      </c>
      <c r="U592" t="str">
        <f t="shared" si="282"/>
        <v>Bihar</v>
      </c>
      <c r="V592" t="s">
        <v>186</v>
      </c>
      <c r="W592" t="str">
        <f t="shared" si="283"/>
        <v>Patna</v>
      </c>
      <c r="X592" t="str">
        <f t="shared" si="284"/>
        <v>Office Supplies</v>
      </c>
      <c r="Y592" t="s">
        <v>29</v>
      </c>
      <c r="Z592" t="s">
        <v>155</v>
      </c>
      <c r="AA592" t="str">
        <f t="shared" si="285"/>
        <v>Storage</v>
      </c>
      <c r="AB592" t="s">
        <v>1063</v>
      </c>
      <c r="AC592" t="s">
        <v>32</v>
      </c>
      <c r="AD592" t="str">
        <f t="shared" si="277"/>
        <v>Second Class</v>
      </c>
      <c r="AE592" t="str">
        <f t="shared" si="292"/>
        <v>OK</v>
      </c>
      <c r="AF592">
        <v>5</v>
      </c>
      <c r="AG592">
        <v>4096.4399999999996</v>
      </c>
      <c r="AH592">
        <v>0.15</v>
      </c>
      <c r="AI592">
        <f t="shared" si="293"/>
        <v>0.15</v>
      </c>
      <c r="AJ592" t="str">
        <f t="shared" si="294"/>
        <v>OK</v>
      </c>
      <c r="AK592">
        <v>17409.87</v>
      </c>
      <c r="AL592">
        <v>14076.25</v>
      </c>
      <c r="AM592">
        <v>3333.62</v>
      </c>
      <c r="AN592" t="s">
        <v>33</v>
      </c>
      <c r="AO592" t="str">
        <f t="shared" si="286"/>
        <v>PAID</v>
      </c>
      <c r="AP592" t="str">
        <f t="shared" si="295"/>
        <v>OK</v>
      </c>
      <c r="AQ592" t="s">
        <v>34</v>
      </c>
      <c r="AR592" t="str">
        <f t="shared" si="287"/>
        <v>COMPLETED</v>
      </c>
      <c r="AS592" t="str">
        <f t="shared" si="296"/>
        <v>OK</v>
      </c>
      <c r="AT592">
        <f t="shared" si="297"/>
        <v>17409.869999999995</v>
      </c>
      <c r="AU592">
        <f t="shared" si="298"/>
        <v>3333.6199999999953</v>
      </c>
      <c r="AV592" s="6">
        <f t="shared" si="299"/>
        <v>8.3075519805719408E-2</v>
      </c>
      <c r="AW592" t="str">
        <f t="shared" si="300"/>
        <v>CLEAN</v>
      </c>
      <c r="AX592" s="10" t="str">
        <f t="shared" si="301"/>
        <v>MATCH</v>
      </c>
      <c r="AY592" t="str">
        <f t="shared" si="302"/>
        <v>MATCH</v>
      </c>
    </row>
    <row r="593" spans="1:51">
      <c r="A593" t="s">
        <v>1073</v>
      </c>
      <c r="B593">
        <f t="shared" si="278"/>
        <v>1</v>
      </c>
      <c r="C593" t="s">
        <v>996</v>
      </c>
      <c r="D593" s="3">
        <v>45835</v>
      </c>
      <c r="E593" t="str">
        <f t="shared" si="279"/>
        <v>2025/06/27</v>
      </c>
      <c r="F593" t="str">
        <f t="shared" si="288"/>
        <v>June</v>
      </c>
      <c r="G593">
        <f t="shared" si="289"/>
        <v>2025</v>
      </c>
      <c r="H593" t="s">
        <v>1074</v>
      </c>
      <c r="I593" s="4">
        <v>45843</v>
      </c>
      <c r="J593" s="8">
        <f t="shared" si="280"/>
        <v>8</v>
      </c>
      <c r="K593" s="8" t="str">
        <f t="shared" si="290"/>
        <v>OK</v>
      </c>
      <c r="L593" t="s">
        <v>1075</v>
      </c>
      <c r="M593" t="s">
        <v>141</v>
      </c>
      <c r="N593" t="str">
        <f t="shared" si="281"/>
        <v>Priya Menon</v>
      </c>
      <c r="O593" t="s">
        <v>40</v>
      </c>
      <c r="P593" t="str">
        <f t="shared" si="304"/>
        <v>Small Business</v>
      </c>
      <c r="Q593" t="s">
        <v>26</v>
      </c>
      <c r="R593" t="str">
        <f t="shared" si="303"/>
        <v>North</v>
      </c>
      <c r="S593" t="str">
        <f t="shared" si="291"/>
        <v>OK</v>
      </c>
      <c r="T593" t="s">
        <v>27</v>
      </c>
      <c r="U593" t="str">
        <f t="shared" si="282"/>
        <v>Rajasthan</v>
      </c>
      <c r="V593" t="s">
        <v>28</v>
      </c>
      <c r="W593" t="str">
        <f t="shared" si="283"/>
        <v>Jaipur</v>
      </c>
      <c r="X593" t="str">
        <f t="shared" si="284"/>
        <v>Technology</v>
      </c>
      <c r="Y593" t="s">
        <v>85</v>
      </c>
      <c r="Z593" t="s">
        <v>93</v>
      </c>
      <c r="AA593" t="str">
        <f t="shared" si="285"/>
        <v>Copiers</v>
      </c>
      <c r="AB593" t="s">
        <v>1076</v>
      </c>
      <c r="AC593" t="s">
        <v>55</v>
      </c>
      <c r="AD593" t="str">
        <f t="shared" si="277"/>
        <v>First Class</v>
      </c>
      <c r="AE593" t="str">
        <f t="shared" si="292"/>
        <v>OK</v>
      </c>
      <c r="AF593">
        <v>5</v>
      </c>
      <c r="AG593">
        <v>2868.44</v>
      </c>
      <c r="AH593">
        <v>0.1</v>
      </c>
      <c r="AI593">
        <f t="shared" si="293"/>
        <v>0.1</v>
      </c>
      <c r="AJ593" t="str">
        <f t="shared" si="294"/>
        <v>OK</v>
      </c>
      <c r="AK593">
        <v>12907.98</v>
      </c>
      <c r="AL593">
        <v>9197.08</v>
      </c>
      <c r="AM593">
        <v>3710.9</v>
      </c>
      <c r="AN593" t="s">
        <v>136</v>
      </c>
      <c r="AO593" t="str">
        <f t="shared" si="286"/>
        <v>PENDING</v>
      </c>
      <c r="AP593" t="str">
        <f t="shared" si="295"/>
        <v>OK</v>
      </c>
      <c r="AQ593" t="s">
        <v>77</v>
      </c>
      <c r="AR593" t="str">
        <f t="shared" si="287"/>
        <v>CANCELLED</v>
      </c>
      <c r="AS593" t="str">
        <f t="shared" si="296"/>
        <v>EXCLUDE_FROM_SALES</v>
      </c>
      <c r="AT593">
        <f t="shared" si="297"/>
        <v>12907.980000000001</v>
      </c>
      <c r="AU593">
        <f t="shared" si="298"/>
        <v>3710.9000000000015</v>
      </c>
      <c r="AV593" s="6">
        <f t="shared" si="299"/>
        <v>0.11933036772601137</v>
      </c>
      <c r="AW593" t="str">
        <f t="shared" si="300"/>
        <v>CLEAN</v>
      </c>
      <c r="AX593" s="10" t="str">
        <f t="shared" si="301"/>
        <v>MATCH</v>
      </c>
      <c r="AY593" t="str">
        <f t="shared" si="302"/>
        <v>MATCH</v>
      </c>
    </row>
    <row r="594" spans="1:51">
      <c r="A594" t="s">
        <v>1077</v>
      </c>
      <c r="B594">
        <f t="shared" si="278"/>
        <v>1</v>
      </c>
      <c r="C594" t="s">
        <v>1078</v>
      </c>
      <c r="D594" s="3">
        <v>45864</v>
      </c>
      <c r="E594" t="str">
        <f t="shared" si="279"/>
        <v>2025/07/26</v>
      </c>
      <c r="F594" t="str">
        <f t="shared" si="288"/>
        <v>July</v>
      </c>
      <c r="G594">
        <f t="shared" si="289"/>
        <v>2025</v>
      </c>
      <c r="H594" t="s">
        <v>1079</v>
      </c>
      <c r="I594" s="4">
        <v>45872</v>
      </c>
      <c r="J594" s="8">
        <f t="shared" si="280"/>
        <v>8</v>
      </c>
      <c r="K594" s="8" t="str">
        <f t="shared" si="290"/>
        <v>OK</v>
      </c>
      <c r="L594" t="s">
        <v>1080</v>
      </c>
      <c r="M594" t="s">
        <v>82</v>
      </c>
      <c r="N594" t="str">
        <f t="shared" si="281"/>
        <v>Vikram Iyer</v>
      </c>
      <c r="O594" t="s">
        <v>25</v>
      </c>
      <c r="P594" t="str">
        <f t="shared" si="304"/>
        <v>Consumer</v>
      </c>
      <c r="Q594" t="s">
        <v>72</v>
      </c>
      <c r="R594" t="str">
        <f t="shared" si="303"/>
        <v>West</v>
      </c>
      <c r="S594" t="str">
        <f t="shared" si="291"/>
        <v>OK</v>
      </c>
      <c r="T594" t="s">
        <v>83</v>
      </c>
      <c r="U594" t="str">
        <f t="shared" si="282"/>
        <v>Madhya Pradesh</v>
      </c>
      <c r="V594" t="s">
        <v>84</v>
      </c>
      <c r="W594" t="str">
        <f t="shared" si="283"/>
        <v>Indore</v>
      </c>
      <c r="X594" t="str">
        <f t="shared" si="284"/>
        <v>Office Supplies</v>
      </c>
      <c r="Y594" t="s">
        <v>29</v>
      </c>
      <c r="Z594" t="s">
        <v>108</v>
      </c>
      <c r="AA594" t="str">
        <f t="shared" si="285"/>
        <v>Labels</v>
      </c>
      <c r="AB594" t="s">
        <v>1081</v>
      </c>
      <c r="AC594" t="s">
        <v>32</v>
      </c>
      <c r="AD594" t="str">
        <f t="shared" si="277"/>
        <v>Second Class</v>
      </c>
      <c r="AE594" t="str">
        <f t="shared" si="292"/>
        <v>OK</v>
      </c>
      <c r="AF594">
        <v>2</v>
      </c>
      <c r="AG594">
        <v>2503.5300000000002</v>
      </c>
      <c r="AH594">
        <v>-0.16</v>
      </c>
      <c r="AI594">
        <f t="shared" si="293"/>
        <v>-0.16</v>
      </c>
      <c r="AJ594" t="str">
        <f t="shared" si="294"/>
        <v>Invalid Negative Discount</v>
      </c>
      <c r="AK594">
        <v>4756.71</v>
      </c>
      <c r="AL594">
        <v>2954.86</v>
      </c>
      <c r="AM594">
        <v>1801.85</v>
      </c>
      <c r="AN594" t="s">
        <v>123</v>
      </c>
      <c r="AO594" t="str">
        <f t="shared" si="286"/>
        <v>REFUNDED</v>
      </c>
      <c r="AP594" t="str">
        <f t="shared" si="295"/>
        <v>REFUNDED_PAYMENT</v>
      </c>
      <c r="AQ594" t="s">
        <v>77</v>
      </c>
      <c r="AR594" t="str">
        <f t="shared" si="287"/>
        <v>CANCELLED</v>
      </c>
      <c r="AS594" t="str">
        <f t="shared" si="296"/>
        <v>EXCLUDE_FROM_SALES</v>
      </c>
      <c r="AT594" t="str">
        <f t="shared" si="297"/>
        <v>INVAILD</v>
      </c>
      <c r="AU594" t="str">
        <f t="shared" si="298"/>
        <v>INVAILD</v>
      </c>
      <c r="AW594" t="str">
        <f t="shared" si="300"/>
        <v>INVALID</v>
      </c>
      <c r="AX594" s="10" t="s">
        <v>4116</v>
      </c>
      <c r="AY594" t="s">
        <v>4116</v>
      </c>
    </row>
    <row r="595" spans="1:51">
      <c r="A595" t="s">
        <v>1082</v>
      </c>
      <c r="B595">
        <f t="shared" si="278"/>
        <v>1</v>
      </c>
      <c r="C595" t="s">
        <v>1083</v>
      </c>
      <c r="D595" s="3">
        <v>45744</v>
      </c>
      <c r="E595" t="str">
        <f t="shared" si="279"/>
        <v>2025/03/28</v>
      </c>
      <c r="F595" t="str">
        <f t="shared" si="288"/>
        <v>March</v>
      </c>
      <c r="G595">
        <f t="shared" si="289"/>
        <v>2025</v>
      </c>
      <c r="H595" t="s">
        <v>1084</v>
      </c>
      <c r="I595" s="4">
        <v>45744</v>
      </c>
      <c r="J595" s="8">
        <f t="shared" si="280"/>
        <v>0</v>
      </c>
      <c r="K595" s="8" t="str">
        <f t="shared" si="290"/>
        <v>OK</v>
      </c>
      <c r="L595" t="s">
        <v>1085</v>
      </c>
      <c r="M595" t="s">
        <v>167</v>
      </c>
      <c r="N595" t="str">
        <f t="shared" si="281"/>
        <v>Sneha Kapoor</v>
      </c>
      <c r="O595" t="s">
        <v>107</v>
      </c>
      <c r="P595" t="str">
        <f t="shared" si="304"/>
        <v>Corporate</v>
      </c>
      <c r="Q595" t="s">
        <v>72</v>
      </c>
      <c r="R595" t="str">
        <f t="shared" si="303"/>
        <v>West</v>
      </c>
      <c r="S595" t="str">
        <f t="shared" si="291"/>
        <v>OK</v>
      </c>
      <c r="T595" t="s">
        <v>248</v>
      </c>
      <c r="U595" t="str">
        <f t="shared" si="282"/>
        <v>Goa</v>
      </c>
      <c r="V595" t="s">
        <v>249</v>
      </c>
      <c r="W595" t="str">
        <f t="shared" si="283"/>
        <v>Panaji</v>
      </c>
      <c r="X595" t="str">
        <f t="shared" si="284"/>
        <v>Technology</v>
      </c>
      <c r="Y595" t="s">
        <v>85</v>
      </c>
      <c r="Z595" t="s">
        <v>86</v>
      </c>
      <c r="AA595" t="str">
        <f t="shared" si="285"/>
        <v>Accessories</v>
      </c>
      <c r="AB595" t="s">
        <v>1086</v>
      </c>
      <c r="AC595" t="s">
        <v>66</v>
      </c>
      <c r="AD595" t="str">
        <f t="shared" si="277"/>
        <v>Standard Class</v>
      </c>
      <c r="AE595" t="str">
        <f t="shared" si="292"/>
        <v>OK</v>
      </c>
      <c r="AF595">
        <v>8</v>
      </c>
      <c r="AG595">
        <v>1740.94</v>
      </c>
      <c r="AH595">
        <v>0.05</v>
      </c>
      <c r="AI595">
        <f t="shared" si="293"/>
        <v>0.05</v>
      </c>
      <c r="AJ595" t="str">
        <f t="shared" si="294"/>
        <v>OK</v>
      </c>
      <c r="AK595">
        <v>13231.14</v>
      </c>
      <c r="AL595">
        <v>11290.06</v>
      </c>
      <c r="AM595">
        <v>1941.08</v>
      </c>
      <c r="AN595" t="s">
        <v>33</v>
      </c>
      <c r="AO595" t="str">
        <f t="shared" si="286"/>
        <v>PAID</v>
      </c>
      <c r="AP595" t="str">
        <f t="shared" si="295"/>
        <v>OK</v>
      </c>
      <c r="AQ595" t="s">
        <v>34</v>
      </c>
      <c r="AR595" t="str">
        <f t="shared" si="287"/>
        <v>COMPLETED</v>
      </c>
      <c r="AS595" t="str">
        <f t="shared" si="296"/>
        <v>OK</v>
      </c>
      <c r="AT595">
        <f t="shared" si="297"/>
        <v>13231.144</v>
      </c>
      <c r="AU595">
        <f t="shared" si="298"/>
        <v>1941.0840000000007</v>
      </c>
      <c r="AV595" s="6">
        <f t="shared" si="299"/>
        <v>9.4614645566551137E-2</v>
      </c>
      <c r="AW595" t="str">
        <f t="shared" si="300"/>
        <v>CLEAN</v>
      </c>
      <c r="AX595" s="10" t="str">
        <f t="shared" si="301"/>
        <v>MATCH</v>
      </c>
      <c r="AY595" t="str">
        <f t="shared" si="302"/>
        <v>MATCH</v>
      </c>
    </row>
    <row r="596" spans="1:51">
      <c r="A596" t="s">
        <v>1092</v>
      </c>
      <c r="B596">
        <f t="shared" si="278"/>
        <v>1</v>
      </c>
      <c r="C596" t="s">
        <v>1093</v>
      </c>
      <c r="D596" s="3">
        <v>45858</v>
      </c>
      <c r="E596" t="str">
        <f t="shared" si="279"/>
        <v>2025/07/20</v>
      </c>
      <c r="F596" t="str">
        <f t="shared" si="288"/>
        <v>July</v>
      </c>
      <c r="G596">
        <f t="shared" si="289"/>
        <v>2025</v>
      </c>
      <c r="H596" t="s">
        <v>1094</v>
      </c>
      <c r="I596" s="4">
        <v>45861</v>
      </c>
      <c r="J596" s="8">
        <f t="shared" si="280"/>
        <v>3</v>
      </c>
      <c r="K596" s="8" t="str">
        <f t="shared" si="290"/>
        <v>OK</v>
      </c>
      <c r="L596" t="s">
        <v>1095</v>
      </c>
      <c r="M596" t="s">
        <v>39</v>
      </c>
      <c r="N596" t="str">
        <f t="shared" si="281"/>
        <v>Mira Das</v>
      </c>
      <c r="O596" t="s">
        <v>114</v>
      </c>
      <c r="P596" t="str">
        <f t="shared" si="304"/>
        <v>Home Office</v>
      </c>
      <c r="Q596" t="s">
        <v>41</v>
      </c>
      <c r="R596" t="str">
        <f t="shared" si="303"/>
        <v>East</v>
      </c>
      <c r="S596" t="str">
        <f t="shared" si="291"/>
        <v>OK</v>
      </c>
      <c r="T596" t="s">
        <v>120</v>
      </c>
      <c r="U596" t="str">
        <f t="shared" si="282"/>
        <v>West Bengal</v>
      </c>
      <c r="V596" t="s">
        <v>121</v>
      </c>
      <c r="W596" t="str">
        <f t="shared" si="283"/>
        <v>Kolkata</v>
      </c>
      <c r="X596" t="str">
        <f t="shared" si="284"/>
        <v>Furniture</v>
      </c>
      <c r="Y596" t="s">
        <v>44</v>
      </c>
      <c r="Z596" t="s">
        <v>45</v>
      </c>
      <c r="AA596" t="str">
        <f t="shared" si="285"/>
        <v>Tables</v>
      </c>
      <c r="AB596" t="s">
        <v>1096</v>
      </c>
      <c r="AC596" t="s">
        <v>32</v>
      </c>
      <c r="AD596" t="str">
        <f t="shared" si="277"/>
        <v>Second Class</v>
      </c>
      <c r="AE596" t="str">
        <f t="shared" si="292"/>
        <v>OK</v>
      </c>
      <c r="AF596">
        <v>4</v>
      </c>
      <c r="AG596">
        <v>477.69</v>
      </c>
      <c r="AH596">
        <v>0.15</v>
      </c>
      <c r="AI596">
        <f t="shared" si="293"/>
        <v>0.15</v>
      </c>
      <c r="AJ596" t="str">
        <f t="shared" si="294"/>
        <v>OK</v>
      </c>
      <c r="AK596">
        <v>1624.15</v>
      </c>
      <c r="AL596">
        <v>1217.99</v>
      </c>
      <c r="AM596">
        <v>406.16</v>
      </c>
      <c r="AN596" t="s">
        <v>33</v>
      </c>
      <c r="AO596" t="str">
        <f t="shared" si="286"/>
        <v>PAID</v>
      </c>
      <c r="AP596" t="str">
        <f t="shared" si="295"/>
        <v>OK</v>
      </c>
      <c r="AQ596" t="s">
        <v>34</v>
      </c>
      <c r="AR596" t="str">
        <f t="shared" si="287"/>
        <v>COMPLETED</v>
      </c>
      <c r="AS596" t="str">
        <f t="shared" si="296"/>
        <v>OK</v>
      </c>
      <c r="AT596">
        <f t="shared" si="297"/>
        <v>1624.146</v>
      </c>
      <c r="AU596">
        <f t="shared" si="298"/>
        <v>406.15599999999995</v>
      </c>
      <c r="AV596" s="6">
        <f t="shared" si="299"/>
        <v>0.44691302382913872</v>
      </c>
      <c r="AW596" t="str">
        <f t="shared" si="300"/>
        <v>CLEAN</v>
      </c>
      <c r="AX596" s="10" t="str">
        <f t="shared" si="301"/>
        <v>MATCH</v>
      </c>
      <c r="AY596" t="str">
        <f t="shared" si="302"/>
        <v>MATCH</v>
      </c>
    </row>
    <row r="597" spans="1:51">
      <c r="A597" t="s">
        <v>1097</v>
      </c>
      <c r="B597">
        <f t="shared" si="278"/>
        <v>1</v>
      </c>
      <c r="C597" t="s">
        <v>1098</v>
      </c>
      <c r="D597" s="3">
        <v>45768</v>
      </c>
      <c r="E597" t="str">
        <f t="shared" si="279"/>
        <v>2025/04/21</v>
      </c>
      <c r="F597" t="str">
        <f t="shared" si="288"/>
        <v>April</v>
      </c>
      <c r="G597">
        <f t="shared" si="289"/>
        <v>2025</v>
      </c>
      <c r="H597" t="s">
        <v>1099</v>
      </c>
      <c r="I597" s="4">
        <v>45773</v>
      </c>
      <c r="J597" s="8">
        <f t="shared" si="280"/>
        <v>5</v>
      </c>
      <c r="K597" s="8" t="str">
        <f t="shared" si="290"/>
        <v>OK</v>
      </c>
      <c r="L597" t="s">
        <v>1100</v>
      </c>
      <c r="M597" t="s">
        <v>71</v>
      </c>
      <c r="N597" t="str">
        <f t="shared" si="281"/>
        <v>Ananya Rao</v>
      </c>
      <c r="O597" t="s">
        <v>25</v>
      </c>
      <c r="P597" t="str">
        <f t="shared" si="304"/>
        <v>Consumer</v>
      </c>
      <c r="Q597" t="s">
        <v>72</v>
      </c>
      <c r="R597" t="str">
        <f t="shared" si="303"/>
        <v>West</v>
      </c>
      <c r="S597" t="str">
        <f t="shared" si="291"/>
        <v>OK</v>
      </c>
      <c r="T597" t="s">
        <v>73</v>
      </c>
      <c r="U597" t="str">
        <f t="shared" si="282"/>
        <v>Maharashtra</v>
      </c>
      <c r="V597" t="s">
        <v>74</v>
      </c>
      <c r="W597" t="str">
        <f t="shared" si="283"/>
        <v>Mumbai</v>
      </c>
      <c r="X597" t="str">
        <f t="shared" si="284"/>
        <v>Office Supplies</v>
      </c>
      <c r="Y597" t="s">
        <v>917</v>
      </c>
      <c r="Z597" t="s">
        <v>108</v>
      </c>
      <c r="AA597" t="str">
        <f t="shared" si="285"/>
        <v>Labels</v>
      </c>
      <c r="AB597" t="s">
        <v>1101</v>
      </c>
      <c r="AC597" t="s">
        <v>47</v>
      </c>
      <c r="AD597" t="str">
        <f t="shared" si="277"/>
        <v>Same Day</v>
      </c>
      <c r="AE597" t="str">
        <f t="shared" si="292"/>
        <v>OK</v>
      </c>
      <c r="AF597">
        <v>6</v>
      </c>
      <c r="AG597">
        <v>873.59</v>
      </c>
      <c r="AH597">
        <v>0.2</v>
      </c>
      <c r="AI597">
        <f t="shared" si="293"/>
        <v>0.2</v>
      </c>
      <c r="AJ597" t="str">
        <f t="shared" si="294"/>
        <v>OK</v>
      </c>
      <c r="AK597">
        <v>4193.2299999999996</v>
      </c>
      <c r="AL597">
        <v>3329.99</v>
      </c>
      <c r="AM597">
        <v>863.24</v>
      </c>
      <c r="AN597" t="s">
        <v>33</v>
      </c>
      <c r="AO597" t="str">
        <f t="shared" si="286"/>
        <v>PAID</v>
      </c>
      <c r="AP597" t="str">
        <f t="shared" si="295"/>
        <v>OK</v>
      </c>
      <c r="AQ597" t="s">
        <v>34</v>
      </c>
      <c r="AR597" t="str">
        <f t="shared" si="287"/>
        <v>COMPLETED</v>
      </c>
      <c r="AS597" t="str">
        <f t="shared" si="296"/>
        <v>OK</v>
      </c>
      <c r="AT597">
        <f t="shared" si="297"/>
        <v>4193.232</v>
      </c>
      <c r="AU597">
        <f t="shared" si="298"/>
        <v>863.24200000000019</v>
      </c>
      <c r="AV597" s="6">
        <f t="shared" si="299"/>
        <v>0.58917798967479018</v>
      </c>
      <c r="AW597" t="str">
        <f t="shared" si="300"/>
        <v>CLEAN</v>
      </c>
      <c r="AX597" s="10" t="str">
        <f t="shared" si="301"/>
        <v>MATCH</v>
      </c>
      <c r="AY597" t="str">
        <f t="shared" si="302"/>
        <v>MATCH</v>
      </c>
    </row>
    <row r="598" spans="1:51">
      <c r="A598" t="s">
        <v>1102</v>
      </c>
      <c r="B598">
        <f t="shared" si="278"/>
        <v>1</v>
      </c>
      <c r="C598" t="s">
        <v>1103</v>
      </c>
      <c r="D598" s="3">
        <v>45795</v>
      </c>
      <c r="E598" t="str">
        <f t="shared" si="279"/>
        <v>2025/05/18</v>
      </c>
      <c r="F598" t="str">
        <f t="shared" si="288"/>
        <v>May</v>
      </c>
      <c r="G598">
        <f t="shared" si="289"/>
        <v>2025</v>
      </c>
      <c r="H598" t="s">
        <v>117</v>
      </c>
      <c r="I598" s="4">
        <v>45797</v>
      </c>
      <c r="J598" s="8">
        <f t="shared" si="280"/>
        <v>2</v>
      </c>
      <c r="K598" s="8" t="str">
        <f t="shared" si="290"/>
        <v>OK</v>
      </c>
      <c r="L598" t="s">
        <v>1104</v>
      </c>
      <c r="M598" t="s">
        <v>209</v>
      </c>
      <c r="N598" t="str">
        <f t="shared" si="281"/>
        <v>Diya Patel</v>
      </c>
      <c r="O598" t="s">
        <v>40</v>
      </c>
      <c r="P598" t="str">
        <f t="shared" si="304"/>
        <v>Small Business</v>
      </c>
      <c r="Q598" t="s">
        <v>26</v>
      </c>
      <c r="R598" t="str">
        <f t="shared" si="303"/>
        <v>North</v>
      </c>
      <c r="S598" t="str">
        <f t="shared" si="291"/>
        <v>OK</v>
      </c>
      <c r="T598" t="s">
        <v>173</v>
      </c>
      <c r="U598" t="str">
        <f t="shared" si="282"/>
        <v>Uttar Pradesh</v>
      </c>
      <c r="V598" t="s">
        <v>174</v>
      </c>
      <c r="W598" t="str">
        <f t="shared" si="283"/>
        <v>Noida</v>
      </c>
      <c r="X598" t="str">
        <f t="shared" si="284"/>
        <v>Furniture</v>
      </c>
      <c r="Y598" t="s">
        <v>44</v>
      </c>
      <c r="Z598" t="s">
        <v>64</v>
      </c>
      <c r="AA598" t="str">
        <f t="shared" si="285"/>
        <v>Furnishings</v>
      </c>
      <c r="AB598" t="s">
        <v>1105</v>
      </c>
      <c r="AC598" t="s">
        <v>55</v>
      </c>
      <c r="AD598" t="str">
        <f t="shared" si="277"/>
        <v>First Class</v>
      </c>
      <c r="AE598" t="str">
        <f t="shared" si="292"/>
        <v>OK</v>
      </c>
      <c r="AF598">
        <v>2</v>
      </c>
      <c r="AG598">
        <v>215.13</v>
      </c>
      <c r="AH598">
        <v>0</v>
      </c>
      <c r="AI598">
        <f t="shared" si="293"/>
        <v>0</v>
      </c>
      <c r="AJ598" t="str">
        <f t="shared" si="294"/>
        <v>OK</v>
      </c>
      <c r="AK598">
        <v>430.26</v>
      </c>
      <c r="AL598">
        <v>286.38</v>
      </c>
      <c r="AM598">
        <v>143.88</v>
      </c>
      <c r="AN598" t="s">
        <v>33</v>
      </c>
      <c r="AO598" t="str">
        <f t="shared" si="286"/>
        <v>PAID</v>
      </c>
      <c r="AP598" t="str">
        <f t="shared" si="295"/>
        <v>OK</v>
      </c>
      <c r="AQ598" t="s">
        <v>34</v>
      </c>
      <c r="AR598" t="str">
        <f t="shared" si="287"/>
        <v>COMPLETED</v>
      </c>
      <c r="AS598" t="str">
        <f t="shared" si="296"/>
        <v>OK</v>
      </c>
      <c r="AT598">
        <f t="shared" si="297"/>
        <v>430.26</v>
      </c>
      <c r="AU598">
        <f t="shared" si="298"/>
        <v>143.88</v>
      </c>
      <c r="AV598" s="6">
        <f t="shared" si="299"/>
        <v>8.0785571514897949</v>
      </c>
      <c r="AW598" t="str">
        <f t="shared" si="300"/>
        <v>CLEAN</v>
      </c>
      <c r="AX598" s="10" t="str">
        <f t="shared" si="301"/>
        <v>MATCH</v>
      </c>
      <c r="AY598" t="str">
        <f t="shared" si="302"/>
        <v>MATCH</v>
      </c>
    </row>
    <row r="599" spans="1:51">
      <c r="A599" t="s">
        <v>1111</v>
      </c>
      <c r="B599">
        <f t="shared" si="278"/>
        <v>1</v>
      </c>
      <c r="C599" t="s">
        <v>1112</v>
      </c>
      <c r="D599" s="3">
        <v>45837</v>
      </c>
      <c r="E599" t="str">
        <f t="shared" si="279"/>
        <v>2025/06/29</v>
      </c>
      <c r="F599" t="str">
        <f t="shared" si="288"/>
        <v>June</v>
      </c>
      <c r="G599">
        <f t="shared" si="289"/>
        <v>2025</v>
      </c>
      <c r="H599" t="s">
        <v>1113</v>
      </c>
      <c r="I599" s="4">
        <v>45784</v>
      </c>
      <c r="J599" s="8">
        <f t="shared" si="280"/>
        <v>-53</v>
      </c>
      <c r="K599" s="8" t="str">
        <f t="shared" si="290"/>
        <v>INVAILD_SHIPPING</v>
      </c>
      <c r="L599" t="s">
        <v>1114</v>
      </c>
      <c r="M599" t="s">
        <v>209</v>
      </c>
      <c r="N599" t="str">
        <f t="shared" si="281"/>
        <v>Diya Patel</v>
      </c>
      <c r="O599" t="s">
        <v>25</v>
      </c>
      <c r="P599" t="str">
        <f t="shared" si="304"/>
        <v>Consumer</v>
      </c>
      <c r="Q599" t="s">
        <v>26</v>
      </c>
      <c r="R599" t="str">
        <f t="shared" si="303"/>
        <v>North</v>
      </c>
      <c r="S599" t="str">
        <f t="shared" si="291"/>
        <v>OK</v>
      </c>
      <c r="T599" t="s">
        <v>153</v>
      </c>
      <c r="U599" t="str">
        <f t="shared" si="282"/>
        <v>Punjab</v>
      </c>
      <c r="V599" t="s">
        <v>154</v>
      </c>
      <c r="W599" t="str">
        <f t="shared" si="283"/>
        <v>Ludhiana</v>
      </c>
      <c r="X599" t="str">
        <f t="shared" si="284"/>
        <v>Furniture</v>
      </c>
      <c r="Y599" t="s">
        <v>44</v>
      </c>
      <c r="Z599" t="s">
        <v>75</v>
      </c>
      <c r="AA599" t="str">
        <f t="shared" si="285"/>
        <v>Chairs</v>
      </c>
      <c r="AB599" t="s">
        <v>1115</v>
      </c>
      <c r="AC599" t="s">
        <v>47</v>
      </c>
      <c r="AD599" t="str">
        <f t="shared" si="277"/>
        <v>Same Day</v>
      </c>
      <c r="AE599" t="str">
        <f t="shared" si="292"/>
        <v>OK</v>
      </c>
      <c r="AF599">
        <v>1</v>
      </c>
      <c r="AG599">
        <v>999.83</v>
      </c>
      <c r="AH599">
        <v>0</v>
      </c>
      <c r="AI599">
        <f t="shared" si="293"/>
        <v>0</v>
      </c>
      <c r="AJ599" t="str">
        <f t="shared" si="294"/>
        <v>OK</v>
      </c>
      <c r="AK599">
        <v>999.83</v>
      </c>
      <c r="AL599">
        <v>634.91</v>
      </c>
      <c r="AM599">
        <v>364.92</v>
      </c>
      <c r="AN599" t="s">
        <v>33</v>
      </c>
      <c r="AO599" t="str">
        <f t="shared" si="286"/>
        <v>PAID</v>
      </c>
      <c r="AP599" t="str">
        <f t="shared" si="295"/>
        <v>OK</v>
      </c>
      <c r="AQ599" t="s">
        <v>34</v>
      </c>
      <c r="AR599" t="str">
        <f t="shared" si="287"/>
        <v>COMPLETED</v>
      </c>
      <c r="AS599" t="str">
        <f t="shared" si="296"/>
        <v>OK</v>
      </c>
      <c r="AT599">
        <f t="shared" si="297"/>
        <v>999.83</v>
      </c>
      <c r="AU599">
        <f t="shared" si="298"/>
        <v>364.92000000000007</v>
      </c>
      <c r="AV599" s="6">
        <f t="shared" si="299"/>
        <v>1.3788644069491813</v>
      </c>
      <c r="AW599" t="str">
        <f t="shared" si="300"/>
        <v>CLEAN</v>
      </c>
      <c r="AX599" s="10" t="str">
        <f t="shared" si="301"/>
        <v>MATCH</v>
      </c>
      <c r="AY599" t="str">
        <f t="shared" si="302"/>
        <v>MATCH</v>
      </c>
    </row>
    <row r="600" spans="1:51">
      <c r="A600" t="s">
        <v>1116</v>
      </c>
      <c r="B600">
        <f t="shared" si="278"/>
        <v>1</v>
      </c>
      <c r="C600" t="s">
        <v>1117</v>
      </c>
      <c r="D600" s="3">
        <v>45882</v>
      </c>
      <c r="E600" t="str">
        <f t="shared" si="279"/>
        <v>2025/08/13</v>
      </c>
      <c r="F600" t="str">
        <f t="shared" si="288"/>
        <v>August</v>
      </c>
      <c r="G600">
        <f t="shared" si="289"/>
        <v>2025</v>
      </c>
      <c r="H600" t="s">
        <v>1118</v>
      </c>
      <c r="I600" s="4">
        <v>45883</v>
      </c>
      <c r="J600" s="8">
        <f t="shared" si="280"/>
        <v>1</v>
      </c>
      <c r="K600" s="8" t="str">
        <f t="shared" si="290"/>
        <v>OK</v>
      </c>
      <c r="L600" t="s">
        <v>1119</v>
      </c>
      <c r="M600" t="s">
        <v>179</v>
      </c>
      <c r="N600" t="str">
        <f t="shared" si="281"/>
        <v>Rohan Mehta</v>
      </c>
      <c r="O600" t="s">
        <v>40</v>
      </c>
      <c r="P600" t="str">
        <f t="shared" si="304"/>
        <v>Small Business</v>
      </c>
      <c r="Q600" t="s">
        <v>61</v>
      </c>
      <c r="R600" t="str">
        <f t="shared" si="303"/>
        <v>South</v>
      </c>
      <c r="S600" t="str">
        <f t="shared" si="291"/>
        <v>OK</v>
      </c>
      <c r="T600" t="s">
        <v>99</v>
      </c>
      <c r="U600" t="str">
        <f t="shared" si="282"/>
        <v>Andhra Pradesh</v>
      </c>
      <c r="V600" t="s">
        <v>100</v>
      </c>
      <c r="W600" t="str">
        <f t="shared" si="283"/>
        <v>Vijayawada</v>
      </c>
      <c r="X600" t="str">
        <f t="shared" si="284"/>
        <v>Office Supplies</v>
      </c>
      <c r="Y600" t="s">
        <v>29</v>
      </c>
      <c r="Z600" t="s">
        <v>30</v>
      </c>
      <c r="AA600" t="str">
        <f t="shared" si="285"/>
        <v>Paper</v>
      </c>
      <c r="AB600" t="s">
        <v>1120</v>
      </c>
      <c r="AC600" t="s">
        <v>55</v>
      </c>
      <c r="AD600" t="str">
        <f t="shared" si="277"/>
        <v>First Class</v>
      </c>
      <c r="AE600" t="str">
        <f t="shared" si="292"/>
        <v>OK</v>
      </c>
      <c r="AF600">
        <v>9</v>
      </c>
      <c r="AG600">
        <v>864.98</v>
      </c>
      <c r="AH600">
        <v>0.1</v>
      </c>
      <c r="AI600">
        <f t="shared" si="293"/>
        <v>0.1</v>
      </c>
      <c r="AJ600" t="str">
        <f t="shared" si="294"/>
        <v>OK</v>
      </c>
      <c r="AK600">
        <v>7006.34</v>
      </c>
      <c r="AL600">
        <v>4640.88</v>
      </c>
      <c r="AM600">
        <v>2365.46</v>
      </c>
      <c r="AN600" t="s">
        <v>33</v>
      </c>
      <c r="AO600" t="str">
        <f t="shared" si="286"/>
        <v>PAID</v>
      </c>
      <c r="AP600" t="str">
        <f t="shared" si="295"/>
        <v>OK</v>
      </c>
      <c r="AQ600" t="s">
        <v>34</v>
      </c>
      <c r="AR600" t="str">
        <f t="shared" si="287"/>
        <v>COMPLETED</v>
      </c>
      <c r="AS600" t="str">
        <f t="shared" si="296"/>
        <v>OK</v>
      </c>
      <c r="AT600">
        <f t="shared" si="297"/>
        <v>7006.3379999999997</v>
      </c>
      <c r="AU600">
        <f t="shared" si="298"/>
        <v>2365.4579999999996</v>
      </c>
      <c r="AV600" s="6">
        <f t="shared" si="299"/>
        <v>0.61640331939452553</v>
      </c>
      <c r="AW600" t="str">
        <f t="shared" si="300"/>
        <v>CLEAN</v>
      </c>
      <c r="AX600" s="10" t="str">
        <f t="shared" si="301"/>
        <v>MATCH</v>
      </c>
      <c r="AY600" t="str">
        <f t="shared" si="302"/>
        <v>MATCH</v>
      </c>
    </row>
    <row r="601" spans="1:51">
      <c r="A601" t="s">
        <v>1151</v>
      </c>
      <c r="B601">
        <f t="shared" si="278"/>
        <v>1</v>
      </c>
      <c r="C601" t="s">
        <v>89</v>
      </c>
      <c r="D601" s="3">
        <v>45934</v>
      </c>
      <c r="E601" t="str">
        <f t="shared" si="279"/>
        <v>2025/10/04</v>
      </c>
      <c r="F601" t="str">
        <f t="shared" si="288"/>
        <v>October</v>
      </c>
      <c r="G601">
        <f t="shared" si="289"/>
        <v>2025</v>
      </c>
      <c r="H601" t="s">
        <v>1152</v>
      </c>
      <c r="I601" s="4">
        <v>45762</v>
      </c>
      <c r="J601" s="8">
        <f t="shared" si="280"/>
        <v>-172</v>
      </c>
      <c r="K601" s="8" t="str">
        <f t="shared" si="290"/>
        <v>INVAILD_SHIPPING</v>
      </c>
      <c r="L601" t="s">
        <v>1153</v>
      </c>
      <c r="M601" t="s">
        <v>52</v>
      </c>
      <c r="N601" t="str">
        <f t="shared" si="281"/>
        <v>Isha Nair</v>
      </c>
      <c r="O601" t="s">
        <v>25</v>
      </c>
      <c r="P601" t="str">
        <f t="shared" si="304"/>
        <v>Consumer</v>
      </c>
      <c r="Q601" t="s">
        <v>72</v>
      </c>
      <c r="R601" t="str">
        <f t="shared" si="303"/>
        <v>West</v>
      </c>
      <c r="S601" t="str">
        <f t="shared" si="291"/>
        <v>OK</v>
      </c>
      <c r="T601" t="s">
        <v>234</v>
      </c>
      <c r="U601" t="str">
        <f t="shared" si="282"/>
        <v>Gujarat</v>
      </c>
      <c r="V601" t="s">
        <v>235</v>
      </c>
      <c r="W601" t="str">
        <f t="shared" si="283"/>
        <v>Ahmedabad</v>
      </c>
      <c r="X601" t="str">
        <f t="shared" si="284"/>
        <v>Furniture</v>
      </c>
      <c r="Y601" t="s">
        <v>44</v>
      </c>
      <c r="Z601" t="s">
        <v>45</v>
      </c>
      <c r="AA601" t="str">
        <f t="shared" si="285"/>
        <v>Tables</v>
      </c>
      <c r="AB601" t="s">
        <v>1154</v>
      </c>
      <c r="AC601" t="s">
        <v>66</v>
      </c>
      <c r="AD601" t="str">
        <f t="shared" si="277"/>
        <v>Standard Class</v>
      </c>
      <c r="AE601" t="str">
        <f t="shared" si="292"/>
        <v>OK</v>
      </c>
      <c r="AF601">
        <v>8</v>
      </c>
      <c r="AG601">
        <v>1839.87</v>
      </c>
      <c r="AH601">
        <v>0.25</v>
      </c>
      <c r="AI601">
        <f t="shared" si="293"/>
        <v>0.25</v>
      </c>
      <c r="AJ601" t="str">
        <f t="shared" si="294"/>
        <v>OK</v>
      </c>
      <c r="AK601">
        <v>11039.22</v>
      </c>
      <c r="AL601">
        <v>7642.91</v>
      </c>
      <c r="AM601">
        <v>3396.31</v>
      </c>
      <c r="AN601" t="s">
        <v>199</v>
      </c>
      <c r="AO601" t="str">
        <f t="shared" si="286"/>
        <v>FAILED</v>
      </c>
      <c r="AP601" t="str">
        <f t="shared" si="295"/>
        <v>EXCLUDE_FROM_SALES</v>
      </c>
      <c r="AQ601" t="s">
        <v>124</v>
      </c>
      <c r="AR601" t="str">
        <f t="shared" si="287"/>
        <v>RETURNED</v>
      </c>
      <c r="AS601" t="str">
        <f t="shared" si="296"/>
        <v>RETURNED_ORDER</v>
      </c>
      <c r="AT601">
        <f t="shared" si="297"/>
        <v>11039.22</v>
      </c>
      <c r="AU601">
        <f t="shared" si="298"/>
        <v>3396.3099999999995</v>
      </c>
      <c r="AV601" s="6">
        <f t="shared" si="299"/>
        <v>5.9810928670685111E-2</v>
      </c>
      <c r="AW601" t="str">
        <f t="shared" si="300"/>
        <v>CLEAN</v>
      </c>
      <c r="AX601" s="10" t="str">
        <f t="shared" si="301"/>
        <v>MATCH</v>
      </c>
      <c r="AY601" t="str">
        <f t="shared" si="302"/>
        <v>MATCH</v>
      </c>
    </row>
    <row r="602" spans="1:51">
      <c r="A602" t="s">
        <v>1155</v>
      </c>
      <c r="B602">
        <f t="shared" si="278"/>
        <v>1</v>
      </c>
      <c r="C602" t="s">
        <v>1156</v>
      </c>
      <c r="D602" s="3">
        <v>45748</v>
      </c>
      <c r="E602" t="str">
        <f t="shared" si="279"/>
        <v>2025/04/01</v>
      </c>
      <c r="F602" t="str">
        <f t="shared" si="288"/>
        <v>April</v>
      </c>
      <c r="G602">
        <f t="shared" si="289"/>
        <v>2025</v>
      </c>
      <c r="H602" t="s">
        <v>1157</v>
      </c>
      <c r="I602" s="4">
        <v>45755</v>
      </c>
      <c r="J602" s="8">
        <f t="shared" si="280"/>
        <v>7</v>
      </c>
      <c r="K602" s="8" t="str">
        <f t="shared" si="290"/>
        <v>OK</v>
      </c>
      <c r="L602" t="s">
        <v>1158</v>
      </c>
      <c r="M602" t="s">
        <v>106</v>
      </c>
      <c r="N602" t="str">
        <f t="shared" si="281"/>
        <v>Aditi Sen</v>
      </c>
      <c r="O602" t="s">
        <v>25</v>
      </c>
      <c r="P602" t="str">
        <f t="shared" si="304"/>
        <v>Consumer</v>
      </c>
      <c r="Q602" t="s">
        <v>41</v>
      </c>
      <c r="R602" t="str">
        <f t="shared" si="303"/>
        <v>East</v>
      </c>
      <c r="S602" t="str">
        <f t="shared" si="291"/>
        <v>OK</v>
      </c>
      <c r="T602" t="s">
        <v>42</v>
      </c>
      <c r="U602" t="str">
        <f t="shared" si="282"/>
        <v>Odisha</v>
      </c>
      <c r="V602" t="s">
        <v>43</v>
      </c>
      <c r="W602" t="str">
        <f t="shared" si="283"/>
        <v>Bhubaneswar</v>
      </c>
      <c r="X602" t="str">
        <f t="shared" si="284"/>
        <v>Furniture</v>
      </c>
      <c r="Y602" t="s">
        <v>44</v>
      </c>
      <c r="Z602" t="s">
        <v>203</v>
      </c>
      <c r="AA602" t="str">
        <f t="shared" si="285"/>
        <v>Bookcases</v>
      </c>
      <c r="AB602" t="s">
        <v>1159</v>
      </c>
      <c r="AC602" t="s">
        <v>32</v>
      </c>
      <c r="AD602" t="str">
        <f t="shared" si="277"/>
        <v>Second Class</v>
      </c>
      <c r="AE602" t="str">
        <f t="shared" si="292"/>
        <v>OK</v>
      </c>
      <c r="AF602">
        <v>5</v>
      </c>
      <c r="AG602">
        <v>1021.28</v>
      </c>
      <c r="AH602">
        <v>0.1</v>
      </c>
      <c r="AI602">
        <f t="shared" si="293"/>
        <v>0.1</v>
      </c>
      <c r="AJ602" t="str">
        <f t="shared" si="294"/>
        <v>OK</v>
      </c>
      <c r="AK602">
        <v>4595.76</v>
      </c>
      <c r="AL602">
        <v>3396.8</v>
      </c>
      <c r="AM602">
        <v>1198.96</v>
      </c>
      <c r="AN602" t="s">
        <v>123</v>
      </c>
      <c r="AO602" t="str">
        <f t="shared" si="286"/>
        <v>REFUNDED</v>
      </c>
      <c r="AP602" t="str">
        <f t="shared" si="295"/>
        <v>REFUNDED_PAYMENT</v>
      </c>
      <c r="AQ602" t="s">
        <v>77</v>
      </c>
      <c r="AR602" t="str">
        <f t="shared" si="287"/>
        <v>CANCELLED</v>
      </c>
      <c r="AS602" t="str">
        <f t="shared" si="296"/>
        <v>EXCLUDE_FROM_SALES</v>
      </c>
      <c r="AT602">
        <f t="shared" si="297"/>
        <v>4595.76</v>
      </c>
      <c r="AU602">
        <f t="shared" si="298"/>
        <v>1198.96</v>
      </c>
      <c r="AV602" s="6">
        <f t="shared" si="299"/>
        <v>1.0483771998537783</v>
      </c>
      <c r="AW602" t="str">
        <f t="shared" si="300"/>
        <v>CLEAN</v>
      </c>
      <c r="AX602" s="10" t="str">
        <f t="shared" si="301"/>
        <v>MATCH</v>
      </c>
      <c r="AY602" t="str">
        <f t="shared" si="302"/>
        <v>MATCH</v>
      </c>
    </row>
    <row r="603" spans="1:51">
      <c r="A603" t="s">
        <v>1160</v>
      </c>
      <c r="B603">
        <f t="shared" si="278"/>
        <v>1</v>
      </c>
      <c r="C603" t="s">
        <v>1161</v>
      </c>
      <c r="D603" s="2">
        <v>45714</v>
      </c>
      <c r="E603" t="str">
        <f t="shared" si="279"/>
        <v>2025/02/26</v>
      </c>
      <c r="F603" t="str">
        <f t="shared" si="288"/>
        <v>February</v>
      </c>
      <c r="G603">
        <f t="shared" si="289"/>
        <v>2025</v>
      </c>
      <c r="H603" t="s">
        <v>1162</v>
      </c>
      <c r="I603" s="4">
        <v>45715</v>
      </c>
      <c r="J603" s="8">
        <f t="shared" si="280"/>
        <v>1</v>
      </c>
      <c r="K603" s="8" t="str">
        <f t="shared" si="290"/>
        <v>OK</v>
      </c>
      <c r="L603" t="s">
        <v>1163</v>
      </c>
      <c r="M603" t="s">
        <v>141</v>
      </c>
      <c r="N603" t="str">
        <f t="shared" si="281"/>
        <v>Priya Menon</v>
      </c>
      <c r="O603" t="s">
        <v>107</v>
      </c>
      <c r="P603" t="str">
        <f t="shared" si="304"/>
        <v>Corporate</v>
      </c>
      <c r="Q603" t="s">
        <v>72</v>
      </c>
      <c r="R603" t="str">
        <f t="shared" si="303"/>
        <v>West</v>
      </c>
      <c r="S603" t="str">
        <f t="shared" si="291"/>
        <v>OK</v>
      </c>
      <c r="T603" t="s">
        <v>234</v>
      </c>
      <c r="U603" t="str">
        <f t="shared" si="282"/>
        <v>Gujarat</v>
      </c>
      <c r="V603" t="s">
        <v>235</v>
      </c>
      <c r="W603" t="str">
        <f t="shared" si="283"/>
        <v>Ahmedabad</v>
      </c>
      <c r="X603" t="str">
        <f t="shared" si="284"/>
        <v>Furniture</v>
      </c>
      <c r="Y603" t="s">
        <v>44</v>
      </c>
      <c r="Z603" t="s">
        <v>203</v>
      </c>
      <c r="AA603" t="str">
        <f t="shared" si="285"/>
        <v>Bookcases</v>
      </c>
      <c r="AB603" t="s">
        <v>1164</v>
      </c>
      <c r="AC603" t="s">
        <v>66</v>
      </c>
      <c r="AD603" t="str">
        <f t="shared" si="277"/>
        <v>Standard Class</v>
      </c>
      <c r="AE603" t="str">
        <f t="shared" si="292"/>
        <v>OK</v>
      </c>
      <c r="AF603">
        <v>5</v>
      </c>
      <c r="AG603">
        <v>258.27999999999997</v>
      </c>
      <c r="AH603">
        <v>0</v>
      </c>
      <c r="AI603">
        <f t="shared" si="293"/>
        <v>0</v>
      </c>
      <c r="AJ603" t="str">
        <f t="shared" si="294"/>
        <v>OK</v>
      </c>
      <c r="AK603">
        <v>1291.4000000000001</v>
      </c>
      <c r="AL603">
        <v>756.93</v>
      </c>
      <c r="AM603">
        <v>534.47</v>
      </c>
      <c r="AN603" t="s">
        <v>33</v>
      </c>
      <c r="AO603" t="str">
        <f t="shared" si="286"/>
        <v>PAID</v>
      </c>
      <c r="AP603" t="str">
        <f t="shared" si="295"/>
        <v>OK</v>
      </c>
      <c r="AQ603" t="s">
        <v>34</v>
      </c>
      <c r="AR603" t="str">
        <f t="shared" si="287"/>
        <v>COMPLETED</v>
      </c>
      <c r="AS603" t="str">
        <f t="shared" si="296"/>
        <v>OK</v>
      </c>
      <c r="AT603">
        <f t="shared" si="297"/>
        <v>1291.3999999999999</v>
      </c>
      <c r="AU603">
        <f t="shared" si="298"/>
        <v>534.46999999999991</v>
      </c>
      <c r="AV603" s="6">
        <f t="shared" si="299"/>
        <v>7.9694866036859215</v>
      </c>
      <c r="AW603" t="str">
        <f t="shared" si="300"/>
        <v>CLEAN</v>
      </c>
      <c r="AX603" s="10" t="str">
        <f t="shared" si="301"/>
        <v>MATCH</v>
      </c>
      <c r="AY603" t="str">
        <f t="shared" si="302"/>
        <v>MATCH</v>
      </c>
    </row>
    <row r="604" spans="1:51">
      <c r="A604" t="s">
        <v>1174</v>
      </c>
      <c r="B604">
        <f t="shared" si="278"/>
        <v>1</v>
      </c>
      <c r="C604" t="s">
        <v>1175</v>
      </c>
      <c r="D604" s="3">
        <v>45669</v>
      </c>
      <c r="E604" t="str">
        <f t="shared" si="279"/>
        <v>2025/01/12</v>
      </c>
      <c r="F604" t="str">
        <f t="shared" si="288"/>
        <v>January</v>
      </c>
      <c r="G604">
        <f t="shared" si="289"/>
        <v>2025</v>
      </c>
      <c r="H604" t="s">
        <v>1176</v>
      </c>
      <c r="I604" s="4">
        <v>45672</v>
      </c>
      <c r="J604" s="8">
        <f t="shared" si="280"/>
        <v>3</v>
      </c>
      <c r="K604" s="8" t="str">
        <f t="shared" si="290"/>
        <v>OK</v>
      </c>
      <c r="L604" t="s">
        <v>1177</v>
      </c>
      <c r="M604" t="s">
        <v>39</v>
      </c>
      <c r="N604" t="str">
        <f t="shared" si="281"/>
        <v>Mira Das</v>
      </c>
      <c r="O604" t="s">
        <v>107</v>
      </c>
      <c r="P604" t="str">
        <f t="shared" si="304"/>
        <v>Corporate</v>
      </c>
      <c r="Q604" t="s">
        <v>61</v>
      </c>
      <c r="R604" t="str">
        <f t="shared" si="303"/>
        <v>South</v>
      </c>
      <c r="S604" t="str">
        <f t="shared" si="291"/>
        <v>OK</v>
      </c>
      <c r="T604" t="s">
        <v>228</v>
      </c>
      <c r="U604" t="str">
        <f t="shared" si="282"/>
        <v>Karnataka</v>
      </c>
      <c r="V604" t="s">
        <v>229</v>
      </c>
      <c r="W604" t="str">
        <f t="shared" si="283"/>
        <v>Bengaluru</v>
      </c>
      <c r="X604" t="str">
        <f t="shared" si="284"/>
        <v>Furniture</v>
      </c>
      <c r="Y604" t="s">
        <v>44</v>
      </c>
      <c r="Z604" t="s">
        <v>75</v>
      </c>
      <c r="AA604" t="str">
        <f t="shared" si="285"/>
        <v>Chairs</v>
      </c>
      <c r="AB604" t="s">
        <v>1178</v>
      </c>
      <c r="AC604" t="s">
        <v>47</v>
      </c>
      <c r="AD604" t="str">
        <f t="shared" si="277"/>
        <v>Same Day</v>
      </c>
      <c r="AE604" t="str">
        <f t="shared" si="292"/>
        <v>OK</v>
      </c>
      <c r="AF604">
        <v>4</v>
      </c>
      <c r="AG604">
        <v>1531.53</v>
      </c>
      <c r="AH604">
        <v>0.2</v>
      </c>
      <c r="AI604">
        <f t="shared" si="293"/>
        <v>0.2</v>
      </c>
      <c r="AJ604" t="str">
        <f t="shared" si="294"/>
        <v>OK</v>
      </c>
      <c r="AK604">
        <v>4900.8999999999996</v>
      </c>
      <c r="AL604">
        <v>3552.69</v>
      </c>
      <c r="AM604">
        <v>1348.21</v>
      </c>
      <c r="AN604" t="s">
        <v>33</v>
      </c>
      <c r="AO604" t="str">
        <f t="shared" si="286"/>
        <v>PAID</v>
      </c>
      <c r="AP604" t="str">
        <f t="shared" si="295"/>
        <v>OK</v>
      </c>
      <c r="AQ604" t="s">
        <v>34</v>
      </c>
      <c r="AR604" t="str">
        <f t="shared" si="287"/>
        <v>COMPLETED</v>
      </c>
      <c r="AS604" t="str">
        <f t="shared" si="296"/>
        <v>OK</v>
      </c>
      <c r="AT604">
        <f t="shared" si="297"/>
        <v>4900.8959999999997</v>
      </c>
      <c r="AU604">
        <f t="shared" si="298"/>
        <v>1348.2059999999997</v>
      </c>
      <c r="AV604" s="6">
        <f t="shared" si="299"/>
        <v>0.58094479050361403</v>
      </c>
      <c r="AW604" t="str">
        <f t="shared" si="300"/>
        <v>CLEAN</v>
      </c>
      <c r="AX604" s="10" t="str">
        <f t="shared" si="301"/>
        <v>MATCH</v>
      </c>
      <c r="AY604" t="str">
        <f t="shared" si="302"/>
        <v>MATCH</v>
      </c>
    </row>
    <row r="605" spans="1:51">
      <c r="A605" t="s">
        <v>1179</v>
      </c>
      <c r="B605">
        <f t="shared" si="278"/>
        <v>1</v>
      </c>
      <c r="C605" t="s">
        <v>1180</v>
      </c>
      <c r="D605" s="3">
        <v>45776</v>
      </c>
      <c r="E605" t="str">
        <f t="shared" si="279"/>
        <v>2025/04/29</v>
      </c>
      <c r="F605" t="str">
        <f t="shared" si="288"/>
        <v>April</v>
      </c>
      <c r="G605">
        <f t="shared" si="289"/>
        <v>2025</v>
      </c>
      <c r="H605" t="s">
        <v>1012</v>
      </c>
      <c r="I605" s="4">
        <v>45779</v>
      </c>
      <c r="J605" s="8">
        <f t="shared" si="280"/>
        <v>3</v>
      </c>
      <c r="K605" s="8" t="str">
        <f t="shared" si="290"/>
        <v>OK</v>
      </c>
      <c r="L605" t="s">
        <v>1181</v>
      </c>
      <c r="M605" t="s">
        <v>82</v>
      </c>
      <c r="N605" t="str">
        <f t="shared" si="281"/>
        <v>Vikram Iyer</v>
      </c>
      <c r="O605" t="s">
        <v>40</v>
      </c>
      <c r="P605" t="str">
        <f t="shared" si="304"/>
        <v>Small Business</v>
      </c>
      <c r="Q605" t="s">
        <v>72</v>
      </c>
      <c r="R605" t="str">
        <f t="shared" si="303"/>
        <v>West</v>
      </c>
      <c r="S605" t="str">
        <f t="shared" si="291"/>
        <v>OK</v>
      </c>
      <c r="T605" t="s">
        <v>248</v>
      </c>
      <c r="U605" t="str">
        <f t="shared" si="282"/>
        <v>Goa</v>
      </c>
      <c r="V605" t="s">
        <v>249</v>
      </c>
      <c r="W605" t="str">
        <f t="shared" si="283"/>
        <v>Panaji</v>
      </c>
      <c r="X605" t="str">
        <f t="shared" si="284"/>
        <v>Office Supplies</v>
      </c>
      <c r="Y605" t="s">
        <v>29</v>
      </c>
      <c r="Z605" t="s">
        <v>155</v>
      </c>
      <c r="AA605" t="str">
        <f t="shared" si="285"/>
        <v>Storage</v>
      </c>
      <c r="AB605" t="s">
        <v>1182</v>
      </c>
      <c r="AC605" t="s">
        <v>55</v>
      </c>
      <c r="AD605" t="str">
        <f t="shared" ref="AD605:AD636" si="305">PROPER(TRIM(SUBSTITUTE(AC605,CHAR(160)," ")))</f>
        <v>First Class</v>
      </c>
      <c r="AE605" t="str">
        <f t="shared" si="292"/>
        <v>OK</v>
      </c>
      <c r="AF605">
        <v>6</v>
      </c>
      <c r="AG605">
        <v>4308.09</v>
      </c>
      <c r="AH605">
        <v>0</v>
      </c>
      <c r="AI605">
        <f t="shared" si="293"/>
        <v>0</v>
      </c>
      <c r="AJ605" t="str">
        <f t="shared" si="294"/>
        <v>OK</v>
      </c>
      <c r="AK605">
        <v>25848.54</v>
      </c>
      <c r="AL605">
        <v>17729.09</v>
      </c>
      <c r="AM605">
        <v>8119.45</v>
      </c>
      <c r="AN605" t="s">
        <v>33</v>
      </c>
      <c r="AO605" t="str">
        <f t="shared" si="286"/>
        <v>PAID</v>
      </c>
      <c r="AP605" t="str">
        <f t="shared" si="295"/>
        <v>OK</v>
      </c>
      <c r="AQ605" t="s">
        <v>34</v>
      </c>
      <c r="AR605" t="str">
        <f t="shared" si="287"/>
        <v>COMPLETED</v>
      </c>
      <c r="AS605" t="str">
        <f t="shared" si="296"/>
        <v>OK</v>
      </c>
      <c r="AT605">
        <f t="shared" si="297"/>
        <v>25848.54</v>
      </c>
      <c r="AU605">
        <f t="shared" si="298"/>
        <v>8119.4500000000007</v>
      </c>
      <c r="AV605" s="6">
        <f t="shared" si="299"/>
        <v>8.8275778825419177E-3</v>
      </c>
      <c r="AW605" t="str">
        <f t="shared" si="300"/>
        <v>CLEAN</v>
      </c>
      <c r="AX605" s="10" t="str">
        <f t="shared" si="301"/>
        <v>MATCH</v>
      </c>
      <c r="AY605" t="str">
        <f t="shared" si="302"/>
        <v>MATCH</v>
      </c>
    </row>
    <row r="606" spans="1:51">
      <c r="A606" t="s">
        <v>1183</v>
      </c>
      <c r="B606">
        <f t="shared" si="278"/>
        <v>1</v>
      </c>
      <c r="C606" t="s">
        <v>1184</v>
      </c>
      <c r="D606" s="3">
        <v>45707</v>
      </c>
      <c r="E606" t="str">
        <f t="shared" si="279"/>
        <v>2025/02/19</v>
      </c>
      <c r="F606" t="str">
        <f t="shared" si="288"/>
        <v>February</v>
      </c>
      <c r="G606">
        <f t="shared" si="289"/>
        <v>2025</v>
      </c>
      <c r="H606" t="s">
        <v>1185</v>
      </c>
      <c r="I606" s="4">
        <v>45714</v>
      </c>
      <c r="J606" s="8">
        <f t="shared" si="280"/>
        <v>7</v>
      </c>
      <c r="K606" s="8" t="str">
        <f t="shared" si="290"/>
        <v>OK</v>
      </c>
      <c r="L606" t="s">
        <v>1186</v>
      </c>
      <c r="M606" t="s">
        <v>39</v>
      </c>
      <c r="N606" t="str">
        <f t="shared" si="281"/>
        <v>Mira Das</v>
      </c>
      <c r="O606" t="s">
        <v>107</v>
      </c>
      <c r="P606" t="str">
        <f t="shared" si="304"/>
        <v>Corporate</v>
      </c>
      <c r="Q606" t="s">
        <v>72</v>
      </c>
      <c r="R606" t="str">
        <f t="shared" si="303"/>
        <v>West</v>
      </c>
      <c r="S606" t="str">
        <f t="shared" si="291"/>
        <v>OK</v>
      </c>
      <c r="T606" t="s">
        <v>73</v>
      </c>
      <c r="U606" t="str">
        <f t="shared" si="282"/>
        <v>Maharashtra</v>
      </c>
      <c r="V606" t="s">
        <v>74</v>
      </c>
      <c r="W606" t="str">
        <f t="shared" si="283"/>
        <v>Mumbai</v>
      </c>
      <c r="X606" t="str">
        <f t="shared" si="284"/>
        <v>Furniture</v>
      </c>
      <c r="Y606" t="s">
        <v>44</v>
      </c>
      <c r="Z606" t="s">
        <v>64</v>
      </c>
      <c r="AA606" t="str">
        <f t="shared" si="285"/>
        <v>Furnishings</v>
      </c>
      <c r="AB606" t="s">
        <v>1187</v>
      </c>
      <c r="AC606" t="s">
        <v>55</v>
      </c>
      <c r="AD606" t="str">
        <f t="shared" si="305"/>
        <v>First Class</v>
      </c>
      <c r="AE606" t="str">
        <f t="shared" si="292"/>
        <v>OK</v>
      </c>
      <c r="AF606">
        <v>3</v>
      </c>
      <c r="AG606">
        <v>490.3</v>
      </c>
      <c r="AH606">
        <v>0.2</v>
      </c>
      <c r="AI606">
        <f t="shared" si="293"/>
        <v>0.2</v>
      </c>
      <c r="AJ606" t="str">
        <f t="shared" si="294"/>
        <v>OK</v>
      </c>
      <c r="AK606">
        <v>1176.72</v>
      </c>
      <c r="AL606">
        <v>654.33000000000004</v>
      </c>
      <c r="AM606">
        <v>522.39</v>
      </c>
      <c r="AN606" t="s">
        <v>136</v>
      </c>
      <c r="AO606" t="str">
        <f t="shared" si="286"/>
        <v>PENDING</v>
      </c>
      <c r="AP606" t="str">
        <f t="shared" si="295"/>
        <v>OK</v>
      </c>
      <c r="AQ606" t="s">
        <v>124</v>
      </c>
      <c r="AR606" t="str">
        <f t="shared" si="287"/>
        <v>RETURNED</v>
      </c>
      <c r="AS606" t="str">
        <f t="shared" si="296"/>
        <v>RETURNED_ORDER</v>
      </c>
      <c r="AT606">
        <f t="shared" si="297"/>
        <v>1176.72</v>
      </c>
      <c r="AU606">
        <f t="shared" si="298"/>
        <v>522.39</v>
      </c>
      <c r="AV606" s="6">
        <f t="shared" si="299"/>
        <v>1.0150673057311852</v>
      </c>
      <c r="AW606" t="str">
        <f t="shared" si="300"/>
        <v>CLEAN</v>
      </c>
      <c r="AX606" s="10" t="str">
        <f t="shared" si="301"/>
        <v>MATCH</v>
      </c>
      <c r="AY606" t="str">
        <f t="shared" si="302"/>
        <v>MATCH</v>
      </c>
    </row>
    <row r="607" spans="1:51">
      <c r="A607" t="s">
        <v>1188</v>
      </c>
      <c r="B607">
        <f t="shared" si="278"/>
        <v>2</v>
      </c>
      <c r="C607" t="s">
        <v>1189</v>
      </c>
      <c r="D607" s="3">
        <v>45698</v>
      </c>
      <c r="E607" t="str">
        <f t="shared" si="279"/>
        <v>2025/02/10</v>
      </c>
      <c r="F607" t="str">
        <f t="shared" si="288"/>
        <v>February</v>
      </c>
      <c r="G607">
        <f t="shared" si="289"/>
        <v>2025</v>
      </c>
      <c r="H607" t="s">
        <v>1190</v>
      </c>
      <c r="I607" s="4">
        <v>45938</v>
      </c>
      <c r="J607" s="8">
        <f t="shared" si="280"/>
        <v>240</v>
      </c>
      <c r="K607" s="8" t="str">
        <f t="shared" si="290"/>
        <v>OK</v>
      </c>
      <c r="L607" t="s">
        <v>1191</v>
      </c>
      <c r="M607" t="s">
        <v>52</v>
      </c>
      <c r="N607" t="str">
        <f t="shared" si="281"/>
        <v>Isha Nair</v>
      </c>
      <c r="O607" t="s">
        <v>40</v>
      </c>
      <c r="P607" t="str">
        <f t="shared" si="304"/>
        <v>Small Business</v>
      </c>
      <c r="Q607" t="s">
        <v>26</v>
      </c>
      <c r="R607" t="str">
        <f t="shared" si="303"/>
        <v>North</v>
      </c>
      <c r="S607" t="str">
        <f t="shared" si="291"/>
        <v>OK</v>
      </c>
      <c r="T607" t="s">
        <v>153</v>
      </c>
      <c r="U607" t="str">
        <f t="shared" si="282"/>
        <v>Punjab</v>
      </c>
      <c r="V607" t="s">
        <v>154</v>
      </c>
      <c r="W607" t="str">
        <f t="shared" si="283"/>
        <v>Ludhiana</v>
      </c>
      <c r="X607" t="str">
        <f t="shared" si="284"/>
        <v>Furniture</v>
      </c>
      <c r="Y607" t="s">
        <v>44</v>
      </c>
      <c r="Z607" t="s">
        <v>64</v>
      </c>
      <c r="AA607" t="str">
        <f t="shared" si="285"/>
        <v>Furnishings</v>
      </c>
      <c r="AB607" t="s">
        <v>1192</v>
      </c>
      <c r="AC607" t="s">
        <v>66</v>
      </c>
      <c r="AD607" t="str">
        <f t="shared" si="305"/>
        <v>Standard Class</v>
      </c>
      <c r="AE607" t="str">
        <f t="shared" si="292"/>
        <v>OK</v>
      </c>
      <c r="AF607">
        <v>4</v>
      </c>
      <c r="AG607">
        <v>3944.64</v>
      </c>
      <c r="AH607">
        <v>0.25</v>
      </c>
      <c r="AI607">
        <f t="shared" si="293"/>
        <v>0.25</v>
      </c>
      <c r="AJ607" t="str">
        <f t="shared" si="294"/>
        <v>OK</v>
      </c>
      <c r="AK607">
        <v>11833.92</v>
      </c>
      <c r="AL607">
        <v>6682.92</v>
      </c>
      <c r="AM607">
        <v>5151</v>
      </c>
      <c r="AN607" t="s">
        <v>33</v>
      </c>
      <c r="AO607" t="str">
        <f t="shared" si="286"/>
        <v>PAID</v>
      </c>
      <c r="AP607" t="str">
        <f t="shared" si="295"/>
        <v>OK</v>
      </c>
      <c r="AQ607" t="s">
        <v>77</v>
      </c>
      <c r="AR607" t="str">
        <f t="shared" si="287"/>
        <v>CANCELLED</v>
      </c>
      <c r="AS607" t="str">
        <f t="shared" si="296"/>
        <v>EXCLUDE_FROM_SALES</v>
      </c>
      <c r="AT607">
        <f t="shared" si="297"/>
        <v>11833.92</v>
      </c>
      <c r="AU607">
        <f t="shared" si="298"/>
        <v>5151</v>
      </c>
      <c r="AV607" s="6">
        <f t="shared" si="299"/>
        <v>5.1037188015467382E-2</v>
      </c>
      <c r="AW607" t="str">
        <f t="shared" si="300"/>
        <v>CLEAN</v>
      </c>
      <c r="AX607" s="10" t="str">
        <f t="shared" si="301"/>
        <v>MATCH</v>
      </c>
      <c r="AY607" t="str">
        <f t="shared" si="302"/>
        <v>MATCH</v>
      </c>
    </row>
    <row r="608" spans="1:51">
      <c r="A608" t="s">
        <v>1188</v>
      </c>
      <c r="B608">
        <f t="shared" si="278"/>
        <v>2</v>
      </c>
      <c r="C608" t="s">
        <v>1189</v>
      </c>
      <c r="D608" s="3">
        <v>45698</v>
      </c>
      <c r="E608" t="str">
        <f t="shared" si="279"/>
        <v>2025/02/10</v>
      </c>
      <c r="F608" t="str">
        <f t="shared" si="288"/>
        <v>February</v>
      </c>
      <c r="G608">
        <f t="shared" si="289"/>
        <v>2025</v>
      </c>
      <c r="H608" t="s">
        <v>1190</v>
      </c>
      <c r="I608" s="4">
        <v>45938</v>
      </c>
      <c r="J608" s="8">
        <f t="shared" si="280"/>
        <v>240</v>
      </c>
      <c r="K608" s="8" t="str">
        <f t="shared" si="290"/>
        <v>OK</v>
      </c>
      <c r="L608" t="s">
        <v>1191</v>
      </c>
      <c r="M608" t="s">
        <v>52</v>
      </c>
      <c r="N608" t="str">
        <f t="shared" si="281"/>
        <v>Isha Nair</v>
      </c>
      <c r="O608" t="s">
        <v>40</v>
      </c>
      <c r="P608" t="str">
        <f t="shared" si="304"/>
        <v>Small Business</v>
      </c>
      <c r="Q608" t="s">
        <v>26</v>
      </c>
      <c r="R608" t="str">
        <f t="shared" si="303"/>
        <v>North</v>
      </c>
      <c r="S608" t="str">
        <f t="shared" si="291"/>
        <v>OK</v>
      </c>
      <c r="T608" t="s">
        <v>153</v>
      </c>
      <c r="U608" t="str">
        <f t="shared" si="282"/>
        <v>Punjab</v>
      </c>
      <c r="V608" t="s">
        <v>154</v>
      </c>
      <c r="W608" t="str">
        <f t="shared" si="283"/>
        <v>Ludhiana</v>
      </c>
      <c r="X608" t="str">
        <f t="shared" si="284"/>
        <v>Furniture</v>
      </c>
      <c r="Y608" t="s">
        <v>44</v>
      </c>
      <c r="Z608" t="s">
        <v>64</v>
      </c>
      <c r="AA608" t="str">
        <f t="shared" si="285"/>
        <v>Furnishings</v>
      </c>
      <c r="AB608" t="s">
        <v>1192</v>
      </c>
      <c r="AC608" t="s">
        <v>66</v>
      </c>
      <c r="AD608" t="str">
        <f t="shared" si="305"/>
        <v>Standard Class</v>
      </c>
      <c r="AE608" t="str">
        <f t="shared" si="292"/>
        <v>OK</v>
      </c>
      <c r="AF608">
        <v>4</v>
      </c>
      <c r="AG608">
        <v>3944.64</v>
      </c>
      <c r="AH608">
        <v>0.25</v>
      </c>
      <c r="AI608">
        <f t="shared" si="293"/>
        <v>0.25</v>
      </c>
      <c r="AJ608" t="str">
        <f t="shared" si="294"/>
        <v>OK</v>
      </c>
      <c r="AK608">
        <v>12116.89</v>
      </c>
      <c r="AL608">
        <v>6682.92</v>
      </c>
      <c r="AM608">
        <v>5151</v>
      </c>
      <c r="AN608" t="s">
        <v>33</v>
      </c>
      <c r="AO608" t="str">
        <f t="shared" si="286"/>
        <v>PAID</v>
      </c>
      <c r="AP608" t="str">
        <f t="shared" si="295"/>
        <v>OK</v>
      </c>
      <c r="AQ608" t="s">
        <v>124</v>
      </c>
      <c r="AR608" t="str">
        <f t="shared" si="287"/>
        <v>RETURNED</v>
      </c>
      <c r="AS608" t="str">
        <f t="shared" si="296"/>
        <v>RETURNED_ORDER</v>
      </c>
      <c r="AT608">
        <f t="shared" si="297"/>
        <v>11833.92</v>
      </c>
      <c r="AU608">
        <f t="shared" si="298"/>
        <v>5151</v>
      </c>
      <c r="AV608" s="6">
        <f t="shared" si="299"/>
        <v>0.61596749006246465</v>
      </c>
      <c r="AW608" t="str">
        <f t="shared" si="300"/>
        <v>CLEAN</v>
      </c>
      <c r="AX608" s="10" t="str">
        <f t="shared" si="301"/>
        <v>MISMATCH</v>
      </c>
      <c r="AY608" t="str">
        <f t="shared" si="302"/>
        <v>MATCH</v>
      </c>
    </row>
    <row r="609" spans="1:51">
      <c r="A609" t="s">
        <v>1198</v>
      </c>
      <c r="B609">
        <f t="shared" si="278"/>
        <v>1</v>
      </c>
      <c r="C609" t="s">
        <v>1199</v>
      </c>
      <c r="D609" s="3">
        <v>45757</v>
      </c>
      <c r="E609" t="str">
        <f t="shared" si="279"/>
        <v>2025/04/10</v>
      </c>
      <c r="F609" t="str">
        <f t="shared" si="288"/>
        <v>April</v>
      </c>
      <c r="G609">
        <f t="shared" si="289"/>
        <v>2025</v>
      </c>
      <c r="H609" t="s">
        <v>1152</v>
      </c>
      <c r="I609" s="4">
        <v>45762</v>
      </c>
      <c r="J609" s="8">
        <f t="shared" si="280"/>
        <v>5</v>
      </c>
      <c r="K609" s="8" t="str">
        <f t="shared" si="290"/>
        <v>OK</v>
      </c>
      <c r="L609" t="s">
        <v>1200</v>
      </c>
      <c r="M609" t="s">
        <v>209</v>
      </c>
      <c r="N609" t="str">
        <f t="shared" si="281"/>
        <v>Diya Patel</v>
      </c>
      <c r="O609" t="s">
        <v>114</v>
      </c>
      <c r="P609" t="str">
        <f t="shared" si="304"/>
        <v>Home Office</v>
      </c>
      <c r="R609" t="s">
        <v>4109</v>
      </c>
      <c r="S609" t="str">
        <f t="shared" si="291"/>
        <v>MISSING_REGION</v>
      </c>
      <c r="T609" t="s">
        <v>241</v>
      </c>
      <c r="U609" t="str">
        <f t="shared" si="282"/>
        <v>Kerala</v>
      </c>
      <c r="V609" t="s">
        <v>242</v>
      </c>
      <c r="W609" t="str">
        <f t="shared" si="283"/>
        <v>Kochi</v>
      </c>
      <c r="X609" t="str">
        <f t="shared" si="284"/>
        <v>Technology</v>
      </c>
      <c r="Y609" t="s">
        <v>85</v>
      </c>
      <c r="Z609" t="s">
        <v>93</v>
      </c>
      <c r="AA609" t="str">
        <f t="shared" si="285"/>
        <v>Copiers</v>
      </c>
      <c r="AB609" t="s">
        <v>1201</v>
      </c>
      <c r="AC609" t="s">
        <v>47</v>
      </c>
      <c r="AD609" t="str">
        <f t="shared" si="305"/>
        <v>Same Day</v>
      </c>
      <c r="AE609" t="str">
        <f t="shared" si="292"/>
        <v>OK</v>
      </c>
      <c r="AF609">
        <v>1</v>
      </c>
      <c r="AG609">
        <v>2208.27</v>
      </c>
      <c r="AH609">
        <v>0.1</v>
      </c>
      <c r="AI609">
        <f t="shared" si="293"/>
        <v>0.1</v>
      </c>
      <c r="AJ609" t="str">
        <f t="shared" si="294"/>
        <v>OK</v>
      </c>
      <c r="AK609">
        <v>1987.44</v>
      </c>
      <c r="AL609">
        <v>1110.23</v>
      </c>
      <c r="AM609">
        <v>877.21</v>
      </c>
      <c r="AN609" t="s">
        <v>33</v>
      </c>
      <c r="AO609" t="str">
        <f t="shared" si="286"/>
        <v>PAID</v>
      </c>
      <c r="AP609" t="str">
        <f t="shared" si="295"/>
        <v>OK</v>
      </c>
      <c r="AQ609" t="s">
        <v>34</v>
      </c>
      <c r="AR609" t="str">
        <f t="shared" si="287"/>
        <v>COMPLETED</v>
      </c>
      <c r="AS609" t="str">
        <f t="shared" si="296"/>
        <v>OK</v>
      </c>
      <c r="AT609">
        <f t="shared" si="297"/>
        <v>1987.443</v>
      </c>
      <c r="AU609">
        <f t="shared" si="298"/>
        <v>877.21299999999997</v>
      </c>
      <c r="AV609" s="6">
        <f t="shared" si="299"/>
        <v>0.40811258486406898</v>
      </c>
      <c r="AW609" t="str">
        <f t="shared" si="300"/>
        <v>WARNING</v>
      </c>
      <c r="AX609" s="10" t="str">
        <f t="shared" si="301"/>
        <v>MATCH</v>
      </c>
      <c r="AY609" t="str">
        <f t="shared" si="302"/>
        <v>MATCH</v>
      </c>
    </row>
    <row r="610" spans="1:51">
      <c r="A610" t="s">
        <v>1213</v>
      </c>
      <c r="B610">
        <f t="shared" si="278"/>
        <v>1</v>
      </c>
      <c r="C610" t="s">
        <v>1214</v>
      </c>
      <c r="D610" s="3">
        <v>45836</v>
      </c>
      <c r="E610" t="str">
        <f t="shared" si="279"/>
        <v>2025/06/28</v>
      </c>
      <c r="F610" t="str">
        <f t="shared" si="288"/>
        <v>June</v>
      </c>
      <c r="G610">
        <f t="shared" si="289"/>
        <v>2025</v>
      </c>
      <c r="H610" t="s">
        <v>1215</v>
      </c>
      <c r="I610" s="4">
        <v>45842</v>
      </c>
      <c r="J610" s="8">
        <f t="shared" si="280"/>
        <v>6</v>
      </c>
      <c r="K610" s="8" t="str">
        <f t="shared" si="290"/>
        <v>OK</v>
      </c>
      <c r="L610" t="s">
        <v>1216</v>
      </c>
      <c r="M610" t="s">
        <v>179</v>
      </c>
      <c r="N610" t="str">
        <f t="shared" si="281"/>
        <v>Rohan Mehta</v>
      </c>
      <c r="O610" t="s">
        <v>25</v>
      </c>
      <c r="P610" t="str">
        <f t="shared" si="304"/>
        <v>Consumer</v>
      </c>
      <c r="Q610" t="s">
        <v>61</v>
      </c>
      <c r="R610" t="str">
        <f>PROPER(TRIM(SUBSTITUTE(Q610,CHAR(160)," ")))</f>
        <v>South</v>
      </c>
      <c r="S610" t="str">
        <f t="shared" si="291"/>
        <v>OK</v>
      </c>
      <c r="T610" t="s">
        <v>62</v>
      </c>
      <c r="U610" t="str">
        <f t="shared" si="282"/>
        <v>Telangana</v>
      </c>
      <c r="V610" t="s">
        <v>63</v>
      </c>
      <c r="W610" t="str">
        <f t="shared" si="283"/>
        <v>Hyderabad</v>
      </c>
      <c r="X610" t="str">
        <f t="shared" si="284"/>
        <v>Furniture</v>
      </c>
      <c r="Y610" t="s">
        <v>44</v>
      </c>
      <c r="Z610" t="s">
        <v>203</v>
      </c>
      <c r="AA610" t="str">
        <f t="shared" si="285"/>
        <v>Bookcases</v>
      </c>
      <c r="AB610" t="s">
        <v>1217</v>
      </c>
      <c r="AC610" t="s">
        <v>55</v>
      </c>
      <c r="AD610" t="str">
        <f t="shared" si="305"/>
        <v>First Class</v>
      </c>
      <c r="AE610" t="str">
        <f t="shared" si="292"/>
        <v>OK</v>
      </c>
      <c r="AF610">
        <v>3</v>
      </c>
      <c r="AG610">
        <v>2886.23</v>
      </c>
      <c r="AH610">
        <v>0</v>
      </c>
      <c r="AI610">
        <f t="shared" si="293"/>
        <v>0</v>
      </c>
      <c r="AJ610" t="str">
        <f t="shared" si="294"/>
        <v>OK</v>
      </c>
      <c r="AK610">
        <v>8658.69</v>
      </c>
      <c r="AL610">
        <v>5535.94</v>
      </c>
      <c r="AM610">
        <v>3122.75</v>
      </c>
      <c r="AN610" t="s">
        <v>123</v>
      </c>
      <c r="AO610" t="str">
        <f t="shared" si="286"/>
        <v>REFUNDED</v>
      </c>
      <c r="AP610" t="str">
        <f t="shared" si="295"/>
        <v>REFUNDED_PAYMENT</v>
      </c>
      <c r="AQ610" t="s">
        <v>124</v>
      </c>
      <c r="AR610" t="str">
        <f t="shared" si="287"/>
        <v>RETURNED</v>
      </c>
      <c r="AS610" t="str">
        <f t="shared" si="296"/>
        <v>RETURNED_ORDER</v>
      </c>
      <c r="AT610">
        <f t="shared" si="297"/>
        <v>8658.69</v>
      </c>
      <c r="AU610">
        <f t="shared" si="298"/>
        <v>3122.7500000000009</v>
      </c>
      <c r="AV610" s="6">
        <f t="shared" si="299"/>
        <v>0.18852135831170763</v>
      </c>
      <c r="AW610" t="str">
        <f t="shared" si="300"/>
        <v>CLEAN</v>
      </c>
      <c r="AX610" s="10" t="str">
        <f t="shared" si="301"/>
        <v>MATCH</v>
      </c>
      <c r="AY610" t="str">
        <f t="shared" si="302"/>
        <v>MATCH</v>
      </c>
    </row>
    <row r="611" spans="1:51">
      <c r="A611" t="s">
        <v>1228</v>
      </c>
      <c r="B611">
        <f t="shared" si="278"/>
        <v>1</v>
      </c>
      <c r="C611" t="s">
        <v>1229</v>
      </c>
      <c r="D611" s="3">
        <v>45753</v>
      </c>
      <c r="E611" t="str">
        <f t="shared" si="279"/>
        <v>2025/04/06</v>
      </c>
      <c r="F611" t="str">
        <f t="shared" si="288"/>
        <v>April</v>
      </c>
      <c r="G611">
        <f t="shared" si="289"/>
        <v>2025</v>
      </c>
      <c r="H611" t="s">
        <v>1230</v>
      </c>
      <c r="I611" s="4">
        <v>45818</v>
      </c>
      <c r="J611" s="8">
        <f t="shared" si="280"/>
        <v>65</v>
      </c>
      <c r="K611" s="8" t="str">
        <f t="shared" si="290"/>
        <v>OK</v>
      </c>
      <c r="L611" t="s">
        <v>1231</v>
      </c>
      <c r="M611" t="s">
        <v>147</v>
      </c>
      <c r="N611" t="str">
        <f t="shared" si="281"/>
        <v>Rahul Verma</v>
      </c>
      <c r="O611" t="s">
        <v>25</v>
      </c>
      <c r="P611" t="str">
        <f t="shared" si="304"/>
        <v>Consumer</v>
      </c>
      <c r="Q611" t="s">
        <v>61</v>
      </c>
      <c r="R611" t="str">
        <f>PROPER(TRIM(SUBSTITUTE(Q611,CHAR(160)," ")))</f>
        <v>South</v>
      </c>
      <c r="S611" t="str">
        <f t="shared" si="291"/>
        <v>OK</v>
      </c>
      <c r="T611" t="s">
        <v>99</v>
      </c>
      <c r="U611" t="str">
        <f t="shared" si="282"/>
        <v>Andhra Pradesh</v>
      </c>
      <c r="V611" t="s">
        <v>100</v>
      </c>
      <c r="W611" t="str">
        <f t="shared" si="283"/>
        <v>Vijayawada</v>
      </c>
      <c r="X611" t="str">
        <f t="shared" si="284"/>
        <v>Technology</v>
      </c>
      <c r="Y611" t="s">
        <v>85</v>
      </c>
      <c r="Z611" t="s">
        <v>222</v>
      </c>
      <c r="AA611" t="str">
        <f t="shared" si="285"/>
        <v>Phones</v>
      </c>
      <c r="AB611" t="s">
        <v>1232</v>
      </c>
      <c r="AC611" t="s">
        <v>66</v>
      </c>
      <c r="AD611" t="str">
        <f t="shared" si="305"/>
        <v>Standard Class</v>
      </c>
      <c r="AE611" t="str">
        <f t="shared" si="292"/>
        <v>OK</v>
      </c>
      <c r="AF611">
        <v>4</v>
      </c>
      <c r="AG611">
        <v>223.37</v>
      </c>
      <c r="AH611">
        <v>0.25</v>
      </c>
      <c r="AI611">
        <f t="shared" si="293"/>
        <v>0.25</v>
      </c>
      <c r="AJ611" t="str">
        <f t="shared" si="294"/>
        <v>OK</v>
      </c>
      <c r="AK611">
        <v>670.11</v>
      </c>
      <c r="AL611">
        <v>559.57000000000005</v>
      </c>
      <c r="AM611">
        <v>110.54</v>
      </c>
      <c r="AN611" t="s">
        <v>33</v>
      </c>
      <c r="AO611" t="str">
        <f t="shared" si="286"/>
        <v>PAID</v>
      </c>
      <c r="AP611" t="str">
        <f t="shared" si="295"/>
        <v>OK</v>
      </c>
      <c r="AQ611" t="s">
        <v>34</v>
      </c>
      <c r="AR611" t="str">
        <f t="shared" si="287"/>
        <v>COMPLETED</v>
      </c>
      <c r="AS611" t="str">
        <f t="shared" si="296"/>
        <v>OK</v>
      </c>
      <c r="AT611">
        <f t="shared" si="297"/>
        <v>670.11</v>
      </c>
      <c r="AU611">
        <f t="shared" si="298"/>
        <v>110.53999999999996</v>
      </c>
      <c r="AV611" s="6">
        <f t="shared" si="299"/>
        <v>7.8218710360985497</v>
      </c>
      <c r="AW611" t="str">
        <f t="shared" si="300"/>
        <v>CLEAN</v>
      </c>
      <c r="AX611" s="10" t="str">
        <f t="shared" si="301"/>
        <v>MATCH</v>
      </c>
      <c r="AY611" t="str">
        <f t="shared" si="302"/>
        <v>MATCH</v>
      </c>
    </row>
    <row r="612" spans="1:51">
      <c r="A612" t="s">
        <v>1269</v>
      </c>
      <c r="B612">
        <f t="shared" si="278"/>
        <v>1</v>
      </c>
      <c r="C612" t="s">
        <v>1270</v>
      </c>
      <c r="D612" s="3">
        <v>45815</v>
      </c>
      <c r="E612" t="str">
        <f t="shared" si="279"/>
        <v>2025/06/07</v>
      </c>
      <c r="F612" t="str">
        <f t="shared" si="288"/>
        <v>June</v>
      </c>
      <c r="G612">
        <f t="shared" si="289"/>
        <v>2025</v>
      </c>
      <c r="H612" t="s">
        <v>1271</v>
      </c>
      <c r="I612" s="4">
        <v>45815</v>
      </c>
      <c r="J612" s="8">
        <f t="shared" si="280"/>
        <v>0</v>
      </c>
      <c r="K612" s="8" t="str">
        <f t="shared" si="290"/>
        <v>OK</v>
      </c>
      <c r="L612" t="s">
        <v>1272</v>
      </c>
      <c r="M612" t="s">
        <v>167</v>
      </c>
      <c r="N612" t="str">
        <f t="shared" si="281"/>
        <v>Sneha Kapoor</v>
      </c>
      <c r="O612" t="s">
        <v>107</v>
      </c>
      <c r="P612" t="str">
        <f t="shared" si="304"/>
        <v>Corporate</v>
      </c>
      <c r="Q612" t="s">
        <v>26</v>
      </c>
      <c r="R612" t="str">
        <f>PROPER(TRIM(SUBSTITUTE(Q612,CHAR(160)," ")))</f>
        <v>North</v>
      </c>
      <c r="S612" t="str">
        <f t="shared" si="291"/>
        <v>OK</v>
      </c>
      <c r="T612" t="s">
        <v>322</v>
      </c>
      <c r="U612" t="str">
        <f t="shared" si="282"/>
        <v>Haryana</v>
      </c>
      <c r="V612" t="s">
        <v>323</v>
      </c>
      <c r="W612" t="str">
        <f t="shared" si="283"/>
        <v>Gurugram</v>
      </c>
      <c r="X612" t="str">
        <f t="shared" si="284"/>
        <v>Office Supplies</v>
      </c>
      <c r="Y612" t="s">
        <v>29</v>
      </c>
      <c r="Z612" t="s">
        <v>155</v>
      </c>
      <c r="AA612" t="str">
        <f t="shared" si="285"/>
        <v>Storage</v>
      </c>
      <c r="AB612" t="s">
        <v>1273</v>
      </c>
      <c r="AC612" t="s">
        <v>66</v>
      </c>
      <c r="AD612" t="str">
        <f t="shared" si="305"/>
        <v>Standard Class</v>
      </c>
      <c r="AE612" t="str">
        <f t="shared" si="292"/>
        <v>OK</v>
      </c>
      <c r="AF612">
        <v>1</v>
      </c>
      <c r="AG612">
        <v>1617.2</v>
      </c>
      <c r="AH612">
        <v>0.25</v>
      </c>
      <c r="AI612">
        <f t="shared" si="293"/>
        <v>0.25</v>
      </c>
      <c r="AJ612" t="str">
        <f t="shared" si="294"/>
        <v>OK</v>
      </c>
      <c r="AK612">
        <v>1212.9000000000001</v>
      </c>
      <c r="AL612">
        <v>690.52</v>
      </c>
      <c r="AM612">
        <v>522.38</v>
      </c>
      <c r="AN612" t="s">
        <v>136</v>
      </c>
      <c r="AO612" t="str">
        <f t="shared" si="286"/>
        <v>PENDING</v>
      </c>
      <c r="AP612" t="str">
        <f t="shared" si="295"/>
        <v>OK</v>
      </c>
      <c r="AQ612" t="s">
        <v>124</v>
      </c>
      <c r="AR612" t="str">
        <f t="shared" si="287"/>
        <v>RETURNED</v>
      </c>
      <c r="AS612" t="str">
        <f t="shared" si="296"/>
        <v>RETURNED_ORDER</v>
      </c>
      <c r="AT612">
        <f t="shared" si="297"/>
        <v>1212.9000000000001</v>
      </c>
      <c r="AU612">
        <f t="shared" si="298"/>
        <v>522.38000000000011</v>
      </c>
      <c r="AV612" s="6">
        <f t="shared" si="299"/>
        <v>0.6435320306702943</v>
      </c>
      <c r="AW612" t="str">
        <f t="shared" si="300"/>
        <v>CLEAN</v>
      </c>
      <c r="AX612" s="10" t="str">
        <f t="shared" si="301"/>
        <v>MATCH</v>
      </c>
      <c r="AY612" t="str">
        <f t="shared" si="302"/>
        <v>MATCH</v>
      </c>
    </row>
    <row r="613" spans="1:51">
      <c r="A613" t="s">
        <v>1274</v>
      </c>
      <c r="B613">
        <f t="shared" si="278"/>
        <v>1</v>
      </c>
      <c r="C613" t="s">
        <v>1275</v>
      </c>
      <c r="D613" s="2">
        <v>45840</v>
      </c>
      <c r="E613" t="str">
        <f t="shared" si="279"/>
        <v>2025/07/02</v>
      </c>
      <c r="F613" t="str">
        <f t="shared" si="288"/>
        <v>July</v>
      </c>
      <c r="G613">
        <f t="shared" si="289"/>
        <v>2025</v>
      </c>
      <c r="H613" t="s">
        <v>1276</v>
      </c>
      <c r="I613" s="4">
        <v>45695</v>
      </c>
      <c r="J613" s="8">
        <f t="shared" si="280"/>
        <v>-145</v>
      </c>
      <c r="K613" s="8" t="str">
        <f t="shared" si="290"/>
        <v>INVAILD_SHIPPING</v>
      </c>
      <c r="L613" t="s">
        <v>1277</v>
      </c>
      <c r="M613" t="s">
        <v>60</v>
      </c>
      <c r="N613" t="str">
        <f t="shared" si="281"/>
        <v>Arjun Bose</v>
      </c>
      <c r="O613" t="s">
        <v>25</v>
      </c>
      <c r="P613" t="str">
        <f t="shared" si="304"/>
        <v>Consumer</v>
      </c>
      <c r="Q613" t="s">
        <v>26</v>
      </c>
      <c r="R613" t="str">
        <f>PROPER(TRIM(SUBSTITUTE(Q613,CHAR(160)," ")))</f>
        <v>North</v>
      </c>
      <c r="S613" t="str">
        <f t="shared" si="291"/>
        <v>OK</v>
      </c>
      <c r="T613" t="s">
        <v>173</v>
      </c>
      <c r="U613" t="str">
        <f t="shared" si="282"/>
        <v>Uttar Pradesh</v>
      </c>
      <c r="V613" t="s">
        <v>174</v>
      </c>
      <c r="W613" t="str">
        <f t="shared" si="283"/>
        <v>Noida</v>
      </c>
      <c r="X613" t="str">
        <f t="shared" si="284"/>
        <v>Office Supplies</v>
      </c>
      <c r="Y613" t="s">
        <v>29</v>
      </c>
      <c r="Z613" t="s">
        <v>53</v>
      </c>
      <c r="AA613" t="str">
        <f t="shared" si="285"/>
        <v>Art</v>
      </c>
      <c r="AB613" t="s">
        <v>1278</v>
      </c>
      <c r="AC613" t="s">
        <v>32</v>
      </c>
      <c r="AD613" t="str">
        <f t="shared" si="305"/>
        <v>Second Class</v>
      </c>
      <c r="AE613" t="str">
        <f t="shared" si="292"/>
        <v>OK</v>
      </c>
      <c r="AF613">
        <v>3</v>
      </c>
      <c r="AG613">
        <v>1999.24</v>
      </c>
      <c r="AH613">
        <v>0.05</v>
      </c>
      <c r="AI613">
        <f t="shared" si="293"/>
        <v>0.05</v>
      </c>
      <c r="AJ613" t="str">
        <f t="shared" si="294"/>
        <v>OK</v>
      </c>
      <c r="AK613">
        <v>5697.83</v>
      </c>
      <c r="AL613">
        <v>4251.5</v>
      </c>
      <c r="AM613">
        <v>1446.33</v>
      </c>
      <c r="AN613" t="s">
        <v>33</v>
      </c>
      <c r="AO613" t="str">
        <f t="shared" si="286"/>
        <v>PAID</v>
      </c>
      <c r="AP613" t="str">
        <f t="shared" si="295"/>
        <v>OK</v>
      </c>
      <c r="AQ613" t="s">
        <v>34</v>
      </c>
      <c r="AR613" t="str">
        <f t="shared" si="287"/>
        <v>COMPLETED</v>
      </c>
      <c r="AS613" t="str">
        <f t="shared" si="296"/>
        <v>OK</v>
      </c>
      <c r="AT613">
        <f t="shared" si="297"/>
        <v>5697.8339999999998</v>
      </c>
      <c r="AU613">
        <f t="shared" si="298"/>
        <v>1446.3339999999998</v>
      </c>
      <c r="AV613" s="6">
        <f t="shared" si="299"/>
        <v>1.0381295769585426</v>
      </c>
      <c r="AW613" t="str">
        <f t="shared" si="300"/>
        <v>CLEAN</v>
      </c>
      <c r="AX613" s="10" t="str">
        <f t="shared" si="301"/>
        <v>MATCH</v>
      </c>
      <c r="AY613" t="str">
        <f t="shared" si="302"/>
        <v>MATCH</v>
      </c>
    </row>
    <row r="614" spans="1:51">
      <c r="A614" t="s">
        <v>1279</v>
      </c>
      <c r="B614">
        <f t="shared" si="278"/>
        <v>1</v>
      </c>
      <c r="C614" t="s">
        <v>282</v>
      </c>
      <c r="D614" s="3">
        <v>45867</v>
      </c>
      <c r="E614" t="str">
        <f t="shared" si="279"/>
        <v>2025/07/29</v>
      </c>
      <c r="F614" t="str">
        <f t="shared" si="288"/>
        <v>July</v>
      </c>
      <c r="G614">
        <f t="shared" si="289"/>
        <v>2025</v>
      </c>
      <c r="H614" t="s">
        <v>1280</v>
      </c>
      <c r="I614" s="4">
        <v>45871</v>
      </c>
      <c r="J614" s="8">
        <f t="shared" si="280"/>
        <v>4</v>
      </c>
      <c r="K614" s="8" t="str">
        <f t="shared" si="290"/>
        <v>OK</v>
      </c>
      <c r="L614" t="s">
        <v>1281</v>
      </c>
      <c r="M614" t="s">
        <v>167</v>
      </c>
      <c r="N614" t="str">
        <f t="shared" si="281"/>
        <v>Sneha Kapoor</v>
      </c>
      <c r="O614" t="s">
        <v>40</v>
      </c>
      <c r="P614" t="str">
        <f t="shared" si="304"/>
        <v>Small Business</v>
      </c>
      <c r="R614" t="s">
        <v>4109</v>
      </c>
      <c r="S614" t="str">
        <f t="shared" si="291"/>
        <v>MISSING_REGION</v>
      </c>
      <c r="T614" t="s">
        <v>83</v>
      </c>
      <c r="U614" t="str">
        <f t="shared" si="282"/>
        <v>Madhya Pradesh</v>
      </c>
      <c r="V614" t="s">
        <v>84</v>
      </c>
      <c r="W614" t="str">
        <f t="shared" si="283"/>
        <v>Indore</v>
      </c>
      <c r="X614" t="str">
        <f t="shared" si="284"/>
        <v>Technology</v>
      </c>
      <c r="Y614" t="s">
        <v>85</v>
      </c>
      <c r="Z614" t="s">
        <v>86</v>
      </c>
      <c r="AA614" t="str">
        <f t="shared" si="285"/>
        <v>Accessories</v>
      </c>
      <c r="AB614" t="s">
        <v>1282</v>
      </c>
      <c r="AC614" t="s">
        <v>55</v>
      </c>
      <c r="AD614" t="str">
        <f t="shared" si="305"/>
        <v>First Class</v>
      </c>
      <c r="AE614" t="str">
        <f t="shared" si="292"/>
        <v>OK</v>
      </c>
      <c r="AF614">
        <v>1</v>
      </c>
      <c r="AG614">
        <v>4499.46</v>
      </c>
      <c r="AH614">
        <v>0.1</v>
      </c>
      <c r="AI614">
        <f t="shared" si="293"/>
        <v>0.1</v>
      </c>
      <c r="AJ614" t="str">
        <f t="shared" si="294"/>
        <v>OK</v>
      </c>
      <c r="AK614">
        <v>4049.51</v>
      </c>
      <c r="AL614">
        <v>2509.1999999999998</v>
      </c>
      <c r="AM614">
        <v>1540.31</v>
      </c>
      <c r="AN614" t="s">
        <v>33</v>
      </c>
      <c r="AO614" t="str">
        <f t="shared" si="286"/>
        <v>PAID</v>
      </c>
      <c r="AP614" t="str">
        <f t="shared" si="295"/>
        <v>OK</v>
      </c>
      <c r="AQ614" t="s">
        <v>1025</v>
      </c>
      <c r="AR614" t="str">
        <f t="shared" si="287"/>
        <v>COMPLETED</v>
      </c>
      <c r="AS614" t="str">
        <f t="shared" si="296"/>
        <v>OK</v>
      </c>
      <c r="AT614">
        <f t="shared" si="297"/>
        <v>4049.5140000000001</v>
      </c>
      <c r="AU614">
        <f t="shared" si="298"/>
        <v>1540.3140000000003</v>
      </c>
      <c r="AV614" s="6">
        <f t="shared" si="299"/>
        <v>0.30614562636405235</v>
      </c>
      <c r="AW614" t="str">
        <f t="shared" si="300"/>
        <v>WARNING</v>
      </c>
      <c r="AX614" s="10" t="str">
        <f t="shared" si="301"/>
        <v>MATCH</v>
      </c>
      <c r="AY614" t="str">
        <f t="shared" si="302"/>
        <v>MATCH</v>
      </c>
    </row>
    <row r="615" spans="1:51">
      <c r="A615" t="s">
        <v>1305</v>
      </c>
      <c r="B615">
        <f t="shared" si="278"/>
        <v>1</v>
      </c>
      <c r="C615" t="s">
        <v>819</v>
      </c>
      <c r="D615" s="3">
        <v>45665</v>
      </c>
      <c r="E615" t="str">
        <f t="shared" si="279"/>
        <v>2025/01/08</v>
      </c>
      <c r="F615" t="str">
        <f t="shared" si="288"/>
        <v>January</v>
      </c>
      <c r="G615">
        <f t="shared" si="289"/>
        <v>2025</v>
      </c>
      <c r="H615" t="s">
        <v>1306</v>
      </c>
      <c r="I615" s="4">
        <v>45871</v>
      </c>
      <c r="J615" s="8">
        <f t="shared" si="280"/>
        <v>206</v>
      </c>
      <c r="K615" s="8" t="str">
        <f t="shared" si="290"/>
        <v>OK</v>
      </c>
      <c r="L615" t="s">
        <v>1307</v>
      </c>
      <c r="M615" t="s">
        <v>39</v>
      </c>
      <c r="N615" t="str">
        <f t="shared" si="281"/>
        <v>Mira Das</v>
      </c>
      <c r="O615" t="s">
        <v>107</v>
      </c>
      <c r="P615" t="str">
        <f t="shared" si="304"/>
        <v>Corporate</v>
      </c>
      <c r="Q615" t="s">
        <v>26</v>
      </c>
      <c r="R615" t="str">
        <f t="shared" ref="R615:R656" si="306">PROPER(TRIM(SUBSTITUTE(Q615,CHAR(160)," ")))</f>
        <v>North</v>
      </c>
      <c r="S615" t="str">
        <f t="shared" si="291"/>
        <v>OK</v>
      </c>
      <c r="T615" t="s">
        <v>27</v>
      </c>
      <c r="U615" t="str">
        <f t="shared" si="282"/>
        <v>Rajasthan</v>
      </c>
      <c r="V615" t="s">
        <v>28</v>
      </c>
      <c r="W615" t="str">
        <f t="shared" si="283"/>
        <v>Jaipur</v>
      </c>
      <c r="X615" t="str">
        <f t="shared" si="284"/>
        <v>Furniture</v>
      </c>
      <c r="Y615" t="s">
        <v>44</v>
      </c>
      <c r="Z615" t="s">
        <v>64</v>
      </c>
      <c r="AA615" t="str">
        <f t="shared" si="285"/>
        <v>Furnishings</v>
      </c>
      <c r="AB615" t="s">
        <v>1308</v>
      </c>
      <c r="AC615" t="s">
        <v>55</v>
      </c>
      <c r="AD615" t="str">
        <f t="shared" si="305"/>
        <v>First Class</v>
      </c>
      <c r="AE615" t="str">
        <f t="shared" si="292"/>
        <v>OK</v>
      </c>
      <c r="AF615">
        <v>4</v>
      </c>
      <c r="AG615">
        <v>2790.29</v>
      </c>
      <c r="AH615">
        <v>0.2</v>
      </c>
      <c r="AI615">
        <f t="shared" si="293"/>
        <v>0.2</v>
      </c>
      <c r="AJ615" t="str">
        <f t="shared" si="294"/>
        <v>OK</v>
      </c>
      <c r="AK615">
        <v>8928.93</v>
      </c>
      <c r="AL615">
        <v>5634.38</v>
      </c>
      <c r="AM615">
        <v>3294.55</v>
      </c>
      <c r="AN615" t="s">
        <v>33</v>
      </c>
      <c r="AO615" t="str">
        <f t="shared" si="286"/>
        <v>PAID</v>
      </c>
      <c r="AP615" t="str">
        <f t="shared" si="295"/>
        <v>OK</v>
      </c>
      <c r="AQ615" t="s">
        <v>34</v>
      </c>
      <c r="AR615" t="str">
        <f t="shared" si="287"/>
        <v>COMPLETED</v>
      </c>
      <c r="AS615" t="str">
        <f t="shared" si="296"/>
        <v>OK</v>
      </c>
      <c r="AT615">
        <f t="shared" si="297"/>
        <v>8928.9279999999999</v>
      </c>
      <c r="AU615">
        <f t="shared" si="298"/>
        <v>3294.5479999999998</v>
      </c>
      <c r="AV615" s="6">
        <f t="shared" si="299"/>
        <v>7.6968590182382501E-2</v>
      </c>
      <c r="AW615" t="str">
        <f t="shared" si="300"/>
        <v>CLEAN</v>
      </c>
      <c r="AX615" s="10" t="str">
        <f t="shared" si="301"/>
        <v>MATCH</v>
      </c>
      <c r="AY615" t="str">
        <f t="shared" si="302"/>
        <v>MATCH</v>
      </c>
    </row>
    <row r="616" spans="1:51">
      <c r="A616" t="s">
        <v>1314</v>
      </c>
      <c r="B616">
        <f t="shared" si="278"/>
        <v>1</v>
      </c>
      <c r="C616" t="s">
        <v>1315</v>
      </c>
      <c r="D616" s="3">
        <v>45812</v>
      </c>
      <c r="E616" t="str">
        <f t="shared" si="279"/>
        <v>2025/06/04</v>
      </c>
      <c r="F616" t="str">
        <f t="shared" si="288"/>
        <v>June</v>
      </c>
      <c r="G616">
        <f t="shared" si="289"/>
        <v>2025</v>
      </c>
      <c r="H616" t="s">
        <v>89</v>
      </c>
      <c r="I616" s="4">
        <v>45757</v>
      </c>
      <c r="J616" s="8">
        <f t="shared" si="280"/>
        <v>-55</v>
      </c>
      <c r="K616" s="8" t="str">
        <f t="shared" si="290"/>
        <v>INVAILD_SHIPPING</v>
      </c>
      <c r="L616" t="s">
        <v>1316</v>
      </c>
      <c r="M616" t="s">
        <v>71</v>
      </c>
      <c r="N616" t="str">
        <f t="shared" si="281"/>
        <v>Ananya Rao</v>
      </c>
      <c r="O616" t="s">
        <v>107</v>
      </c>
      <c r="P616" t="str">
        <f t="shared" si="304"/>
        <v>Corporate</v>
      </c>
      <c r="Q616" t="s">
        <v>72</v>
      </c>
      <c r="R616" t="str">
        <f t="shared" si="306"/>
        <v>West</v>
      </c>
      <c r="S616" t="str">
        <f t="shared" si="291"/>
        <v>OK</v>
      </c>
      <c r="T616" t="s">
        <v>234</v>
      </c>
      <c r="U616" t="str">
        <f t="shared" si="282"/>
        <v>Gujarat</v>
      </c>
      <c r="V616" t="s">
        <v>235</v>
      </c>
      <c r="W616" t="str">
        <f t="shared" si="283"/>
        <v>Ahmedabad</v>
      </c>
      <c r="X616" t="str">
        <f t="shared" si="284"/>
        <v>Furniture</v>
      </c>
      <c r="Y616" t="s">
        <v>44</v>
      </c>
      <c r="Z616" t="s">
        <v>45</v>
      </c>
      <c r="AA616" t="str">
        <f t="shared" si="285"/>
        <v>Tables</v>
      </c>
      <c r="AB616" t="s">
        <v>1317</v>
      </c>
      <c r="AC616" t="s">
        <v>32</v>
      </c>
      <c r="AD616" t="str">
        <f t="shared" si="305"/>
        <v>Second Class</v>
      </c>
      <c r="AE616" t="str">
        <f t="shared" si="292"/>
        <v>OK</v>
      </c>
      <c r="AF616">
        <v>6</v>
      </c>
      <c r="AG616">
        <v>1022.16</v>
      </c>
      <c r="AH616">
        <v>0</v>
      </c>
      <c r="AI616">
        <f t="shared" si="293"/>
        <v>0</v>
      </c>
      <c r="AJ616" t="str">
        <f t="shared" si="294"/>
        <v>OK</v>
      </c>
      <c r="AK616">
        <v>6132.96</v>
      </c>
      <c r="AL616">
        <v>4881.1000000000004</v>
      </c>
      <c r="AM616">
        <v>1251.8599999999999</v>
      </c>
      <c r="AN616" t="s">
        <v>33</v>
      </c>
      <c r="AO616" t="str">
        <f t="shared" si="286"/>
        <v>PAID</v>
      </c>
      <c r="AP616" t="str">
        <f t="shared" si="295"/>
        <v>OK</v>
      </c>
      <c r="AQ616" t="s">
        <v>34</v>
      </c>
      <c r="AR616" t="str">
        <f t="shared" si="287"/>
        <v>COMPLETED</v>
      </c>
      <c r="AS616" t="str">
        <f t="shared" si="296"/>
        <v>OK</v>
      </c>
      <c r="AT616">
        <f t="shared" si="297"/>
        <v>6132.96</v>
      </c>
      <c r="AU616">
        <f t="shared" si="298"/>
        <v>1251.8599999999997</v>
      </c>
      <c r="AV616" s="6">
        <f t="shared" si="299"/>
        <v>1.4868285460854134</v>
      </c>
      <c r="AW616" t="str">
        <f t="shared" si="300"/>
        <v>CLEAN</v>
      </c>
      <c r="AX616" s="10" t="str">
        <f t="shared" si="301"/>
        <v>MATCH</v>
      </c>
      <c r="AY616" t="str">
        <f t="shared" si="302"/>
        <v>MATCH</v>
      </c>
    </row>
    <row r="617" spans="1:51">
      <c r="A617" t="s">
        <v>1318</v>
      </c>
      <c r="B617">
        <f t="shared" si="278"/>
        <v>1</v>
      </c>
      <c r="C617" t="s">
        <v>1319</v>
      </c>
      <c r="D617" s="3">
        <v>45833</v>
      </c>
      <c r="E617" t="str">
        <f t="shared" si="279"/>
        <v>2025/06/25</v>
      </c>
      <c r="F617" t="str">
        <f t="shared" si="288"/>
        <v>June</v>
      </c>
      <c r="G617">
        <f t="shared" si="289"/>
        <v>2025</v>
      </c>
      <c r="H617" t="s">
        <v>1214</v>
      </c>
      <c r="I617" s="4">
        <v>45836</v>
      </c>
      <c r="J617" s="8">
        <f t="shared" si="280"/>
        <v>3</v>
      </c>
      <c r="K617" s="8" t="str">
        <f t="shared" si="290"/>
        <v>OK</v>
      </c>
      <c r="L617" t="s">
        <v>1320</v>
      </c>
      <c r="M617" t="s">
        <v>60</v>
      </c>
      <c r="N617" t="str">
        <f t="shared" si="281"/>
        <v>Arjun Bose</v>
      </c>
      <c r="O617" t="s">
        <v>107</v>
      </c>
      <c r="P617" t="str">
        <f t="shared" si="304"/>
        <v>Corporate</v>
      </c>
      <c r="Q617" t="s">
        <v>26</v>
      </c>
      <c r="R617" t="str">
        <f t="shared" si="306"/>
        <v>North</v>
      </c>
      <c r="S617" t="str">
        <f t="shared" si="291"/>
        <v>OK</v>
      </c>
      <c r="T617" t="s">
        <v>322</v>
      </c>
      <c r="U617" t="str">
        <f t="shared" si="282"/>
        <v>Haryana</v>
      </c>
      <c r="V617" t="s">
        <v>323</v>
      </c>
      <c r="W617" t="str">
        <f t="shared" si="283"/>
        <v>Gurugram</v>
      </c>
      <c r="X617" t="str">
        <f t="shared" si="284"/>
        <v>Office Supplies</v>
      </c>
      <c r="Y617" t="s">
        <v>29</v>
      </c>
      <c r="Z617" t="s">
        <v>155</v>
      </c>
      <c r="AA617" t="str">
        <f t="shared" si="285"/>
        <v>Storage</v>
      </c>
      <c r="AB617" t="s">
        <v>1321</v>
      </c>
      <c r="AC617" t="s">
        <v>55</v>
      </c>
      <c r="AD617" t="str">
        <f t="shared" si="305"/>
        <v>First Class</v>
      </c>
      <c r="AE617" t="str">
        <f t="shared" si="292"/>
        <v>OK</v>
      </c>
      <c r="AF617">
        <v>2</v>
      </c>
      <c r="AG617">
        <v>1455.92</v>
      </c>
      <c r="AH617">
        <v>0.2</v>
      </c>
      <c r="AI617">
        <f t="shared" si="293"/>
        <v>0.2</v>
      </c>
      <c r="AJ617" t="str">
        <f t="shared" si="294"/>
        <v>OK</v>
      </c>
      <c r="AK617">
        <v>2329.4699999999998</v>
      </c>
      <c r="AL617">
        <v>1603.62</v>
      </c>
      <c r="AM617">
        <v>725.85</v>
      </c>
      <c r="AN617" t="s">
        <v>136</v>
      </c>
      <c r="AO617" t="str">
        <f t="shared" si="286"/>
        <v>PENDING</v>
      </c>
      <c r="AP617" t="str">
        <f t="shared" si="295"/>
        <v>OK</v>
      </c>
      <c r="AQ617" t="s">
        <v>124</v>
      </c>
      <c r="AR617" t="str">
        <f t="shared" si="287"/>
        <v>RETURNED</v>
      </c>
      <c r="AS617" t="str">
        <f t="shared" si="296"/>
        <v>RETURNED_ORDER</v>
      </c>
      <c r="AT617">
        <f t="shared" si="297"/>
        <v>2329.4720000000002</v>
      </c>
      <c r="AU617">
        <f t="shared" si="298"/>
        <v>725.85200000000032</v>
      </c>
      <c r="AV617" s="6">
        <f t="shared" si="299"/>
        <v>2.7622375370899497</v>
      </c>
      <c r="AW617" t="str">
        <f t="shared" si="300"/>
        <v>CLEAN</v>
      </c>
      <c r="AX617" s="10" t="str">
        <f t="shared" si="301"/>
        <v>MATCH</v>
      </c>
      <c r="AY617" t="str">
        <f t="shared" si="302"/>
        <v>MATCH</v>
      </c>
    </row>
    <row r="618" spans="1:51">
      <c r="A618" t="s">
        <v>1327</v>
      </c>
      <c r="B618">
        <f t="shared" si="278"/>
        <v>1</v>
      </c>
      <c r="C618" t="s">
        <v>1328</v>
      </c>
      <c r="D618" s="3">
        <v>45658</v>
      </c>
      <c r="E618" t="str">
        <f t="shared" si="279"/>
        <v>2025/01/01</v>
      </c>
      <c r="F618" t="str">
        <f t="shared" si="288"/>
        <v>January</v>
      </c>
      <c r="G618">
        <f t="shared" si="289"/>
        <v>2025</v>
      </c>
      <c r="H618" t="s">
        <v>1329</v>
      </c>
      <c r="I618" s="4">
        <v>45717</v>
      </c>
      <c r="J618" s="8">
        <f t="shared" si="280"/>
        <v>59</v>
      </c>
      <c r="K618" s="8" t="str">
        <f t="shared" si="290"/>
        <v>OK</v>
      </c>
      <c r="L618" t="s">
        <v>1330</v>
      </c>
      <c r="M618" t="s">
        <v>71</v>
      </c>
      <c r="N618" t="str">
        <f t="shared" si="281"/>
        <v>Ananya Rao</v>
      </c>
      <c r="O618" t="s">
        <v>25</v>
      </c>
      <c r="P618" t="str">
        <f t="shared" si="304"/>
        <v>Consumer</v>
      </c>
      <c r="Q618" t="s">
        <v>72</v>
      </c>
      <c r="R618" t="str">
        <f t="shared" si="306"/>
        <v>West</v>
      </c>
      <c r="S618" t="str">
        <f t="shared" si="291"/>
        <v>OK</v>
      </c>
      <c r="T618" t="s">
        <v>83</v>
      </c>
      <c r="U618" t="str">
        <f t="shared" si="282"/>
        <v>Madhya Pradesh</v>
      </c>
      <c r="V618" t="s">
        <v>84</v>
      </c>
      <c r="W618" t="str">
        <f t="shared" si="283"/>
        <v>Indore</v>
      </c>
      <c r="X618" t="str">
        <f t="shared" si="284"/>
        <v>Technology</v>
      </c>
      <c r="Y618" t="s">
        <v>85</v>
      </c>
      <c r="Z618" t="s">
        <v>86</v>
      </c>
      <c r="AA618" t="str">
        <f t="shared" si="285"/>
        <v>Accessories</v>
      </c>
      <c r="AB618" t="s">
        <v>1331</v>
      </c>
      <c r="AC618" t="s">
        <v>47</v>
      </c>
      <c r="AD618" t="str">
        <f t="shared" si="305"/>
        <v>Same Day</v>
      </c>
      <c r="AE618" t="str">
        <f t="shared" si="292"/>
        <v>OK</v>
      </c>
      <c r="AF618">
        <v>7</v>
      </c>
      <c r="AG618">
        <v>1000.55</v>
      </c>
      <c r="AH618">
        <v>0.2</v>
      </c>
      <c r="AI618">
        <f t="shared" si="293"/>
        <v>0.2</v>
      </c>
      <c r="AJ618" t="str">
        <f t="shared" si="294"/>
        <v>OK</v>
      </c>
      <c r="AK618">
        <v>5603.08</v>
      </c>
      <c r="AL618">
        <v>3132.52</v>
      </c>
      <c r="AM618">
        <v>2470.56</v>
      </c>
      <c r="AN618" t="s">
        <v>33</v>
      </c>
      <c r="AO618" t="str">
        <f t="shared" si="286"/>
        <v>PAID</v>
      </c>
      <c r="AP618" t="str">
        <f t="shared" si="295"/>
        <v>OK</v>
      </c>
      <c r="AQ618" t="s">
        <v>124</v>
      </c>
      <c r="AR618" t="str">
        <f t="shared" si="287"/>
        <v>RETURNED</v>
      </c>
      <c r="AS618" t="str">
        <f t="shared" si="296"/>
        <v>RETURNED_ORDER</v>
      </c>
      <c r="AT618">
        <f t="shared" si="297"/>
        <v>5603.08</v>
      </c>
      <c r="AU618">
        <f t="shared" si="298"/>
        <v>2470.56</v>
      </c>
      <c r="AV618" s="6">
        <f t="shared" si="299"/>
        <v>0.6347928282301879</v>
      </c>
      <c r="AW618" t="str">
        <f t="shared" si="300"/>
        <v>CLEAN</v>
      </c>
      <c r="AX618" s="10" t="str">
        <f t="shared" si="301"/>
        <v>MATCH</v>
      </c>
      <c r="AY618" t="str">
        <f t="shared" si="302"/>
        <v>MATCH</v>
      </c>
    </row>
    <row r="619" spans="1:51">
      <c r="A619" t="s">
        <v>1332</v>
      </c>
      <c r="B619">
        <f t="shared" si="278"/>
        <v>1</v>
      </c>
      <c r="C619" t="s">
        <v>1333</v>
      </c>
      <c r="D619" s="3">
        <v>45749</v>
      </c>
      <c r="E619" t="str">
        <f t="shared" si="279"/>
        <v>2025/04/02</v>
      </c>
      <c r="F619" t="str">
        <f t="shared" si="288"/>
        <v>April</v>
      </c>
      <c r="G619">
        <f t="shared" si="289"/>
        <v>2025</v>
      </c>
      <c r="H619" t="s">
        <v>1334</v>
      </c>
      <c r="I619" s="4">
        <v>45698</v>
      </c>
      <c r="J619" s="8">
        <f t="shared" si="280"/>
        <v>-51</v>
      </c>
      <c r="K619" s="8" t="str">
        <f t="shared" si="290"/>
        <v>INVAILD_SHIPPING</v>
      </c>
      <c r="L619" t="s">
        <v>1335</v>
      </c>
      <c r="M619" t="s">
        <v>52</v>
      </c>
      <c r="N619" t="str">
        <f t="shared" si="281"/>
        <v>Isha Nair</v>
      </c>
      <c r="O619" t="s">
        <v>107</v>
      </c>
      <c r="P619" t="str">
        <f t="shared" si="304"/>
        <v>Corporate</v>
      </c>
      <c r="Q619" t="s">
        <v>72</v>
      </c>
      <c r="R619" t="str">
        <f t="shared" si="306"/>
        <v>West</v>
      </c>
      <c r="S619" t="str">
        <f t="shared" si="291"/>
        <v>OK</v>
      </c>
      <c r="T619" t="s">
        <v>73</v>
      </c>
      <c r="U619" t="str">
        <f t="shared" si="282"/>
        <v>Maharashtra</v>
      </c>
      <c r="V619" t="s">
        <v>74</v>
      </c>
      <c r="W619" t="str">
        <f t="shared" si="283"/>
        <v>Mumbai</v>
      </c>
      <c r="X619" t="str">
        <f t="shared" si="284"/>
        <v>Technology</v>
      </c>
      <c r="Y619" t="s">
        <v>85</v>
      </c>
      <c r="Z619" t="s">
        <v>222</v>
      </c>
      <c r="AA619" t="str">
        <f t="shared" si="285"/>
        <v>Phones</v>
      </c>
      <c r="AB619" t="s">
        <v>1336</v>
      </c>
      <c r="AC619" t="s">
        <v>55</v>
      </c>
      <c r="AD619" t="str">
        <f t="shared" si="305"/>
        <v>First Class</v>
      </c>
      <c r="AE619" t="str">
        <f t="shared" si="292"/>
        <v>OK</v>
      </c>
      <c r="AF619">
        <v>7</v>
      </c>
      <c r="AG619">
        <v>1830</v>
      </c>
      <c r="AH619">
        <v>0</v>
      </c>
      <c r="AI619">
        <f t="shared" si="293"/>
        <v>0</v>
      </c>
      <c r="AJ619" t="str">
        <f t="shared" si="294"/>
        <v>OK</v>
      </c>
      <c r="AK619">
        <v>12810</v>
      </c>
      <c r="AL619">
        <v>9334.1200000000008</v>
      </c>
      <c r="AM619">
        <v>3475.88</v>
      </c>
      <c r="AN619" t="s">
        <v>33</v>
      </c>
      <c r="AO619" t="str">
        <f t="shared" si="286"/>
        <v>PAID</v>
      </c>
      <c r="AP619" t="str">
        <f t="shared" si="295"/>
        <v>OK</v>
      </c>
      <c r="AQ619" t="s">
        <v>34</v>
      </c>
      <c r="AR619" t="str">
        <f t="shared" si="287"/>
        <v>COMPLETED</v>
      </c>
      <c r="AS619" t="str">
        <f t="shared" si="296"/>
        <v>OK</v>
      </c>
      <c r="AT619">
        <f t="shared" si="297"/>
        <v>12810</v>
      </c>
      <c r="AU619">
        <f t="shared" si="298"/>
        <v>3475.8799999999992</v>
      </c>
      <c r="AV619" s="6">
        <f t="shared" si="299"/>
        <v>0.54420304449648715</v>
      </c>
      <c r="AW619" t="str">
        <f t="shared" si="300"/>
        <v>CLEAN</v>
      </c>
      <c r="AX619" s="10" t="str">
        <f t="shared" si="301"/>
        <v>MATCH</v>
      </c>
      <c r="AY619" t="str">
        <f t="shared" si="302"/>
        <v>MATCH</v>
      </c>
    </row>
    <row r="620" spans="1:51">
      <c r="A620" t="s">
        <v>1341</v>
      </c>
      <c r="B620">
        <f t="shared" si="278"/>
        <v>1</v>
      </c>
      <c r="C620" t="s">
        <v>1342</v>
      </c>
      <c r="D620" s="3">
        <v>45908</v>
      </c>
      <c r="E620" t="str">
        <f t="shared" si="279"/>
        <v>2025/09/08</v>
      </c>
      <c r="F620" t="str">
        <f t="shared" si="288"/>
        <v>September</v>
      </c>
      <c r="G620">
        <f t="shared" si="289"/>
        <v>2025</v>
      </c>
      <c r="H620" t="s">
        <v>1343</v>
      </c>
      <c r="I620" s="4">
        <v>45881</v>
      </c>
      <c r="J620" s="8">
        <f t="shared" si="280"/>
        <v>-27</v>
      </c>
      <c r="K620" s="8" t="str">
        <f t="shared" si="290"/>
        <v>INVAILD_SHIPPING</v>
      </c>
      <c r="L620" t="s">
        <v>1344</v>
      </c>
      <c r="M620" t="s">
        <v>209</v>
      </c>
      <c r="N620" t="str">
        <f t="shared" si="281"/>
        <v>Diya Patel</v>
      </c>
      <c r="O620" t="s">
        <v>107</v>
      </c>
      <c r="P620" t="str">
        <f t="shared" si="304"/>
        <v>Corporate</v>
      </c>
      <c r="Q620" t="s">
        <v>61</v>
      </c>
      <c r="R620" t="str">
        <f t="shared" si="306"/>
        <v>South</v>
      </c>
      <c r="S620" t="str">
        <f t="shared" si="291"/>
        <v>OK</v>
      </c>
      <c r="T620" t="s">
        <v>228</v>
      </c>
      <c r="U620" t="str">
        <f t="shared" si="282"/>
        <v>Karnataka</v>
      </c>
      <c r="V620" t="s">
        <v>229</v>
      </c>
      <c r="W620" t="str">
        <f t="shared" si="283"/>
        <v>Bengaluru</v>
      </c>
      <c r="X620" t="str">
        <f t="shared" si="284"/>
        <v>Technology</v>
      </c>
      <c r="Y620" t="s">
        <v>85</v>
      </c>
      <c r="Z620" t="s">
        <v>86</v>
      </c>
      <c r="AA620" t="str">
        <f t="shared" si="285"/>
        <v>Accessories</v>
      </c>
      <c r="AB620" t="s">
        <v>1345</v>
      </c>
      <c r="AC620" t="s">
        <v>32</v>
      </c>
      <c r="AD620" t="str">
        <f t="shared" si="305"/>
        <v>Second Class</v>
      </c>
      <c r="AE620" t="str">
        <f t="shared" si="292"/>
        <v>OK</v>
      </c>
      <c r="AF620">
        <v>2</v>
      </c>
      <c r="AG620">
        <v>3237.27</v>
      </c>
      <c r="AH620">
        <v>0</v>
      </c>
      <c r="AI620">
        <f t="shared" si="293"/>
        <v>0</v>
      </c>
      <c r="AJ620" t="str">
        <f t="shared" si="294"/>
        <v>OK</v>
      </c>
      <c r="AK620">
        <v>6474.54</v>
      </c>
      <c r="AL620">
        <v>5095.91</v>
      </c>
      <c r="AM620">
        <v>1378.63</v>
      </c>
      <c r="AN620" t="s">
        <v>33</v>
      </c>
      <c r="AO620" t="str">
        <f t="shared" si="286"/>
        <v>PAID</v>
      </c>
      <c r="AP620" t="str">
        <f t="shared" si="295"/>
        <v>OK</v>
      </c>
      <c r="AQ620" t="s">
        <v>77</v>
      </c>
      <c r="AR620" t="str">
        <f t="shared" si="287"/>
        <v>CANCELLED</v>
      </c>
      <c r="AS620" t="str">
        <f t="shared" si="296"/>
        <v>EXCLUDE_FROM_SALES</v>
      </c>
      <c r="AT620">
        <f t="shared" si="297"/>
        <v>6474.54</v>
      </c>
      <c r="AU620">
        <f t="shared" si="298"/>
        <v>1378.63</v>
      </c>
      <c r="AV620" s="6">
        <f t="shared" si="299"/>
        <v>5.2759578286642801E-2</v>
      </c>
      <c r="AW620" t="str">
        <f t="shared" si="300"/>
        <v>CLEAN</v>
      </c>
      <c r="AX620" s="10" t="str">
        <f t="shared" si="301"/>
        <v>MATCH</v>
      </c>
      <c r="AY620" t="str">
        <f t="shared" si="302"/>
        <v>MATCH</v>
      </c>
    </row>
    <row r="621" spans="1:51">
      <c r="A621" t="s">
        <v>1355</v>
      </c>
      <c r="B621">
        <f t="shared" si="278"/>
        <v>1</v>
      </c>
      <c r="C621" t="s">
        <v>1356</v>
      </c>
      <c r="D621" s="3">
        <v>45923</v>
      </c>
      <c r="E621" t="str">
        <f t="shared" si="279"/>
        <v>2025/09/23</v>
      </c>
      <c r="F621" t="str">
        <f t="shared" si="288"/>
        <v>September</v>
      </c>
      <c r="G621">
        <f t="shared" si="289"/>
        <v>2025</v>
      </c>
      <c r="H621" t="s">
        <v>1357</v>
      </c>
      <c r="I621" s="4">
        <v>45927</v>
      </c>
      <c r="J621" s="8">
        <f t="shared" si="280"/>
        <v>4</v>
      </c>
      <c r="K621" s="8" t="str">
        <f t="shared" si="290"/>
        <v>OK</v>
      </c>
      <c r="L621" t="s">
        <v>1358</v>
      </c>
      <c r="M621" t="s">
        <v>106</v>
      </c>
      <c r="N621" t="str">
        <f t="shared" si="281"/>
        <v>Aditi Sen</v>
      </c>
      <c r="O621" t="s">
        <v>107</v>
      </c>
      <c r="P621" t="str">
        <f t="shared" si="304"/>
        <v>Corporate</v>
      </c>
      <c r="Q621" t="s">
        <v>41</v>
      </c>
      <c r="R621" t="str">
        <f t="shared" si="306"/>
        <v>East</v>
      </c>
      <c r="S621" t="str">
        <f t="shared" si="291"/>
        <v>OK</v>
      </c>
      <c r="T621" t="s">
        <v>120</v>
      </c>
      <c r="U621" t="str">
        <f t="shared" si="282"/>
        <v>West Bengal</v>
      </c>
      <c r="V621" t="s">
        <v>121</v>
      </c>
      <c r="W621" t="str">
        <f t="shared" si="283"/>
        <v>Kolkata</v>
      </c>
      <c r="X621" t="str">
        <f t="shared" si="284"/>
        <v>Office Supplies</v>
      </c>
      <c r="Y621" t="s">
        <v>29</v>
      </c>
      <c r="Z621" t="s">
        <v>197</v>
      </c>
      <c r="AA621" t="str">
        <f t="shared" si="285"/>
        <v>Binders</v>
      </c>
      <c r="AB621" t="s">
        <v>1359</v>
      </c>
      <c r="AC621" t="s">
        <v>47</v>
      </c>
      <c r="AD621" t="str">
        <f t="shared" si="305"/>
        <v>Same Day</v>
      </c>
      <c r="AE621" t="str">
        <f t="shared" si="292"/>
        <v>OK</v>
      </c>
      <c r="AF621">
        <v>7</v>
      </c>
      <c r="AG621">
        <v>2897.12</v>
      </c>
      <c r="AH621">
        <v>0.25</v>
      </c>
      <c r="AI621">
        <f t="shared" si="293"/>
        <v>0.25</v>
      </c>
      <c r="AJ621" t="str">
        <f t="shared" si="294"/>
        <v>OK</v>
      </c>
      <c r="AK621">
        <v>15209.88</v>
      </c>
      <c r="AL621">
        <v>10891.15</v>
      </c>
      <c r="AM621">
        <v>4318.7299999999996</v>
      </c>
      <c r="AN621" t="s">
        <v>199</v>
      </c>
      <c r="AO621" t="str">
        <f t="shared" si="286"/>
        <v>FAILED</v>
      </c>
      <c r="AP621" t="str">
        <f t="shared" si="295"/>
        <v>EXCLUDE_FROM_SALES</v>
      </c>
      <c r="AQ621" t="s">
        <v>124</v>
      </c>
      <c r="AR621" t="str">
        <f t="shared" si="287"/>
        <v>RETURNED</v>
      </c>
      <c r="AS621" t="str">
        <f t="shared" si="296"/>
        <v>RETURNED_ORDER</v>
      </c>
      <c r="AT621">
        <f t="shared" si="297"/>
        <v>15209.880000000001</v>
      </c>
      <c r="AU621">
        <f t="shared" si="298"/>
        <v>4318.7300000000014</v>
      </c>
      <c r="AV621" s="6">
        <f t="shared" si="299"/>
        <v>0.1696422325488432</v>
      </c>
      <c r="AW621" t="str">
        <f t="shared" si="300"/>
        <v>CLEAN</v>
      </c>
      <c r="AX621" s="10" t="str">
        <f t="shared" si="301"/>
        <v>MATCH</v>
      </c>
      <c r="AY621" t="str">
        <f t="shared" si="302"/>
        <v>MATCH</v>
      </c>
    </row>
    <row r="622" spans="1:51">
      <c r="A622" t="s">
        <v>1360</v>
      </c>
      <c r="B622">
        <f t="shared" si="278"/>
        <v>1</v>
      </c>
      <c r="C622" t="s">
        <v>1361</v>
      </c>
      <c r="D622" s="3">
        <v>45826</v>
      </c>
      <c r="E622" t="str">
        <f t="shared" si="279"/>
        <v>2025/06/18</v>
      </c>
      <c r="F622" t="str">
        <f t="shared" si="288"/>
        <v>June</v>
      </c>
      <c r="G622">
        <f t="shared" si="289"/>
        <v>2025</v>
      </c>
      <c r="H622" t="s">
        <v>1362</v>
      </c>
      <c r="I622" s="4">
        <v>45832</v>
      </c>
      <c r="J622" s="8">
        <f t="shared" si="280"/>
        <v>6</v>
      </c>
      <c r="K622" s="8" t="str">
        <f t="shared" si="290"/>
        <v>OK</v>
      </c>
      <c r="L622" t="s">
        <v>1363</v>
      </c>
      <c r="M622" t="s">
        <v>167</v>
      </c>
      <c r="N622" t="str">
        <f t="shared" si="281"/>
        <v>Sneha Kapoor</v>
      </c>
      <c r="O622" t="s">
        <v>107</v>
      </c>
      <c r="P622" t="str">
        <f t="shared" si="304"/>
        <v>Corporate</v>
      </c>
      <c r="Q622" t="s">
        <v>26</v>
      </c>
      <c r="R622" t="str">
        <f t="shared" si="306"/>
        <v>North</v>
      </c>
      <c r="S622" t="str">
        <f t="shared" si="291"/>
        <v>OK</v>
      </c>
      <c r="T622" t="s">
        <v>27</v>
      </c>
      <c r="U622" t="str">
        <f t="shared" si="282"/>
        <v>Rajasthan</v>
      </c>
      <c r="V622" t="s">
        <v>28</v>
      </c>
      <c r="W622" t="str">
        <f t="shared" si="283"/>
        <v>Jaipur</v>
      </c>
      <c r="X622" t="str">
        <f t="shared" si="284"/>
        <v>Office Supplies</v>
      </c>
      <c r="Y622" t="s">
        <v>29</v>
      </c>
      <c r="Z622" t="s">
        <v>108</v>
      </c>
      <c r="AA622" t="str">
        <f t="shared" si="285"/>
        <v>Labels</v>
      </c>
      <c r="AB622" t="s">
        <v>1364</v>
      </c>
      <c r="AC622" t="s">
        <v>66</v>
      </c>
      <c r="AD622" t="str">
        <f t="shared" si="305"/>
        <v>Standard Class</v>
      </c>
      <c r="AE622" t="str">
        <f t="shared" si="292"/>
        <v>OK</v>
      </c>
      <c r="AF622">
        <v>3</v>
      </c>
      <c r="AG622">
        <v>686.74</v>
      </c>
      <c r="AH622">
        <v>0.2</v>
      </c>
      <c r="AI622">
        <f t="shared" si="293"/>
        <v>0.2</v>
      </c>
      <c r="AJ622" t="str">
        <f t="shared" si="294"/>
        <v>OK</v>
      </c>
      <c r="AK622">
        <v>1648.18</v>
      </c>
      <c r="AL622">
        <v>987.91</v>
      </c>
      <c r="AM622">
        <v>660.27</v>
      </c>
      <c r="AN622" t="s">
        <v>199</v>
      </c>
      <c r="AO622" t="str">
        <f t="shared" si="286"/>
        <v>FAILED</v>
      </c>
      <c r="AP622" t="str">
        <f t="shared" si="295"/>
        <v>EXCLUDE_FROM_SALES</v>
      </c>
      <c r="AQ622" t="s">
        <v>77</v>
      </c>
      <c r="AR622" t="str">
        <f t="shared" si="287"/>
        <v>CANCELLED</v>
      </c>
      <c r="AS622" t="str">
        <f t="shared" si="296"/>
        <v>EXCLUDE_FROM_SALES</v>
      </c>
      <c r="AT622">
        <f t="shared" si="297"/>
        <v>1648.1760000000004</v>
      </c>
      <c r="AU622">
        <f t="shared" si="298"/>
        <v>660.26600000000042</v>
      </c>
      <c r="AV622" s="6">
        <f t="shared" si="299"/>
        <v>0.98902665734727346</v>
      </c>
      <c r="AW622" t="str">
        <f t="shared" si="300"/>
        <v>CLEAN</v>
      </c>
      <c r="AX622" s="10" t="str">
        <f t="shared" si="301"/>
        <v>MATCH</v>
      </c>
      <c r="AY622" t="str">
        <f t="shared" si="302"/>
        <v>MATCH</v>
      </c>
    </row>
    <row r="623" spans="1:51">
      <c r="A623" t="s">
        <v>1365</v>
      </c>
      <c r="B623">
        <f t="shared" si="278"/>
        <v>1</v>
      </c>
      <c r="C623" t="s">
        <v>1366</v>
      </c>
      <c r="D623" s="3">
        <v>45803</v>
      </c>
      <c r="E623" t="str">
        <f t="shared" si="279"/>
        <v>2025/05/26</v>
      </c>
      <c r="F623" t="str">
        <f t="shared" si="288"/>
        <v>May</v>
      </c>
      <c r="G623">
        <f t="shared" si="289"/>
        <v>2025</v>
      </c>
      <c r="H623" t="s">
        <v>1367</v>
      </c>
      <c r="I623" s="4">
        <v>45809</v>
      </c>
      <c r="J623" s="8">
        <f t="shared" si="280"/>
        <v>6</v>
      </c>
      <c r="K623" s="8" t="str">
        <f t="shared" si="290"/>
        <v>OK</v>
      </c>
      <c r="L623" t="s">
        <v>949</v>
      </c>
      <c r="M623" t="s">
        <v>60</v>
      </c>
      <c r="N623" t="str">
        <f t="shared" si="281"/>
        <v>Arjun Bose</v>
      </c>
      <c r="O623" t="s">
        <v>40</v>
      </c>
      <c r="P623" t="str">
        <f t="shared" si="304"/>
        <v>Small Business</v>
      </c>
      <c r="Q623" t="s">
        <v>26</v>
      </c>
      <c r="R623" t="str">
        <f t="shared" si="306"/>
        <v>North</v>
      </c>
      <c r="S623" t="str">
        <f t="shared" si="291"/>
        <v>OK</v>
      </c>
      <c r="T623" t="s">
        <v>505</v>
      </c>
      <c r="U623" t="str">
        <f t="shared" si="282"/>
        <v>Delhi</v>
      </c>
      <c r="V623" t="s">
        <v>506</v>
      </c>
      <c r="W623" t="str">
        <f t="shared" si="283"/>
        <v>New Delhi</v>
      </c>
      <c r="X623" t="str">
        <f t="shared" si="284"/>
        <v>Technology</v>
      </c>
      <c r="Y623" t="s">
        <v>85</v>
      </c>
      <c r="Z623" t="s">
        <v>222</v>
      </c>
      <c r="AA623" t="str">
        <f t="shared" si="285"/>
        <v>Phones</v>
      </c>
      <c r="AB623" t="s">
        <v>1368</v>
      </c>
      <c r="AC623" t="s">
        <v>47</v>
      </c>
      <c r="AD623" t="str">
        <f t="shared" si="305"/>
        <v>Same Day</v>
      </c>
      <c r="AE623" t="str">
        <f t="shared" si="292"/>
        <v>OK</v>
      </c>
      <c r="AF623">
        <v>4</v>
      </c>
      <c r="AG623">
        <v>3349.86</v>
      </c>
      <c r="AH623">
        <v>0</v>
      </c>
      <c r="AI623">
        <f t="shared" si="293"/>
        <v>0</v>
      </c>
      <c r="AJ623" t="str">
        <f t="shared" si="294"/>
        <v>OK</v>
      </c>
      <c r="AK623">
        <v>13399.44</v>
      </c>
      <c r="AL623">
        <v>8581.35</v>
      </c>
      <c r="AM623">
        <v>4818.09</v>
      </c>
      <c r="AN623" t="s">
        <v>136</v>
      </c>
      <c r="AO623" t="str">
        <f t="shared" si="286"/>
        <v>PENDING</v>
      </c>
      <c r="AP623" t="str">
        <f t="shared" si="295"/>
        <v>OK</v>
      </c>
      <c r="AQ623" t="s">
        <v>124</v>
      </c>
      <c r="AR623" t="str">
        <f t="shared" si="287"/>
        <v>RETURNED</v>
      </c>
      <c r="AS623" t="str">
        <f t="shared" si="296"/>
        <v>RETURNED_ORDER</v>
      </c>
      <c r="AT623">
        <f t="shared" si="297"/>
        <v>13399.44</v>
      </c>
      <c r="AU623">
        <f t="shared" si="298"/>
        <v>4818.09</v>
      </c>
      <c r="AV623" s="6">
        <f t="shared" si="299"/>
        <v>0.34406288621016995</v>
      </c>
      <c r="AW623" t="str">
        <f t="shared" si="300"/>
        <v>CLEAN</v>
      </c>
      <c r="AX623" s="10" t="str">
        <f t="shared" si="301"/>
        <v>MATCH</v>
      </c>
      <c r="AY623" t="str">
        <f t="shared" si="302"/>
        <v>MATCH</v>
      </c>
    </row>
    <row r="624" spans="1:51">
      <c r="A624" t="s">
        <v>1369</v>
      </c>
      <c r="B624">
        <f t="shared" si="278"/>
        <v>1</v>
      </c>
      <c r="C624" t="s">
        <v>1370</v>
      </c>
      <c r="D624" s="2">
        <v>45816</v>
      </c>
      <c r="E624" t="str">
        <f t="shared" si="279"/>
        <v>2025/06/08</v>
      </c>
      <c r="F624" t="str">
        <f t="shared" si="288"/>
        <v>June</v>
      </c>
      <c r="G624">
        <f t="shared" si="289"/>
        <v>2025</v>
      </c>
      <c r="H624" t="s">
        <v>943</v>
      </c>
      <c r="I624" s="4">
        <v>45938</v>
      </c>
      <c r="J624" s="8">
        <f t="shared" si="280"/>
        <v>122</v>
      </c>
      <c r="K624" s="8" t="str">
        <f t="shared" si="290"/>
        <v>OK</v>
      </c>
      <c r="L624" t="s">
        <v>1371</v>
      </c>
      <c r="M624" t="s">
        <v>179</v>
      </c>
      <c r="N624" t="str">
        <f t="shared" si="281"/>
        <v>Rohan Mehta</v>
      </c>
      <c r="O624" t="s">
        <v>40</v>
      </c>
      <c r="P624" t="str">
        <f t="shared" si="304"/>
        <v>Small Business</v>
      </c>
      <c r="Q624" t="s">
        <v>26</v>
      </c>
      <c r="R624" t="str">
        <f t="shared" si="306"/>
        <v>North</v>
      </c>
      <c r="S624" t="str">
        <f t="shared" si="291"/>
        <v>OK</v>
      </c>
      <c r="T624" t="s">
        <v>505</v>
      </c>
      <c r="U624" t="str">
        <f t="shared" si="282"/>
        <v>Delhi</v>
      </c>
      <c r="V624" t="s">
        <v>506</v>
      </c>
      <c r="W624" t="str">
        <f t="shared" si="283"/>
        <v>New Delhi</v>
      </c>
      <c r="X624" t="str">
        <f t="shared" si="284"/>
        <v>Office Supplies</v>
      </c>
      <c r="Y624" t="s">
        <v>29</v>
      </c>
      <c r="Z624" t="s">
        <v>197</v>
      </c>
      <c r="AA624" t="str">
        <f t="shared" si="285"/>
        <v>Binders</v>
      </c>
      <c r="AB624" t="s">
        <v>1372</v>
      </c>
      <c r="AC624" t="s">
        <v>32</v>
      </c>
      <c r="AD624" t="str">
        <f t="shared" si="305"/>
        <v>Second Class</v>
      </c>
      <c r="AE624" t="str">
        <f t="shared" si="292"/>
        <v>OK</v>
      </c>
      <c r="AF624">
        <v>9</v>
      </c>
      <c r="AG624">
        <v>4042.45</v>
      </c>
      <c r="AH624">
        <v>0.1</v>
      </c>
      <c r="AI624">
        <f t="shared" si="293"/>
        <v>0.1</v>
      </c>
      <c r="AJ624" t="str">
        <f t="shared" si="294"/>
        <v>OK</v>
      </c>
      <c r="AK624">
        <v>32743.84</v>
      </c>
      <c r="AL624">
        <v>22452.05</v>
      </c>
      <c r="AM624">
        <v>10291.790000000001</v>
      </c>
      <c r="AN624" t="s">
        <v>136</v>
      </c>
      <c r="AO624" t="str">
        <f t="shared" si="286"/>
        <v>PENDING</v>
      </c>
      <c r="AP624" t="str">
        <f t="shared" si="295"/>
        <v>OK</v>
      </c>
      <c r="AQ624" t="s">
        <v>124</v>
      </c>
      <c r="AR624" t="str">
        <f t="shared" si="287"/>
        <v>RETURNED</v>
      </c>
      <c r="AS624" t="str">
        <f t="shared" si="296"/>
        <v>RETURNED_ORDER</v>
      </c>
      <c r="AT624">
        <f t="shared" si="297"/>
        <v>32743.844999999998</v>
      </c>
      <c r="AU624">
        <f t="shared" si="298"/>
        <v>10291.794999999998</v>
      </c>
      <c r="AV624" s="6">
        <f t="shared" si="299"/>
        <v>0.32172086082132401</v>
      </c>
      <c r="AW624" t="str">
        <f t="shared" si="300"/>
        <v>CLEAN</v>
      </c>
      <c r="AX624" s="10" t="str">
        <f t="shared" si="301"/>
        <v>MISMATCH</v>
      </c>
      <c r="AY624" t="str">
        <f t="shared" si="302"/>
        <v>MISMATCH</v>
      </c>
    </row>
    <row r="625" spans="1:51">
      <c r="A625" t="s">
        <v>1382</v>
      </c>
      <c r="B625">
        <f t="shared" si="278"/>
        <v>1</v>
      </c>
      <c r="C625" t="s">
        <v>1383</v>
      </c>
      <c r="D625" s="3">
        <v>45721</v>
      </c>
      <c r="E625" t="str">
        <f t="shared" si="279"/>
        <v>2025/03/05</v>
      </c>
      <c r="F625" t="str">
        <f t="shared" si="288"/>
        <v>March</v>
      </c>
      <c r="G625">
        <f t="shared" si="289"/>
        <v>2025</v>
      </c>
      <c r="H625" t="s">
        <v>1384</v>
      </c>
      <c r="I625" s="4">
        <v>45787</v>
      </c>
      <c r="J625" s="8">
        <f t="shared" si="280"/>
        <v>66</v>
      </c>
      <c r="K625" s="8" t="str">
        <f t="shared" si="290"/>
        <v>OK</v>
      </c>
      <c r="L625" t="s">
        <v>1385</v>
      </c>
      <c r="M625" t="s">
        <v>92</v>
      </c>
      <c r="N625" t="str">
        <f t="shared" si="281"/>
        <v>Neha Gupta</v>
      </c>
      <c r="O625" t="s">
        <v>114</v>
      </c>
      <c r="P625" t="str">
        <f t="shared" si="304"/>
        <v>Home Office</v>
      </c>
      <c r="Q625" t="s">
        <v>72</v>
      </c>
      <c r="R625" t="str">
        <f t="shared" si="306"/>
        <v>West</v>
      </c>
      <c r="S625" t="str">
        <f t="shared" si="291"/>
        <v>OK</v>
      </c>
      <c r="T625" t="s">
        <v>73</v>
      </c>
      <c r="U625" t="str">
        <f t="shared" si="282"/>
        <v>Maharashtra</v>
      </c>
      <c r="V625" t="s">
        <v>74</v>
      </c>
      <c r="W625" t="str">
        <f t="shared" si="283"/>
        <v>Mumbai</v>
      </c>
      <c r="X625" t="str">
        <f t="shared" si="284"/>
        <v>Office Supplies</v>
      </c>
      <c r="Y625" t="s">
        <v>29</v>
      </c>
      <c r="Z625" t="s">
        <v>155</v>
      </c>
      <c r="AA625" t="str">
        <f t="shared" si="285"/>
        <v>Storage</v>
      </c>
      <c r="AB625" t="s">
        <v>1386</v>
      </c>
      <c r="AC625" t="s">
        <v>32</v>
      </c>
      <c r="AD625" t="str">
        <f t="shared" si="305"/>
        <v>Second Class</v>
      </c>
      <c r="AE625" t="str">
        <f t="shared" si="292"/>
        <v>OK</v>
      </c>
      <c r="AF625">
        <v>3</v>
      </c>
      <c r="AG625">
        <v>4339.24</v>
      </c>
      <c r="AH625">
        <v>0</v>
      </c>
      <c r="AI625">
        <f t="shared" si="293"/>
        <v>0</v>
      </c>
      <c r="AJ625" t="str">
        <f t="shared" si="294"/>
        <v>OK</v>
      </c>
      <c r="AK625">
        <v>13017.72</v>
      </c>
      <c r="AL625">
        <v>10170.57</v>
      </c>
      <c r="AM625">
        <v>2847.15</v>
      </c>
      <c r="AN625" t="s">
        <v>33</v>
      </c>
      <c r="AO625" t="str">
        <f t="shared" si="286"/>
        <v>PAID</v>
      </c>
      <c r="AP625" t="str">
        <f t="shared" si="295"/>
        <v>OK</v>
      </c>
      <c r="AQ625" t="s">
        <v>34</v>
      </c>
      <c r="AR625" t="str">
        <f t="shared" si="287"/>
        <v>COMPLETED</v>
      </c>
      <c r="AS625" t="str">
        <f t="shared" si="296"/>
        <v>OK</v>
      </c>
      <c r="AT625">
        <f t="shared" si="297"/>
        <v>13017.72</v>
      </c>
      <c r="AU625">
        <f t="shared" si="298"/>
        <v>2847.1499999999996</v>
      </c>
      <c r="AV625" s="6">
        <f t="shared" si="299"/>
        <v>5.9575255881982432E-2</v>
      </c>
      <c r="AW625" t="str">
        <f t="shared" si="300"/>
        <v>CLEAN</v>
      </c>
      <c r="AX625" s="10" t="str">
        <f t="shared" si="301"/>
        <v>MATCH</v>
      </c>
      <c r="AY625" t="str">
        <f t="shared" si="302"/>
        <v>MATCH</v>
      </c>
    </row>
    <row r="626" spans="1:51">
      <c r="A626" t="s">
        <v>1387</v>
      </c>
      <c r="B626">
        <f t="shared" si="278"/>
        <v>1</v>
      </c>
      <c r="C626" t="s">
        <v>1017</v>
      </c>
      <c r="D626" s="2">
        <v>45805</v>
      </c>
      <c r="E626" t="str">
        <f t="shared" si="279"/>
        <v>2025/05/28</v>
      </c>
      <c r="F626" t="str">
        <f t="shared" si="288"/>
        <v>May</v>
      </c>
      <c r="G626">
        <f t="shared" si="289"/>
        <v>2025</v>
      </c>
      <c r="H626" t="s">
        <v>1388</v>
      </c>
      <c r="I626" s="4">
        <v>45753</v>
      </c>
      <c r="J626" s="8">
        <f t="shared" si="280"/>
        <v>-52</v>
      </c>
      <c r="K626" s="8" t="str">
        <f t="shared" si="290"/>
        <v>INVAILD_SHIPPING</v>
      </c>
      <c r="L626" t="s">
        <v>1389</v>
      </c>
      <c r="M626" t="s">
        <v>209</v>
      </c>
      <c r="N626" t="str">
        <f t="shared" si="281"/>
        <v>Diya Patel</v>
      </c>
      <c r="O626" t="s">
        <v>107</v>
      </c>
      <c r="P626" t="str">
        <f t="shared" si="304"/>
        <v>Corporate</v>
      </c>
      <c r="Q626" t="s">
        <v>41</v>
      </c>
      <c r="R626" t="str">
        <f t="shared" si="306"/>
        <v>East</v>
      </c>
      <c r="S626" t="str">
        <f t="shared" si="291"/>
        <v>OK</v>
      </c>
      <c r="T626" t="s">
        <v>310</v>
      </c>
      <c r="U626" t="str">
        <f t="shared" si="282"/>
        <v>Jharkhand</v>
      </c>
      <c r="V626" t="s">
        <v>311</v>
      </c>
      <c r="W626" t="str">
        <f t="shared" si="283"/>
        <v>Ranchi</v>
      </c>
      <c r="X626" t="str">
        <f t="shared" si="284"/>
        <v>Furniture</v>
      </c>
      <c r="Y626" t="s">
        <v>44</v>
      </c>
      <c r="Z626" t="s">
        <v>64</v>
      </c>
      <c r="AA626" t="str">
        <f t="shared" si="285"/>
        <v>Furnishings</v>
      </c>
      <c r="AB626" t="s">
        <v>1390</v>
      </c>
      <c r="AC626" t="s">
        <v>55</v>
      </c>
      <c r="AD626" t="str">
        <f t="shared" si="305"/>
        <v>First Class</v>
      </c>
      <c r="AE626" t="str">
        <f t="shared" si="292"/>
        <v>OK</v>
      </c>
      <c r="AF626">
        <v>4</v>
      </c>
      <c r="AG626">
        <v>261.8</v>
      </c>
      <c r="AH626">
        <v>0.25</v>
      </c>
      <c r="AI626">
        <f t="shared" si="293"/>
        <v>0.25</v>
      </c>
      <c r="AJ626" t="str">
        <f t="shared" si="294"/>
        <v>OK</v>
      </c>
      <c r="AK626">
        <v>785.4</v>
      </c>
      <c r="AL626">
        <v>557.22</v>
      </c>
      <c r="AM626">
        <v>228.18</v>
      </c>
      <c r="AN626" t="s">
        <v>33</v>
      </c>
      <c r="AO626" t="str">
        <f t="shared" si="286"/>
        <v>PAID</v>
      </c>
      <c r="AP626" t="str">
        <f t="shared" si="295"/>
        <v>OK</v>
      </c>
      <c r="AQ626" t="s">
        <v>34</v>
      </c>
      <c r="AR626" t="str">
        <f t="shared" si="287"/>
        <v>COMPLETED</v>
      </c>
      <c r="AS626" t="str">
        <f t="shared" si="296"/>
        <v>OK</v>
      </c>
      <c r="AT626">
        <f t="shared" si="297"/>
        <v>785.40000000000009</v>
      </c>
      <c r="AU626">
        <f t="shared" si="298"/>
        <v>228.18000000000006</v>
      </c>
      <c r="AV626" s="6">
        <f t="shared" si="299"/>
        <v>2.2551311433664352</v>
      </c>
      <c r="AW626" t="str">
        <f t="shared" si="300"/>
        <v>CLEAN</v>
      </c>
      <c r="AX626" s="10" t="str">
        <f t="shared" si="301"/>
        <v>MATCH</v>
      </c>
      <c r="AY626" t="str">
        <f t="shared" si="302"/>
        <v>MATCH</v>
      </c>
    </row>
    <row r="627" spans="1:51">
      <c r="A627" t="s">
        <v>1391</v>
      </c>
      <c r="B627">
        <f t="shared" si="278"/>
        <v>1</v>
      </c>
      <c r="C627" t="s">
        <v>1392</v>
      </c>
      <c r="D627" s="3">
        <v>45886</v>
      </c>
      <c r="E627" t="str">
        <f t="shared" si="279"/>
        <v>2025/08/17</v>
      </c>
      <c r="F627" t="str">
        <f t="shared" si="288"/>
        <v>August</v>
      </c>
      <c r="G627">
        <f t="shared" si="289"/>
        <v>2025</v>
      </c>
      <c r="H627" t="s">
        <v>1392</v>
      </c>
      <c r="I627" s="4">
        <v>45886</v>
      </c>
      <c r="J627" s="8">
        <f t="shared" si="280"/>
        <v>0</v>
      </c>
      <c r="K627" s="8" t="str">
        <f t="shared" si="290"/>
        <v>OK</v>
      </c>
      <c r="L627" t="s">
        <v>1393</v>
      </c>
      <c r="M627" t="s">
        <v>161</v>
      </c>
      <c r="N627" t="str">
        <f t="shared" si="281"/>
        <v>Aarav Sharma</v>
      </c>
      <c r="O627" t="s">
        <v>114</v>
      </c>
      <c r="P627" t="str">
        <f t="shared" si="304"/>
        <v>Home Office</v>
      </c>
      <c r="Q627" t="s">
        <v>26</v>
      </c>
      <c r="R627" t="str">
        <f t="shared" si="306"/>
        <v>North</v>
      </c>
      <c r="S627" t="str">
        <f t="shared" si="291"/>
        <v>OK</v>
      </c>
      <c r="T627" t="s">
        <v>153</v>
      </c>
      <c r="U627" t="str">
        <f t="shared" si="282"/>
        <v>Punjab</v>
      </c>
      <c r="V627" t="s">
        <v>154</v>
      </c>
      <c r="W627" t="str">
        <f t="shared" si="283"/>
        <v>Ludhiana</v>
      </c>
      <c r="X627" t="str">
        <f t="shared" si="284"/>
        <v>Technology</v>
      </c>
      <c r="Y627" t="s">
        <v>85</v>
      </c>
      <c r="Z627" t="s">
        <v>86</v>
      </c>
      <c r="AA627" t="str">
        <f t="shared" si="285"/>
        <v>Accessories</v>
      </c>
      <c r="AB627" t="s">
        <v>1394</v>
      </c>
      <c r="AC627" t="s">
        <v>55</v>
      </c>
      <c r="AD627" t="str">
        <f t="shared" si="305"/>
        <v>First Class</v>
      </c>
      <c r="AE627" t="str">
        <f t="shared" si="292"/>
        <v>OK</v>
      </c>
      <c r="AF627">
        <v>7</v>
      </c>
      <c r="AG627">
        <v>632.20000000000005</v>
      </c>
      <c r="AH627">
        <v>0.25</v>
      </c>
      <c r="AI627">
        <f t="shared" si="293"/>
        <v>0.25</v>
      </c>
      <c r="AJ627" t="str">
        <f t="shared" si="294"/>
        <v>OK</v>
      </c>
      <c r="AK627">
        <v>3319.05</v>
      </c>
      <c r="AL627">
        <v>2124.6</v>
      </c>
      <c r="AM627">
        <v>1194.45</v>
      </c>
      <c r="AN627" t="s">
        <v>33</v>
      </c>
      <c r="AO627" t="str">
        <f t="shared" si="286"/>
        <v>PAID</v>
      </c>
      <c r="AP627" t="str">
        <f t="shared" si="295"/>
        <v>OK</v>
      </c>
      <c r="AQ627" t="s">
        <v>34</v>
      </c>
      <c r="AR627" t="str">
        <f t="shared" si="287"/>
        <v>COMPLETED</v>
      </c>
      <c r="AS627" t="str">
        <f t="shared" si="296"/>
        <v>OK</v>
      </c>
      <c r="AT627">
        <f t="shared" si="297"/>
        <v>3319.05</v>
      </c>
      <c r="AU627">
        <f t="shared" si="298"/>
        <v>1194.4500000000003</v>
      </c>
      <c r="AV627" s="6">
        <f t="shared" si="299"/>
        <v>0.33419020502854718</v>
      </c>
      <c r="AW627" t="str">
        <f t="shared" si="300"/>
        <v>CLEAN</v>
      </c>
      <c r="AX627" s="10" t="str">
        <f t="shared" si="301"/>
        <v>MATCH</v>
      </c>
      <c r="AY627" t="str">
        <f t="shared" si="302"/>
        <v>MATCH</v>
      </c>
    </row>
    <row r="628" spans="1:51">
      <c r="A628" t="s">
        <v>1395</v>
      </c>
      <c r="B628">
        <f t="shared" si="278"/>
        <v>1</v>
      </c>
      <c r="C628" t="s">
        <v>1334</v>
      </c>
      <c r="D628" s="3">
        <v>45932</v>
      </c>
      <c r="E628" t="str">
        <f t="shared" si="279"/>
        <v>2025/10/02</v>
      </c>
      <c r="F628" t="str">
        <f t="shared" si="288"/>
        <v>October</v>
      </c>
      <c r="G628">
        <f t="shared" si="289"/>
        <v>2025</v>
      </c>
      <c r="H628" t="s">
        <v>1396</v>
      </c>
      <c r="I628" s="4">
        <v>45700</v>
      </c>
      <c r="J628" s="8">
        <f t="shared" si="280"/>
        <v>-232</v>
      </c>
      <c r="K628" s="8" t="str">
        <f t="shared" si="290"/>
        <v>INVAILD_SHIPPING</v>
      </c>
      <c r="L628" t="s">
        <v>1397</v>
      </c>
      <c r="M628" t="s">
        <v>147</v>
      </c>
      <c r="N628" t="str">
        <f t="shared" si="281"/>
        <v>Rahul Verma</v>
      </c>
      <c r="O628" t="s">
        <v>40</v>
      </c>
      <c r="P628" t="str">
        <f t="shared" si="304"/>
        <v>Small Business</v>
      </c>
      <c r="Q628" t="s">
        <v>72</v>
      </c>
      <c r="R628" t="str">
        <f t="shared" si="306"/>
        <v>West</v>
      </c>
      <c r="S628" t="str">
        <f t="shared" si="291"/>
        <v>OK</v>
      </c>
      <c r="T628" t="s">
        <v>27</v>
      </c>
      <c r="U628" t="str">
        <f t="shared" si="282"/>
        <v>Rajasthan</v>
      </c>
      <c r="V628" t="s">
        <v>134</v>
      </c>
      <c r="W628" t="str">
        <f t="shared" si="283"/>
        <v>Udaipur</v>
      </c>
      <c r="X628" t="str">
        <f t="shared" si="284"/>
        <v>Furniture</v>
      </c>
      <c r="Y628" t="s">
        <v>44</v>
      </c>
      <c r="Z628" t="s">
        <v>45</v>
      </c>
      <c r="AA628" t="str">
        <f t="shared" si="285"/>
        <v>Tables</v>
      </c>
      <c r="AB628" t="s">
        <v>1398</v>
      </c>
      <c r="AC628" t="s">
        <v>47</v>
      </c>
      <c r="AD628" t="str">
        <f t="shared" si="305"/>
        <v>Same Day</v>
      </c>
      <c r="AE628" t="str">
        <f t="shared" si="292"/>
        <v>OK</v>
      </c>
      <c r="AF628">
        <v>1</v>
      </c>
      <c r="AG628">
        <v>1925.86</v>
      </c>
      <c r="AH628">
        <v>0</v>
      </c>
      <c r="AI628">
        <f t="shared" si="293"/>
        <v>0</v>
      </c>
      <c r="AJ628" t="str">
        <f t="shared" si="294"/>
        <v>OK</v>
      </c>
      <c r="AK628">
        <v>1925.86</v>
      </c>
      <c r="AL628">
        <v>1321.89</v>
      </c>
      <c r="AM628">
        <v>603.97</v>
      </c>
      <c r="AN628" t="s">
        <v>33</v>
      </c>
      <c r="AO628" t="str">
        <f t="shared" si="286"/>
        <v>PAID</v>
      </c>
      <c r="AP628" t="str">
        <f t="shared" si="295"/>
        <v>OK</v>
      </c>
      <c r="AQ628" t="s">
        <v>34</v>
      </c>
      <c r="AR628" t="str">
        <f t="shared" si="287"/>
        <v>COMPLETED</v>
      </c>
      <c r="AS628" t="str">
        <f t="shared" si="296"/>
        <v>OK</v>
      </c>
      <c r="AT628">
        <f t="shared" si="297"/>
        <v>1925.86</v>
      </c>
      <c r="AU628">
        <f t="shared" si="298"/>
        <v>603.9699999999998</v>
      </c>
      <c r="AV628" s="6">
        <f t="shared" si="299"/>
        <v>0.57594736896762977</v>
      </c>
      <c r="AW628" t="str">
        <f t="shared" si="300"/>
        <v>CLEAN</v>
      </c>
      <c r="AX628" s="10" t="str">
        <f t="shared" si="301"/>
        <v>MATCH</v>
      </c>
      <c r="AY628" t="str">
        <f t="shared" si="302"/>
        <v>MATCH</v>
      </c>
    </row>
    <row r="629" spans="1:51">
      <c r="A629" t="s">
        <v>1412</v>
      </c>
      <c r="B629">
        <f t="shared" si="278"/>
        <v>1</v>
      </c>
      <c r="C629" t="s">
        <v>1413</v>
      </c>
      <c r="D629" s="3">
        <v>45701</v>
      </c>
      <c r="E629" t="str">
        <f t="shared" si="279"/>
        <v>2025/02/13</v>
      </c>
      <c r="F629" t="str">
        <f t="shared" si="288"/>
        <v>February</v>
      </c>
      <c r="G629">
        <f t="shared" si="289"/>
        <v>2025</v>
      </c>
      <c r="H629" t="s">
        <v>1414</v>
      </c>
      <c r="I629" s="4">
        <v>45701</v>
      </c>
      <c r="J629" s="8">
        <f t="shared" si="280"/>
        <v>0</v>
      </c>
      <c r="K629" s="8" t="str">
        <f t="shared" si="290"/>
        <v>OK</v>
      </c>
      <c r="L629" t="s">
        <v>1415</v>
      </c>
      <c r="M629" t="s">
        <v>52</v>
      </c>
      <c r="N629" t="str">
        <f t="shared" si="281"/>
        <v>Isha Nair</v>
      </c>
      <c r="O629" t="s">
        <v>25</v>
      </c>
      <c r="P629" t="str">
        <f t="shared" si="304"/>
        <v>Consumer</v>
      </c>
      <c r="Q629" t="s">
        <v>41</v>
      </c>
      <c r="R629" t="str">
        <f t="shared" si="306"/>
        <v>East</v>
      </c>
      <c r="S629" t="str">
        <f t="shared" si="291"/>
        <v>OK</v>
      </c>
      <c r="T629" t="s">
        <v>185</v>
      </c>
      <c r="U629" t="str">
        <f t="shared" si="282"/>
        <v>Bihar</v>
      </c>
      <c r="V629" t="s">
        <v>186</v>
      </c>
      <c r="W629" t="str">
        <f t="shared" si="283"/>
        <v>Patna</v>
      </c>
      <c r="X629" t="str">
        <f t="shared" si="284"/>
        <v>Office Supplies</v>
      </c>
      <c r="Y629" t="s">
        <v>29</v>
      </c>
      <c r="Z629" t="s">
        <v>30</v>
      </c>
      <c r="AA629" t="str">
        <f t="shared" si="285"/>
        <v>Paper</v>
      </c>
      <c r="AB629" t="s">
        <v>1416</v>
      </c>
      <c r="AC629" t="s">
        <v>32</v>
      </c>
      <c r="AD629" t="str">
        <f t="shared" si="305"/>
        <v>Second Class</v>
      </c>
      <c r="AE629" t="str">
        <f t="shared" si="292"/>
        <v>OK</v>
      </c>
      <c r="AF629">
        <v>9</v>
      </c>
      <c r="AG629">
        <v>2521.63</v>
      </c>
      <c r="AH629">
        <v>0</v>
      </c>
      <c r="AI629">
        <f t="shared" si="293"/>
        <v>0</v>
      </c>
      <c r="AJ629" t="str">
        <f t="shared" si="294"/>
        <v>OK</v>
      </c>
      <c r="AK629">
        <v>22694.67</v>
      </c>
      <c r="AL629">
        <v>15405.36</v>
      </c>
      <c r="AM629">
        <v>7289.31</v>
      </c>
      <c r="AN629" t="s">
        <v>33</v>
      </c>
      <c r="AO629" t="str">
        <f t="shared" si="286"/>
        <v>PAID</v>
      </c>
      <c r="AP629" t="str">
        <f t="shared" si="295"/>
        <v>OK</v>
      </c>
      <c r="AQ629" t="s">
        <v>124</v>
      </c>
      <c r="AR629" t="str">
        <f t="shared" si="287"/>
        <v>RETURNED</v>
      </c>
      <c r="AS629" t="str">
        <f t="shared" si="296"/>
        <v>RETURNED_ORDER</v>
      </c>
      <c r="AT629">
        <f t="shared" si="297"/>
        <v>22694.670000000002</v>
      </c>
      <c r="AU629">
        <f t="shared" si="298"/>
        <v>7289.3100000000013</v>
      </c>
      <c r="AV629" s="6">
        <f t="shared" si="299"/>
        <v>0.36595511192716162</v>
      </c>
      <c r="AW629" t="str">
        <f t="shared" si="300"/>
        <v>CLEAN</v>
      </c>
      <c r="AX629" s="10" t="str">
        <f t="shared" si="301"/>
        <v>MATCH</v>
      </c>
      <c r="AY629" t="str">
        <f t="shared" si="302"/>
        <v>MATCH</v>
      </c>
    </row>
    <row r="630" spans="1:51">
      <c r="A630" t="s">
        <v>1430</v>
      </c>
      <c r="B630">
        <f t="shared" si="278"/>
        <v>1</v>
      </c>
      <c r="C630" t="s">
        <v>1431</v>
      </c>
      <c r="D630" s="2">
        <v>45753</v>
      </c>
      <c r="E630" t="str">
        <f t="shared" si="279"/>
        <v>2025/04/06</v>
      </c>
      <c r="F630" t="str">
        <f t="shared" si="288"/>
        <v>April</v>
      </c>
      <c r="G630">
        <f t="shared" si="289"/>
        <v>2025</v>
      </c>
      <c r="H630" t="s">
        <v>1431</v>
      </c>
      <c r="I630" s="4">
        <v>45812</v>
      </c>
      <c r="J630" s="8">
        <f t="shared" si="280"/>
        <v>59</v>
      </c>
      <c r="K630" s="8" t="str">
        <f t="shared" si="290"/>
        <v>OK</v>
      </c>
      <c r="L630" t="s">
        <v>1205</v>
      </c>
      <c r="M630" t="s">
        <v>52</v>
      </c>
      <c r="N630" t="str">
        <f t="shared" si="281"/>
        <v>Isha Nair</v>
      </c>
      <c r="O630" t="s">
        <v>107</v>
      </c>
      <c r="P630" t="str">
        <f t="shared" si="304"/>
        <v>Corporate</v>
      </c>
      <c r="Q630" t="s">
        <v>26</v>
      </c>
      <c r="R630" t="str">
        <f t="shared" si="306"/>
        <v>North</v>
      </c>
      <c r="S630" t="str">
        <f t="shared" si="291"/>
        <v>OK</v>
      </c>
      <c r="T630" t="s">
        <v>322</v>
      </c>
      <c r="U630" t="str">
        <f t="shared" si="282"/>
        <v>Haryana</v>
      </c>
      <c r="V630" t="s">
        <v>323</v>
      </c>
      <c r="W630" t="str">
        <f t="shared" si="283"/>
        <v>Gurugram</v>
      </c>
      <c r="X630" t="str">
        <f t="shared" si="284"/>
        <v>Technology</v>
      </c>
      <c r="Y630" t="s">
        <v>85</v>
      </c>
      <c r="Z630" t="s">
        <v>86</v>
      </c>
      <c r="AA630" t="str">
        <f t="shared" si="285"/>
        <v>Accessories</v>
      </c>
      <c r="AB630" t="s">
        <v>1432</v>
      </c>
      <c r="AC630" t="s">
        <v>32</v>
      </c>
      <c r="AD630" t="str">
        <f t="shared" si="305"/>
        <v>Second Class</v>
      </c>
      <c r="AE630" t="str">
        <f t="shared" si="292"/>
        <v>OK</v>
      </c>
      <c r="AF630">
        <v>1</v>
      </c>
      <c r="AG630">
        <v>2133.73</v>
      </c>
      <c r="AH630">
        <v>0.15</v>
      </c>
      <c r="AI630">
        <f t="shared" si="293"/>
        <v>0.15</v>
      </c>
      <c r="AJ630" t="str">
        <f t="shared" si="294"/>
        <v>OK</v>
      </c>
      <c r="AK630">
        <v>2008.39</v>
      </c>
      <c r="AL630">
        <v>1002.57</v>
      </c>
      <c r="AM630">
        <v>811.1</v>
      </c>
      <c r="AN630" t="s">
        <v>136</v>
      </c>
      <c r="AO630" t="str">
        <f t="shared" si="286"/>
        <v>PENDING</v>
      </c>
      <c r="AP630" t="str">
        <f t="shared" si="295"/>
        <v>OK</v>
      </c>
      <c r="AQ630" t="s">
        <v>77</v>
      </c>
      <c r="AR630" t="str">
        <f t="shared" si="287"/>
        <v>CANCELLED</v>
      </c>
      <c r="AS630" t="str">
        <f t="shared" si="296"/>
        <v>EXCLUDE_FROM_SALES</v>
      </c>
      <c r="AT630">
        <f t="shared" si="297"/>
        <v>1813.6704999999999</v>
      </c>
      <c r="AU630">
        <f t="shared" si="298"/>
        <v>811.1004999999999</v>
      </c>
      <c r="AV630" s="6">
        <f t="shared" si="299"/>
        <v>0.1659055489958072</v>
      </c>
      <c r="AW630" t="str">
        <f t="shared" si="300"/>
        <v>CLEAN</v>
      </c>
      <c r="AX630" s="10" t="str">
        <f t="shared" si="301"/>
        <v>MISMATCH</v>
      </c>
      <c r="AY630" t="str">
        <f t="shared" si="302"/>
        <v>MATCH</v>
      </c>
    </row>
    <row r="631" spans="1:51">
      <c r="A631" t="s">
        <v>1433</v>
      </c>
      <c r="B631">
        <f t="shared" si="278"/>
        <v>1</v>
      </c>
      <c r="C631" t="s">
        <v>786</v>
      </c>
      <c r="D631" s="3">
        <v>45723</v>
      </c>
      <c r="E631" t="str">
        <f t="shared" si="279"/>
        <v>2025/03/07</v>
      </c>
      <c r="F631" t="str">
        <f t="shared" si="288"/>
        <v>March</v>
      </c>
      <c r="G631">
        <f t="shared" si="289"/>
        <v>2025</v>
      </c>
      <c r="H631" t="s">
        <v>1434</v>
      </c>
      <c r="I631" s="4">
        <v>45730</v>
      </c>
      <c r="J631" s="8">
        <f t="shared" si="280"/>
        <v>7</v>
      </c>
      <c r="K631" s="8" t="str">
        <f t="shared" si="290"/>
        <v>OK</v>
      </c>
      <c r="L631" t="s">
        <v>1435</v>
      </c>
      <c r="M631" t="s">
        <v>141</v>
      </c>
      <c r="N631" t="str">
        <f t="shared" si="281"/>
        <v>Priya Menon</v>
      </c>
      <c r="O631" t="s">
        <v>40</v>
      </c>
      <c r="P631" t="str">
        <f t="shared" si="304"/>
        <v>Small Business</v>
      </c>
      <c r="Q631" t="s">
        <v>26</v>
      </c>
      <c r="R631" t="str">
        <f t="shared" si="306"/>
        <v>North</v>
      </c>
      <c r="S631" t="str">
        <f t="shared" si="291"/>
        <v>OK</v>
      </c>
      <c r="T631" t="s">
        <v>505</v>
      </c>
      <c r="U631" t="str">
        <f t="shared" si="282"/>
        <v>Delhi</v>
      </c>
      <c r="V631" t="s">
        <v>506</v>
      </c>
      <c r="W631" t="str">
        <f t="shared" si="283"/>
        <v>New Delhi</v>
      </c>
      <c r="X631" t="str">
        <f t="shared" si="284"/>
        <v>Technology</v>
      </c>
      <c r="Y631" t="s">
        <v>85</v>
      </c>
      <c r="Z631" t="s">
        <v>86</v>
      </c>
      <c r="AA631" t="str">
        <f t="shared" si="285"/>
        <v>Accessories</v>
      </c>
      <c r="AB631" t="s">
        <v>1436</v>
      </c>
      <c r="AC631" t="s">
        <v>47</v>
      </c>
      <c r="AD631" t="str">
        <f t="shared" si="305"/>
        <v>Same Day</v>
      </c>
      <c r="AE631" t="str">
        <f t="shared" si="292"/>
        <v>OK</v>
      </c>
      <c r="AF631">
        <v>1</v>
      </c>
      <c r="AG631">
        <v>3979.64</v>
      </c>
      <c r="AH631">
        <v>0.05</v>
      </c>
      <c r="AI631">
        <f t="shared" si="293"/>
        <v>0.05</v>
      </c>
      <c r="AJ631" t="str">
        <f t="shared" si="294"/>
        <v>OK</v>
      </c>
      <c r="AK631">
        <v>3780.66</v>
      </c>
      <c r="AL631">
        <v>2148.31</v>
      </c>
      <c r="AM631">
        <v>1632.35</v>
      </c>
      <c r="AN631" t="s">
        <v>33</v>
      </c>
      <c r="AO631" t="str">
        <f t="shared" si="286"/>
        <v>PAID</v>
      </c>
      <c r="AP631" t="str">
        <f t="shared" si="295"/>
        <v>OK</v>
      </c>
      <c r="AQ631" t="s">
        <v>124</v>
      </c>
      <c r="AR631" t="str">
        <f t="shared" si="287"/>
        <v>RETURNED</v>
      </c>
      <c r="AS631" t="str">
        <f t="shared" si="296"/>
        <v>RETURNED_ORDER</v>
      </c>
      <c r="AT631">
        <f t="shared" si="297"/>
        <v>3780.6579999999999</v>
      </c>
      <c r="AU631">
        <f t="shared" si="298"/>
        <v>1632.348</v>
      </c>
      <c r="AV631" s="6">
        <f t="shared" si="299"/>
        <v>0.9770997535349667</v>
      </c>
      <c r="AW631" t="str">
        <f t="shared" si="300"/>
        <v>CLEAN</v>
      </c>
      <c r="AX631" s="10" t="str">
        <f t="shared" si="301"/>
        <v>MATCH</v>
      </c>
      <c r="AY631" t="str">
        <f t="shared" si="302"/>
        <v>MATCH</v>
      </c>
    </row>
    <row r="632" spans="1:51">
      <c r="A632" t="s">
        <v>1447</v>
      </c>
      <c r="B632">
        <f t="shared" si="278"/>
        <v>1</v>
      </c>
      <c r="C632" t="s">
        <v>1448</v>
      </c>
      <c r="D632" s="3">
        <v>45863</v>
      </c>
      <c r="E632" t="str">
        <f t="shared" si="279"/>
        <v>2025/07/25</v>
      </c>
      <c r="F632" t="str">
        <f t="shared" si="288"/>
        <v>July</v>
      </c>
      <c r="G632">
        <f t="shared" si="289"/>
        <v>2025</v>
      </c>
      <c r="H632" t="s">
        <v>1449</v>
      </c>
      <c r="I632" s="4">
        <v>45865</v>
      </c>
      <c r="J632" s="8">
        <f t="shared" si="280"/>
        <v>2</v>
      </c>
      <c r="K632" s="8" t="str">
        <f t="shared" si="290"/>
        <v>OK</v>
      </c>
      <c r="L632" t="s">
        <v>1450</v>
      </c>
      <c r="M632" t="s">
        <v>365</v>
      </c>
      <c r="N632" t="str">
        <f t="shared" si="281"/>
        <v>Kabir Singh</v>
      </c>
      <c r="O632" t="s">
        <v>25</v>
      </c>
      <c r="P632" t="str">
        <f t="shared" si="304"/>
        <v>Consumer</v>
      </c>
      <c r="Q632" t="s">
        <v>41</v>
      </c>
      <c r="R632" t="str">
        <f t="shared" si="306"/>
        <v>East</v>
      </c>
      <c r="S632" t="str">
        <f t="shared" si="291"/>
        <v>OK</v>
      </c>
      <c r="T632" t="s">
        <v>310</v>
      </c>
      <c r="U632" t="str">
        <f t="shared" si="282"/>
        <v>Jharkhand</v>
      </c>
      <c r="V632" t="s">
        <v>311</v>
      </c>
      <c r="W632" t="str">
        <f t="shared" si="283"/>
        <v>Ranchi</v>
      </c>
      <c r="X632" t="str">
        <f t="shared" si="284"/>
        <v>Office Supplies</v>
      </c>
      <c r="Y632" t="s">
        <v>29</v>
      </c>
      <c r="Z632" t="s">
        <v>197</v>
      </c>
      <c r="AA632" t="str">
        <f t="shared" si="285"/>
        <v>Binders</v>
      </c>
      <c r="AB632" t="s">
        <v>1451</v>
      </c>
      <c r="AC632" t="s">
        <v>32</v>
      </c>
      <c r="AD632" t="str">
        <f t="shared" si="305"/>
        <v>Second Class</v>
      </c>
      <c r="AE632" t="str">
        <f t="shared" si="292"/>
        <v>OK</v>
      </c>
      <c r="AF632">
        <v>6</v>
      </c>
      <c r="AG632">
        <v>3438.38</v>
      </c>
      <c r="AH632">
        <v>0.2</v>
      </c>
      <c r="AI632">
        <f t="shared" si="293"/>
        <v>0.2</v>
      </c>
      <c r="AJ632" t="str">
        <f t="shared" si="294"/>
        <v>OK</v>
      </c>
      <c r="AK632">
        <v>16504.22</v>
      </c>
      <c r="AL632">
        <v>11262.71</v>
      </c>
      <c r="AM632">
        <v>5241.51</v>
      </c>
      <c r="AN632" t="s">
        <v>33</v>
      </c>
      <c r="AO632" t="str">
        <f t="shared" si="286"/>
        <v>PAID</v>
      </c>
      <c r="AP632" t="str">
        <f t="shared" si="295"/>
        <v>OK</v>
      </c>
      <c r="AQ632" t="s">
        <v>34</v>
      </c>
      <c r="AR632" t="str">
        <f t="shared" si="287"/>
        <v>COMPLETED</v>
      </c>
      <c r="AS632" t="str">
        <f t="shared" si="296"/>
        <v>OK</v>
      </c>
      <c r="AT632">
        <f t="shared" si="297"/>
        <v>16504.223999999998</v>
      </c>
      <c r="AU632">
        <f t="shared" si="298"/>
        <v>5241.5139999999992</v>
      </c>
      <c r="AV632" s="6">
        <f t="shared" si="299"/>
        <v>0.23647082710462486</v>
      </c>
      <c r="AW632" t="str">
        <f t="shared" si="300"/>
        <v>CLEAN</v>
      </c>
      <c r="AX632" s="10" t="str">
        <f t="shared" si="301"/>
        <v>MATCH</v>
      </c>
      <c r="AY632" t="str">
        <f t="shared" si="302"/>
        <v>MATCH</v>
      </c>
    </row>
    <row r="633" spans="1:51">
      <c r="A633" t="s">
        <v>1457</v>
      </c>
      <c r="B633">
        <f t="shared" si="278"/>
        <v>1</v>
      </c>
      <c r="C633" t="s">
        <v>1458</v>
      </c>
      <c r="D633" s="3">
        <v>45729</v>
      </c>
      <c r="E633" t="str">
        <f t="shared" si="279"/>
        <v>2025/03/13</v>
      </c>
      <c r="F633" t="str">
        <f t="shared" si="288"/>
        <v>March</v>
      </c>
      <c r="G633">
        <f t="shared" si="289"/>
        <v>2025</v>
      </c>
      <c r="H633" t="s">
        <v>1459</v>
      </c>
      <c r="I633" s="4">
        <v>45736</v>
      </c>
      <c r="J633" s="8">
        <f t="shared" si="280"/>
        <v>7</v>
      </c>
      <c r="K633" s="8" t="str">
        <f t="shared" si="290"/>
        <v>OK</v>
      </c>
      <c r="L633" t="s">
        <v>1460</v>
      </c>
      <c r="M633" t="s">
        <v>82</v>
      </c>
      <c r="N633" t="str">
        <f t="shared" si="281"/>
        <v>Vikram Iyer</v>
      </c>
      <c r="O633" t="s">
        <v>25</v>
      </c>
      <c r="P633" t="str">
        <f t="shared" si="304"/>
        <v>Consumer</v>
      </c>
      <c r="Q633" t="s">
        <v>72</v>
      </c>
      <c r="R633" t="str">
        <f t="shared" si="306"/>
        <v>West</v>
      </c>
      <c r="S633" t="str">
        <f t="shared" si="291"/>
        <v>OK</v>
      </c>
      <c r="T633" t="s">
        <v>73</v>
      </c>
      <c r="U633" t="str">
        <f t="shared" si="282"/>
        <v>Maharashtra</v>
      </c>
      <c r="V633" t="s">
        <v>74</v>
      </c>
      <c r="W633" t="str">
        <f t="shared" si="283"/>
        <v>Mumbai</v>
      </c>
      <c r="X633" t="str">
        <f t="shared" si="284"/>
        <v>Furniture</v>
      </c>
      <c r="Y633" t="s">
        <v>44</v>
      </c>
      <c r="Z633" t="s">
        <v>64</v>
      </c>
      <c r="AA633" t="str">
        <f t="shared" si="285"/>
        <v>Furnishings</v>
      </c>
      <c r="AB633" t="s">
        <v>1461</v>
      </c>
      <c r="AC633" t="s">
        <v>55</v>
      </c>
      <c r="AD633" t="str">
        <f t="shared" si="305"/>
        <v>First Class</v>
      </c>
      <c r="AE633" t="str">
        <f t="shared" si="292"/>
        <v>OK</v>
      </c>
      <c r="AF633">
        <v>1</v>
      </c>
      <c r="AG633">
        <v>1814.01</v>
      </c>
      <c r="AH633">
        <v>0</v>
      </c>
      <c r="AI633">
        <f t="shared" si="293"/>
        <v>0</v>
      </c>
      <c r="AJ633" t="str">
        <f t="shared" si="294"/>
        <v>OK</v>
      </c>
      <c r="AK633">
        <v>1814.01</v>
      </c>
      <c r="AL633">
        <v>1033.47</v>
      </c>
      <c r="AM633">
        <v>780.54</v>
      </c>
      <c r="AN633" t="s">
        <v>33</v>
      </c>
      <c r="AO633" t="str">
        <f t="shared" si="286"/>
        <v>PAID</v>
      </c>
      <c r="AP633" t="str">
        <f t="shared" si="295"/>
        <v>OK</v>
      </c>
      <c r="AQ633" t="s">
        <v>34</v>
      </c>
      <c r="AR633" t="str">
        <f t="shared" si="287"/>
        <v>COMPLETED</v>
      </c>
      <c r="AS633" t="str">
        <f t="shared" si="296"/>
        <v>OK</v>
      </c>
      <c r="AT633">
        <f t="shared" si="297"/>
        <v>1814.01</v>
      </c>
      <c r="AU633">
        <f t="shared" si="298"/>
        <v>780.54</v>
      </c>
      <c r="AV633" s="6">
        <f t="shared" si="299"/>
        <v>1.5268824317396259</v>
      </c>
      <c r="AW633" t="str">
        <f t="shared" si="300"/>
        <v>CLEAN</v>
      </c>
      <c r="AX633" s="10" t="str">
        <f t="shared" si="301"/>
        <v>MATCH</v>
      </c>
      <c r="AY633" t="str">
        <f t="shared" si="302"/>
        <v>MATCH</v>
      </c>
    </row>
    <row r="634" spans="1:51">
      <c r="A634" t="s">
        <v>1467</v>
      </c>
      <c r="B634">
        <f t="shared" si="278"/>
        <v>1</v>
      </c>
      <c r="C634" t="s">
        <v>1468</v>
      </c>
      <c r="D634" s="3">
        <v>45884</v>
      </c>
      <c r="E634" t="str">
        <f t="shared" si="279"/>
        <v>2025/08/15</v>
      </c>
      <c r="F634" t="str">
        <f t="shared" si="288"/>
        <v>August</v>
      </c>
      <c r="G634">
        <f t="shared" si="289"/>
        <v>2025</v>
      </c>
      <c r="H634" t="s">
        <v>1469</v>
      </c>
      <c r="I634" s="4">
        <v>45889</v>
      </c>
      <c r="J634" s="8">
        <f t="shared" si="280"/>
        <v>5</v>
      </c>
      <c r="K634" s="8" t="str">
        <f t="shared" si="290"/>
        <v>OK</v>
      </c>
      <c r="L634" t="s">
        <v>1470</v>
      </c>
      <c r="M634" t="s">
        <v>92</v>
      </c>
      <c r="N634" t="str">
        <f t="shared" si="281"/>
        <v>Neha Gupta</v>
      </c>
      <c r="O634" t="s">
        <v>114</v>
      </c>
      <c r="P634" t="str">
        <f t="shared" si="304"/>
        <v>Home Office</v>
      </c>
      <c r="Q634" t="s">
        <v>26</v>
      </c>
      <c r="R634" t="str">
        <f t="shared" si="306"/>
        <v>North</v>
      </c>
      <c r="S634" t="str">
        <f t="shared" si="291"/>
        <v>OK</v>
      </c>
      <c r="T634" t="s">
        <v>27</v>
      </c>
      <c r="U634" t="str">
        <f t="shared" si="282"/>
        <v>Rajasthan</v>
      </c>
      <c r="V634" t="s">
        <v>28</v>
      </c>
      <c r="W634" t="str">
        <f t="shared" si="283"/>
        <v>Jaipur</v>
      </c>
      <c r="X634" t="str">
        <f t="shared" si="284"/>
        <v>Office Supplies</v>
      </c>
      <c r="Y634" t="s">
        <v>29</v>
      </c>
      <c r="Z634" t="s">
        <v>155</v>
      </c>
      <c r="AA634" t="str">
        <f t="shared" si="285"/>
        <v>Storage</v>
      </c>
      <c r="AB634" t="s">
        <v>1471</v>
      </c>
      <c r="AC634" t="s">
        <v>66</v>
      </c>
      <c r="AD634" t="str">
        <f t="shared" si="305"/>
        <v>Standard Class</v>
      </c>
      <c r="AE634" t="str">
        <f t="shared" si="292"/>
        <v>OK</v>
      </c>
      <c r="AF634">
        <v>9</v>
      </c>
      <c r="AG634">
        <v>4081.77</v>
      </c>
      <c r="AH634">
        <v>0</v>
      </c>
      <c r="AI634">
        <f t="shared" si="293"/>
        <v>0</v>
      </c>
      <c r="AJ634" t="str">
        <f t="shared" si="294"/>
        <v>OK</v>
      </c>
      <c r="AK634">
        <v>36735.93</v>
      </c>
      <c r="AL634">
        <v>30820.84</v>
      </c>
      <c r="AM634">
        <v>5915.09</v>
      </c>
      <c r="AN634" t="s">
        <v>33</v>
      </c>
      <c r="AO634" t="str">
        <f t="shared" si="286"/>
        <v>PAID</v>
      </c>
      <c r="AP634" t="str">
        <f t="shared" si="295"/>
        <v>OK</v>
      </c>
      <c r="AQ634" t="s">
        <v>34</v>
      </c>
      <c r="AR634" t="str">
        <f t="shared" si="287"/>
        <v>COMPLETED</v>
      </c>
      <c r="AS634" t="str">
        <f t="shared" si="296"/>
        <v>OK</v>
      </c>
      <c r="AT634">
        <f t="shared" si="297"/>
        <v>36735.93</v>
      </c>
      <c r="AU634">
        <f t="shared" si="298"/>
        <v>5915.09</v>
      </c>
      <c r="AV634" s="6">
        <f t="shared" si="299"/>
        <v>0.18377359712956767</v>
      </c>
      <c r="AW634" t="str">
        <f t="shared" si="300"/>
        <v>CLEAN</v>
      </c>
      <c r="AX634" s="10" t="str">
        <f t="shared" si="301"/>
        <v>MATCH</v>
      </c>
      <c r="AY634" t="str">
        <f t="shared" si="302"/>
        <v>MATCH</v>
      </c>
    </row>
    <row r="635" spans="1:51">
      <c r="A635" t="s">
        <v>1486</v>
      </c>
      <c r="B635">
        <f t="shared" si="278"/>
        <v>1</v>
      </c>
      <c r="C635" t="s">
        <v>253</v>
      </c>
      <c r="D635" s="3">
        <v>45827</v>
      </c>
      <c r="E635" t="str">
        <f t="shared" si="279"/>
        <v>2025/06/19</v>
      </c>
      <c r="F635" t="str">
        <f t="shared" si="288"/>
        <v>June</v>
      </c>
      <c r="G635">
        <f t="shared" si="289"/>
        <v>2025</v>
      </c>
      <c r="H635" t="s">
        <v>648</v>
      </c>
      <c r="I635" s="4">
        <v>45835</v>
      </c>
      <c r="J635" s="8">
        <f t="shared" si="280"/>
        <v>8</v>
      </c>
      <c r="K635" s="8" t="str">
        <f t="shared" si="290"/>
        <v>OK</v>
      </c>
      <c r="L635" t="s">
        <v>1487</v>
      </c>
      <c r="M635" t="s">
        <v>24</v>
      </c>
      <c r="N635" t="str">
        <f t="shared" si="281"/>
        <v>Karan Malhotra</v>
      </c>
      <c r="O635" t="s">
        <v>114</v>
      </c>
      <c r="P635" t="str">
        <f t="shared" si="304"/>
        <v>Home Office</v>
      </c>
      <c r="Q635" t="s">
        <v>61</v>
      </c>
      <c r="R635" t="str">
        <f t="shared" si="306"/>
        <v>South</v>
      </c>
      <c r="S635" t="str">
        <f t="shared" si="291"/>
        <v>OK</v>
      </c>
      <c r="T635" t="s">
        <v>338</v>
      </c>
      <c r="U635" t="str">
        <f t="shared" si="282"/>
        <v>Tamil Nadu</v>
      </c>
      <c r="V635" t="s">
        <v>339</v>
      </c>
      <c r="W635" t="str">
        <f t="shared" si="283"/>
        <v>Chennai</v>
      </c>
      <c r="X635" t="str">
        <f t="shared" si="284"/>
        <v>Furniture</v>
      </c>
      <c r="Y635" t="s">
        <v>44</v>
      </c>
      <c r="Z635" t="s">
        <v>203</v>
      </c>
      <c r="AA635" t="str">
        <f t="shared" si="285"/>
        <v>Bookcases</v>
      </c>
      <c r="AB635" t="s">
        <v>1488</v>
      </c>
      <c r="AC635" t="s">
        <v>55</v>
      </c>
      <c r="AD635" t="str">
        <f t="shared" si="305"/>
        <v>First Class</v>
      </c>
      <c r="AE635" t="str">
        <f t="shared" si="292"/>
        <v>OK</v>
      </c>
      <c r="AF635">
        <v>2</v>
      </c>
      <c r="AG635">
        <v>4346.6899999999996</v>
      </c>
      <c r="AH635">
        <v>0.05</v>
      </c>
      <c r="AI635">
        <f t="shared" si="293"/>
        <v>0.05</v>
      </c>
      <c r="AJ635" t="str">
        <f t="shared" si="294"/>
        <v>OK</v>
      </c>
      <c r="AK635">
        <v>8258.7099999999991</v>
      </c>
      <c r="AL635">
        <v>7018.97</v>
      </c>
      <c r="AM635">
        <v>1239.74</v>
      </c>
      <c r="AN635" t="s">
        <v>33</v>
      </c>
      <c r="AO635" t="str">
        <f t="shared" si="286"/>
        <v>PAID</v>
      </c>
      <c r="AP635" t="str">
        <f t="shared" si="295"/>
        <v>OK</v>
      </c>
      <c r="AQ635" t="s">
        <v>34</v>
      </c>
      <c r="AR635" t="str">
        <f t="shared" si="287"/>
        <v>COMPLETED</v>
      </c>
      <c r="AS635" t="str">
        <f t="shared" si="296"/>
        <v>OK</v>
      </c>
      <c r="AT635">
        <f t="shared" si="297"/>
        <v>8258.7109999999993</v>
      </c>
      <c r="AU635">
        <f t="shared" si="298"/>
        <v>1239.7409999999991</v>
      </c>
      <c r="AV635" s="6">
        <f t="shared" si="299"/>
        <v>0.2166548750767523</v>
      </c>
      <c r="AW635" t="str">
        <f t="shared" si="300"/>
        <v>CLEAN</v>
      </c>
      <c r="AX635" s="10" t="str">
        <f t="shared" si="301"/>
        <v>MATCH</v>
      </c>
      <c r="AY635" t="str">
        <f t="shared" si="302"/>
        <v>MATCH</v>
      </c>
    </row>
    <row r="636" spans="1:51">
      <c r="A636" t="s">
        <v>1489</v>
      </c>
      <c r="B636">
        <f t="shared" si="278"/>
        <v>1</v>
      </c>
      <c r="C636" t="s">
        <v>1490</v>
      </c>
      <c r="D636" s="2">
        <v>45891</v>
      </c>
      <c r="E636" t="str">
        <f t="shared" si="279"/>
        <v>2025/08/22</v>
      </c>
      <c r="F636" t="str">
        <f t="shared" si="288"/>
        <v>August</v>
      </c>
      <c r="G636">
        <f t="shared" si="289"/>
        <v>2025</v>
      </c>
      <c r="H636" t="s">
        <v>1491</v>
      </c>
      <c r="I636" s="4">
        <v>45895</v>
      </c>
      <c r="J636" s="8">
        <f t="shared" si="280"/>
        <v>4</v>
      </c>
      <c r="K636" s="8" t="str">
        <f t="shared" si="290"/>
        <v>OK</v>
      </c>
      <c r="L636" t="s">
        <v>1492</v>
      </c>
      <c r="M636" t="s">
        <v>209</v>
      </c>
      <c r="N636" t="str">
        <f t="shared" si="281"/>
        <v>Diya Patel</v>
      </c>
      <c r="O636" t="s">
        <v>114</v>
      </c>
      <c r="P636" t="str">
        <f t="shared" si="304"/>
        <v>Home Office</v>
      </c>
      <c r="Q636" t="s">
        <v>41</v>
      </c>
      <c r="R636" t="str">
        <f t="shared" si="306"/>
        <v>East</v>
      </c>
      <c r="S636" t="str">
        <f t="shared" si="291"/>
        <v>OK</v>
      </c>
      <c r="T636" t="s">
        <v>310</v>
      </c>
      <c r="U636" t="str">
        <f t="shared" si="282"/>
        <v>Jharkhand</v>
      </c>
      <c r="V636" t="s">
        <v>311</v>
      </c>
      <c r="W636" t="str">
        <f t="shared" si="283"/>
        <v>Ranchi</v>
      </c>
      <c r="X636" t="str">
        <f t="shared" si="284"/>
        <v>Furniture</v>
      </c>
      <c r="Y636" t="s">
        <v>44</v>
      </c>
      <c r="Z636" t="s">
        <v>45</v>
      </c>
      <c r="AA636" t="str">
        <f t="shared" si="285"/>
        <v>Tables</v>
      </c>
      <c r="AB636" t="s">
        <v>1493</v>
      </c>
      <c r="AC636" t="s">
        <v>66</v>
      </c>
      <c r="AD636" t="str">
        <f t="shared" si="305"/>
        <v>Standard Class</v>
      </c>
      <c r="AE636" t="str">
        <f t="shared" si="292"/>
        <v>OK</v>
      </c>
      <c r="AF636">
        <v>1</v>
      </c>
      <c r="AG636">
        <v>1842.63</v>
      </c>
      <c r="AH636">
        <v>0.1</v>
      </c>
      <c r="AI636">
        <f t="shared" si="293"/>
        <v>0.1</v>
      </c>
      <c r="AJ636" t="str">
        <f t="shared" si="294"/>
        <v>OK</v>
      </c>
      <c r="AK636">
        <v>1658.37</v>
      </c>
      <c r="AL636">
        <v>971.12</v>
      </c>
      <c r="AM636">
        <v>687.25</v>
      </c>
      <c r="AN636" t="s">
        <v>33</v>
      </c>
      <c r="AO636" t="str">
        <f t="shared" si="286"/>
        <v>PAID</v>
      </c>
      <c r="AP636" t="str">
        <f t="shared" si="295"/>
        <v>OK</v>
      </c>
      <c r="AQ636" t="s">
        <v>34</v>
      </c>
      <c r="AR636" t="str">
        <f t="shared" si="287"/>
        <v>COMPLETED</v>
      </c>
      <c r="AS636" t="str">
        <f t="shared" si="296"/>
        <v>OK</v>
      </c>
      <c r="AT636">
        <f t="shared" si="297"/>
        <v>1658.3670000000002</v>
      </c>
      <c r="AU636">
        <f t="shared" si="298"/>
        <v>687.24700000000018</v>
      </c>
      <c r="AV636" s="6">
        <f t="shared" si="299"/>
        <v>0.61084187034594872</v>
      </c>
      <c r="AW636" t="str">
        <f t="shared" si="300"/>
        <v>CLEAN</v>
      </c>
      <c r="AX636" s="10" t="str">
        <f t="shared" si="301"/>
        <v>MATCH</v>
      </c>
      <c r="AY636" t="str">
        <f t="shared" si="302"/>
        <v>MATCH</v>
      </c>
    </row>
    <row r="637" spans="1:51">
      <c r="A637" t="s">
        <v>1499</v>
      </c>
      <c r="B637">
        <f t="shared" si="278"/>
        <v>1</v>
      </c>
      <c r="C637" t="s">
        <v>1500</v>
      </c>
      <c r="D637" s="2">
        <v>45716</v>
      </c>
      <c r="E637" t="str">
        <f t="shared" si="279"/>
        <v>2025/02/28</v>
      </c>
      <c r="F637" t="str">
        <f t="shared" si="288"/>
        <v>February</v>
      </c>
      <c r="G637">
        <f t="shared" si="289"/>
        <v>2025</v>
      </c>
      <c r="H637" t="s">
        <v>1501</v>
      </c>
      <c r="I637" s="4">
        <v>45719</v>
      </c>
      <c r="J637" s="8">
        <f t="shared" si="280"/>
        <v>3</v>
      </c>
      <c r="K637" s="8" t="str">
        <f t="shared" si="290"/>
        <v>OK</v>
      </c>
      <c r="L637" t="s">
        <v>1502</v>
      </c>
      <c r="M637" t="s">
        <v>365</v>
      </c>
      <c r="N637" t="str">
        <f t="shared" si="281"/>
        <v>Kabir Singh</v>
      </c>
      <c r="O637" t="s">
        <v>114</v>
      </c>
      <c r="P637" t="str">
        <f t="shared" si="304"/>
        <v>Home Office</v>
      </c>
      <c r="Q637" t="s">
        <v>26</v>
      </c>
      <c r="R637" t="str">
        <f t="shared" si="306"/>
        <v>North</v>
      </c>
      <c r="S637" t="str">
        <f t="shared" si="291"/>
        <v>OK</v>
      </c>
      <c r="T637" t="s">
        <v>322</v>
      </c>
      <c r="U637" t="str">
        <f t="shared" si="282"/>
        <v>Haryana</v>
      </c>
      <c r="V637" t="s">
        <v>323</v>
      </c>
      <c r="W637" t="str">
        <f t="shared" si="283"/>
        <v>Gurugram</v>
      </c>
      <c r="X637" t="str">
        <f t="shared" si="284"/>
        <v>Office Supplies</v>
      </c>
      <c r="Y637" t="s">
        <v>29</v>
      </c>
      <c r="Z637" t="s">
        <v>53</v>
      </c>
      <c r="AA637" t="str">
        <f t="shared" si="285"/>
        <v>Art</v>
      </c>
      <c r="AB637" t="s">
        <v>1503</v>
      </c>
      <c r="AC637" t="s">
        <v>47</v>
      </c>
      <c r="AD637" t="str">
        <f t="shared" ref="AD637:AD668" si="307">PROPER(TRIM(SUBSTITUTE(AC637,CHAR(160)," ")))</f>
        <v>Same Day</v>
      </c>
      <c r="AE637" t="str">
        <f t="shared" si="292"/>
        <v>OK</v>
      </c>
      <c r="AF637">
        <v>9</v>
      </c>
      <c r="AG637">
        <v>3748.95</v>
      </c>
      <c r="AH637">
        <v>0</v>
      </c>
      <c r="AI637">
        <f t="shared" si="293"/>
        <v>0</v>
      </c>
      <c r="AJ637" t="str">
        <f t="shared" si="294"/>
        <v>OK</v>
      </c>
      <c r="AK637">
        <v>33740.550000000003</v>
      </c>
      <c r="AL637">
        <v>24621.89</v>
      </c>
      <c r="AM637">
        <v>9118.66</v>
      </c>
      <c r="AN637" t="s">
        <v>136</v>
      </c>
      <c r="AO637" t="str">
        <f t="shared" si="286"/>
        <v>PENDING</v>
      </c>
      <c r="AP637" t="str">
        <f t="shared" si="295"/>
        <v>OK</v>
      </c>
      <c r="AQ637" t="s">
        <v>77</v>
      </c>
      <c r="AR637" t="str">
        <f t="shared" si="287"/>
        <v>CANCELLED</v>
      </c>
      <c r="AS637" t="str">
        <f t="shared" si="296"/>
        <v>EXCLUDE_FROM_SALES</v>
      </c>
      <c r="AT637">
        <f t="shared" si="297"/>
        <v>33740.549999999996</v>
      </c>
      <c r="AU637">
        <f t="shared" si="298"/>
        <v>9118.6599999999962</v>
      </c>
      <c r="AV637" s="6">
        <f t="shared" si="299"/>
        <v>0.14083555247321106</v>
      </c>
      <c r="AW637" t="str">
        <f t="shared" si="300"/>
        <v>CLEAN</v>
      </c>
      <c r="AX637" s="10" t="str">
        <f t="shared" si="301"/>
        <v>MATCH</v>
      </c>
      <c r="AY637" t="str">
        <f t="shared" si="302"/>
        <v>MATCH</v>
      </c>
    </row>
    <row r="638" spans="1:51">
      <c r="A638" t="s">
        <v>1509</v>
      </c>
      <c r="B638">
        <f t="shared" si="278"/>
        <v>1</v>
      </c>
      <c r="C638" t="s">
        <v>1510</v>
      </c>
      <c r="D638" s="2">
        <v>45854</v>
      </c>
      <c r="E638" t="str">
        <f t="shared" si="279"/>
        <v>2025/07/16</v>
      </c>
      <c r="F638" t="str">
        <f t="shared" si="288"/>
        <v>July</v>
      </c>
      <c r="G638">
        <f t="shared" si="289"/>
        <v>2025</v>
      </c>
      <c r="H638" t="s">
        <v>1511</v>
      </c>
      <c r="I638" s="4">
        <v>45860</v>
      </c>
      <c r="J638" s="8">
        <f t="shared" si="280"/>
        <v>6</v>
      </c>
      <c r="K638" s="8" t="str">
        <f t="shared" si="290"/>
        <v>OK</v>
      </c>
      <c r="L638" t="s">
        <v>1512</v>
      </c>
      <c r="M638" t="s">
        <v>141</v>
      </c>
      <c r="N638" t="str">
        <f t="shared" si="281"/>
        <v>Priya Menon</v>
      </c>
      <c r="O638" t="s">
        <v>25</v>
      </c>
      <c r="P638" t="str">
        <f t="shared" si="304"/>
        <v>Consumer</v>
      </c>
      <c r="Q638" t="s">
        <v>41</v>
      </c>
      <c r="R638" t="str">
        <f t="shared" si="306"/>
        <v>East</v>
      </c>
      <c r="S638" t="str">
        <f t="shared" si="291"/>
        <v>OK</v>
      </c>
      <c r="T638" t="s">
        <v>42</v>
      </c>
      <c r="U638" t="str">
        <f t="shared" si="282"/>
        <v>Odisha</v>
      </c>
      <c r="V638" t="s">
        <v>43</v>
      </c>
      <c r="W638" t="str">
        <f t="shared" si="283"/>
        <v>Bhubaneswar</v>
      </c>
      <c r="X638" t="str">
        <f t="shared" si="284"/>
        <v>Technology</v>
      </c>
      <c r="Y638" t="s">
        <v>85</v>
      </c>
      <c r="Z638" t="s">
        <v>222</v>
      </c>
      <c r="AA638" t="str">
        <f t="shared" si="285"/>
        <v>Phones</v>
      </c>
      <c r="AB638" t="s">
        <v>1513</v>
      </c>
      <c r="AC638" t="s">
        <v>32</v>
      </c>
      <c r="AD638" t="str">
        <f t="shared" si="307"/>
        <v>Second Class</v>
      </c>
      <c r="AE638" t="str">
        <f t="shared" si="292"/>
        <v>OK</v>
      </c>
      <c r="AF638">
        <v>6</v>
      </c>
      <c r="AG638">
        <v>4159.33</v>
      </c>
      <c r="AH638">
        <v>0.25</v>
      </c>
      <c r="AI638">
        <f t="shared" si="293"/>
        <v>0.25</v>
      </c>
      <c r="AJ638" t="str">
        <f t="shared" si="294"/>
        <v>OK</v>
      </c>
      <c r="AK638">
        <v>18716.990000000002</v>
      </c>
      <c r="AL638">
        <v>12282.43</v>
      </c>
      <c r="AM638">
        <v>6434.56</v>
      </c>
      <c r="AN638" t="s">
        <v>33</v>
      </c>
      <c r="AO638" t="str">
        <f t="shared" si="286"/>
        <v>PAID</v>
      </c>
      <c r="AP638" t="str">
        <f t="shared" si="295"/>
        <v>OK</v>
      </c>
      <c r="AQ638" t="s">
        <v>124</v>
      </c>
      <c r="AR638" t="str">
        <f t="shared" si="287"/>
        <v>RETURNED</v>
      </c>
      <c r="AS638" t="str">
        <f t="shared" si="296"/>
        <v>RETURNED_ORDER</v>
      </c>
      <c r="AT638">
        <f t="shared" si="297"/>
        <v>18716.985000000001</v>
      </c>
      <c r="AU638">
        <f t="shared" si="298"/>
        <v>6434.5550000000003</v>
      </c>
      <c r="AV638" s="6">
        <f t="shared" si="299"/>
        <v>0.25388004531712777</v>
      </c>
      <c r="AW638" t="str">
        <f t="shared" si="300"/>
        <v>CLEAN</v>
      </c>
      <c r="AX638" s="10" t="str">
        <f t="shared" si="301"/>
        <v>MATCH</v>
      </c>
      <c r="AY638" t="str">
        <f t="shared" si="302"/>
        <v>MATCH</v>
      </c>
    </row>
    <row r="639" spans="1:51">
      <c r="A639" t="s">
        <v>1514</v>
      </c>
      <c r="B639">
        <f t="shared" si="278"/>
        <v>1</v>
      </c>
      <c r="C639" t="s">
        <v>1515</v>
      </c>
      <c r="D639" s="2">
        <v>45833</v>
      </c>
      <c r="E639" t="str">
        <f t="shared" si="279"/>
        <v>2025/06/25</v>
      </c>
      <c r="F639" t="str">
        <f t="shared" si="288"/>
        <v>June</v>
      </c>
      <c r="G639">
        <f t="shared" si="289"/>
        <v>2025</v>
      </c>
      <c r="H639" t="s">
        <v>1516</v>
      </c>
      <c r="I639" s="4">
        <v>45836</v>
      </c>
      <c r="J639" s="8">
        <f t="shared" si="280"/>
        <v>3</v>
      </c>
      <c r="K639" s="8" t="str">
        <f t="shared" si="290"/>
        <v>OK</v>
      </c>
      <c r="L639" t="s">
        <v>1517</v>
      </c>
      <c r="M639" t="s">
        <v>106</v>
      </c>
      <c r="N639" t="str">
        <f t="shared" si="281"/>
        <v>Aditi Sen</v>
      </c>
      <c r="O639" t="s">
        <v>40</v>
      </c>
      <c r="P639" t="str">
        <f t="shared" si="304"/>
        <v>Small Business</v>
      </c>
      <c r="Q639" t="s">
        <v>41</v>
      </c>
      <c r="R639" t="str">
        <f t="shared" si="306"/>
        <v>East</v>
      </c>
      <c r="S639" t="str">
        <f t="shared" si="291"/>
        <v>OK</v>
      </c>
      <c r="T639" t="s">
        <v>215</v>
      </c>
      <c r="U639" t="str">
        <f t="shared" si="282"/>
        <v>Assam</v>
      </c>
      <c r="V639" t="s">
        <v>216</v>
      </c>
      <c r="W639" t="str">
        <f t="shared" si="283"/>
        <v>Guwahati</v>
      </c>
      <c r="X639" t="str">
        <f t="shared" si="284"/>
        <v>Office Supplies</v>
      </c>
      <c r="Y639" t="s">
        <v>29</v>
      </c>
      <c r="Z639" t="s">
        <v>197</v>
      </c>
      <c r="AA639" t="str">
        <f t="shared" si="285"/>
        <v>Binders</v>
      </c>
      <c r="AB639" t="s">
        <v>1518</v>
      </c>
      <c r="AC639" t="s">
        <v>66</v>
      </c>
      <c r="AD639" t="str">
        <f t="shared" si="307"/>
        <v>Standard Class</v>
      </c>
      <c r="AE639" t="str">
        <f t="shared" si="292"/>
        <v>OK</v>
      </c>
      <c r="AF639">
        <v>3</v>
      </c>
      <c r="AG639">
        <v>3476.05</v>
      </c>
      <c r="AH639">
        <v>0.1</v>
      </c>
      <c r="AI639">
        <f t="shared" si="293"/>
        <v>0.1</v>
      </c>
      <c r="AJ639" t="str">
        <f t="shared" si="294"/>
        <v>OK</v>
      </c>
      <c r="AK639">
        <v>9385.34</v>
      </c>
      <c r="AL639">
        <v>5828.54</v>
      </c>
      <c r="AM639">
        <v>3556.8</v>
      </c>
      <c r="AN639" t="s">
        <v>33</v>
      </c>
      <c r="AO639" t="str">
        <f t="shared" si="286"/>
        <v>PAID</v>
      </c>
      <c r="AP639" t="str">
        <f t="shared" si="295"/>
        <v>OK</v>
      </c>
      <c r="AQ639" t="s">
        <v>34</v>
      </c>
      <c r="AR639" t="str">
        <f t="shared" si="287"/>
        <v>COMPLETED</v>
      </c>
      <c r="AS639" t="str">
        <f t="shared" si="296"/>
        <v>OK</v>
      </c>
      <c r="AT639">
        <f t="shared" si="297"/>
        <v>9385.3350000000009</v>
      </c>
      <c r="AU639">
        <f t="shared" si="298"/>
        <v>3556.795000000001</v>
      </c>
      <c r="AV639" s="6">
        <f t="shared" si="299"/>
        <v>0.89370533923402851</v>
      </c>
      <c r="AW639" t="str">
        <f t="shared" si="300"/>
        <v>CLEAN</v>
      </c>
      <c r="AX639" s="10" t="str">
        <f t="shared" si="301"/>
        <v>MATCH</v>
      </c>
      <c r="AY639" t="str">
        <f t="shared" si="302"/>
        <v>MATCH</v>
      </c>
    </row>
    <row r="640" spans="1:51">
      <c r="A640" t="s">
        <v>1519</v>
      </c>
      <c r="B640">
        <f t="shared" si="278"/>
        <v>1</v>
      </c>
      <c r="C640" t="s">
        <v>1520</v>
      </c>
      <c r="D640" s="2">
        <v>45801</v>
      </c>
      <c r="E640" t="str">
        <f t="shared" si="279"/>
        <v>2025/05/24</v>
      </c>
      <c r="F640" t="str">
        <f t="shared" si="288"/>
        <v>May</v>
      </c>
      <c r="G640">
        <f t="shared" si="289"/>
        <v>2025</v>
      </c>
      <c r="H640" t="s">
        <v>1521</v>
      </c>
      <c r="I640" s="4">
        <v>45803</v>
      </c>
      <c r="J640" s="8">
        <f t="shared" si="280"/>
        <v>2</v>
      </c>
      <c r="K640" s="8" t="str">
        <f t="shared" si="290"/>
        <v>OK</v>
      </c>
      <c r="L640" t="s">
        <v>1522</v>
      </c>
      <c r="M640" t="s">
        <v>106</v>
      </c>
      <c r="N640" t="str">
        <f t="shared" si="281"/>
        <v>Aditi Sen</v>
      </c>
      <c r="O640" t="s">
        <v>114</v>
      </c>
      <c r="P640" t="str">
        <f t="shared" si="304"/>
        <v>Home Office</v>
      </c>
      <c r="Q640" t="s">
        <v>26</v>
      </c>
      <c r="R640" t="str">
        <f t="shared" si="306"/>
        <v>North</v>
      </c>
      <c r="S640" t="str">
        <f t="shared" si="291"/>
        <v>OK</v>
      </c>
      <c r="T640" t="s">
        <v>322</v>
      </c>
      <c r="U640" t="str">
        <f t="shared" si="282"/>
        <v>Haryana</v>
      </c>
      <c r="V640" t="s">
        <v>323</v>
      </c>
      <c r="W640" t="str">
        <f t="shared" si="283"/>
        <v>Gurugram</v>
      </c>
      <c r="X640" t="str">
        <f t="shared" si="284"/>
        <v>Furniture</v>
      </c>
      <c r="Y640" t="s">
        <v>44</v>
      </c>
      <c r="Z640" t="s">
        <v>64</v>
      </c>
      <c r="AA640" t="str">
        <f t="shared" si="285"/>
        <v>Furnishings</v>
      </c>
      <c r="AB640" t="s">
        <v>1523</v>
      </c>
      <c r="AC640" t="s">
        <v>47</v>
      </c>
      <c r="AD640" t="str">
        <f t="shared" si="307"/>
        <v>Same Day</v>
      </c>
      <c r="AE640" t="str">
        <f t="shared" si="292"/>
        <v>OK</v>
      </c>
      <c r="AF640">
        <v>6</v>
      </c>
      <c r="AG640">
        <v>3495.41</v>
      </c>
      <c r="AH640">
        <v>0.15</v>
      </c>
      <c r="AI640">
        <f t="shared" si="293"/>
        <v>0.15</v>
      </c>
      <c r="AJ640" t="str">
        <f t="shared" si="294"/>
        <v>OK</v>
      </c>
      <c r="AK640">
        <v>17826.59</v>
      </c>
      <c r="AL640">
        <v>10855.35</v>
      </c>
      <c r="AM640">
        <v>6971.24</v>
      </c>
      <c r="AN640" t="s">
        <v>33</v>
      </c>
      <c r="AO640" t="str">
        <f t="shared" si="286"/>
        <v>PAID</v>
      </c>
      <c r="AP640" t="str">
        <f t="shared" si="295"/>
        <v>OK</v>
      </c>
      <c r="AQ640" t="s">
        <v>34</v>
      </c>
      <c r="AR640" t="str">
        <f t="shared" si="287"/>
        <v>COMPLETED</v>
      </c>
      <c r="AS640" t="str">
        <f t="shared" si="296"/>
        <v>OK</v>
      </c>
      <c r="AT640">
        <f t="shared" si="297"/>
        <v>17826.591</v>
      </c>
      <c r="AU640">
        <f t="shared" si="298"/>
        <v>6971.241</v>
      </c>
      <c r="AV640" s="6">
        <f t="shared" si="299"/>
        <v>7.2645801993213341E-2</v>
      </c>
      <c r="AW640" t="str">
        <f t="shared" si="300"/>
        <v>CLEAN</v>
      </c>
      <c r="AX640" s="10" t="str">
        <f t="shared" si="301"/>
        <v>MATCH</v>
      </c>
      <c r="AY640" t="str">
        <f t="shared" si="302"/>
        <v>MATCH</v>
      </c>
    </row>
    <row r="641" spans="1:51">
      <c r="A641" t="s">
        <v>1529</v>
      </c>
      <c r="B641">
        <f t="shared" si="278"/>
        <v>1</v>
      </c>
      <c r="C641" t="s">
        <v>1530</v>
      </c>
      <c r="D641" s="3">
        <v>45680</v>
      </c>
      <c r="E641" t="str">
        <f t="shared" si="279"/>
        <v>2025/01/23</v>
      </c>
      <c r="F641" t="str">
        <f t="shared" si="288"/>
        <v>January</v>
      </c>
      <c r="G641">
        <f t="shared" si="289"/>
        <v>2025</v>
      </c>
      <c r="H641" t="s">
        <v>1531</v>
      </c>
      <c r="I641" s="4">
        <v>45683</v>
      </c>
      <c r="J641" s="8">
        <f t="shared" si="280"/>
        <v>3</v>
      </c>
      <c r="K641" s="8" t="str">
        <f t="shared" si="290"/>
        <v>OK</v>
      </c>
      <c r="L641" t="s">
        <v>1532</v>
      </c>
      <c r="M641" t="s">
        <v>52</v>
      </c>
      <c r="N641" t="str">
        <f t="shared" si="281"/>
        <v>Isha Nair</v>
      </c>
      <c r="O641" t="s">
        <v>25</v>
      </c>
      <c r="P641" t="str">
        <f t="shared" si="304"/>
        <v>Consumer</v>
      </c>
      <c r="Q641" t="s">
        <v>61</v>
      </c>
      <c r="R641" t="str">
        <f t="shared" si="306"/>
        <v>South</v>
      </c>
      <c r="S641" t="str">
        <f t="shared" si="291"/>
        <v>OK</v>
      </c>
      <c r="T641" t="s">
        <v>241</v>
      </c>
      <c r="U641" t="str">
        <f t="shared" si="282"/>
        <v>Kerala</v>
      </c>
      <c r="V641" t="s">
        <v>242</v>
      </c>
      <c r="W641" t="str">
        <f t="shared" si="283"/>
        <v>Kochi</v>
      </c>
      <c r="X641" t="str">
        <f t="shared" si="284"/>
        <v>Technology</v>
      </c>
      <c r="Y641" t="s">
        <v>85</v>
      </c>
      <c r="Z641" t="s">
        <v>93</v>
      </c>
      <c r="AA641" t="str">
        <f t="shared" si="285"/>
        <v>Copiers</v>
      </c>
      <c r="AB641" t="s">
        <v>1533</v>
      </c>
      <c r="AC641" t="s">
        <v>55</v>
      </c>
      <c r="AD641" t="str">
        <f t="shared" si="307"/>
        <v>First Class</v>
      </c>
      <c r="AE641" t="str">
        <f t="shared" si="292"/>
        <v>OK</v>
      </c>
      <c r="AF641">
        <v>7</v>
      </c>
      <c r="AG641">
        <v>348.49</v>
      </c>
      <c r="AH641">
        <v>0.2</v>
      </c>
      <c r="AI641">
        <f t="shared" si="293"/>
        <v>0.2</v>
      </c>
      <c r="AJ641" t="str">
        <f t="shared" si="294"/>
        <v>OK</v>
      </c>
      <c r="AK641">
        <v>1951.54</v>
      </c>
      <c r="AL641">
        <v>1609.95</v>
      </c>
      <c r="AM641">
        <v>341.59</v>
      </c>
      <c r="AN641" t="s">
        <v>199</v>
      </c>
      <c r="AO641" t="str">
        <f t="shared" si="286"/>
        <v>FAILED</v>
      </c>
      <c r="AP641" t="str">
        <f t="shared" si="295"/>
        <v>EXCLUDE_FROM_SALES</v>
      </c>
      <c r="AQ641" t="s">
        <v>124</v>
      </c>
      <c r="AR641" t="str">
        <f t="shared" si="287"/>
        <v>RETURNED</v>
      </c>
      <c r="AS641" t="str">
        <f t="shared" si="296"/>
        <v>RETURNED_ORDER</v>
      </c>
      <c r="AT641">
        <f t="shared" si="297"/>
        <v>1951.5440000000003</v>
      </c>
      <c r="AU641">
        <f t="shared" si="298"/>
        <v>341.59400000000028</v>
      </c>
      <c r="AV641" s="6">
        <f t="shared" si="299"/>
        <v>1.7752405275002769</v>
      </c>
      <c r="AW641" t="str">
        <f t="shared" si="300"/>
        <v>CLEAN</v>
      </c>
      <c r="AX641" s="10" t="str">
        <f t="shared" si="301"/>
        <v>MATCH</v>
      </c>
      <c r="AY641" t="str">
        <f t="shared" si="302"/>
        <v>MATCH</v>
      </c>
    </row>
    <row r="642" spans="1:51">
      <c r="A642" t="s">
        <v>1543</v>
      </c>
      <c r="B642">
        <f t="shared" ref="B642:B705" si="308">COUNTIF($A:$A,A642)</f>
        <v>1</v>
      </c>
      <c r="C642" t="s">
        <v>1017</v>
      </c>
      <c r="D642" s="2">
        <v>45805</v>
      </c>
      <c r="E642" t="str">
        <f t="shared" ref="E642:E705" si="309">IFERROR(
TEXT(
  IF(ISNUMBER(SEARCH("/",D642)),
     DATE(RIGHT(D642,4),LEFT(D642,FIND("/",D642)-1),
          MID(D642,FIND("/",D642)+1,FIND("/",D642,FIND("/",D642)+1)-FIND("/",D642)-1)),
     IF(ISNUMBER(SEARCH("-",D642)),
        DATEVALUE(SUBSTITUTE(D642,"-","/")),
        DATEVALUE(TEXT(D642,"dd mmm yyyy"))
     )
  ),
"yyyy/mm/dd"
),
"")</f>
        <v>2025/05/28</v>
      </c>
      <c r="F642" t="str">
        <f t="shared" si="288"/>
        <v>May</v>
      </c>
      <c r="G642">
        <f t="shared" si="289"/>
        <v>2025</v>
      </c>
      <c r="H642" t="s">
        <v>1544</v>
      </c>
      <c r="I642" s="4">
        <v>45663</v>
      </c>
      <c r="J642" s="8">
        <f t="shared" ref="J642:J705" si="310">I642-E642</f>
        <v>-142</v>
      </c>
      <c r="K642" s="8" t="str">
        <f t="shared" si="290"/>
        <v>INVAILD_SHIPPING</v>
      </c>
      <c r="L642" t="s">
        <v>1545</v>
      </c>
      <c r="M642" t="s">
        <v>52</v>
      </c>
      <c r="N642" t="str">
        <f t="shared" ref="N642:N705" si="311">PROPER(TRIM(SUBSTITUTE(M642,CHAR(160)," ")))</f>
        <v>Isha Nair</v>
      </c>
      <c r="O642" t="s">
        <v>114</v>
      </c>
      <c r="P642" t="str">
        <f t="shared" si="304"/>
        <v>Home Office</v>
      </c>
      <c r="Q642" t="s">
        <v>41</v>
      </c>
      <c r="R642" t="str">
        <f t="shared" si="306"/>
        <v>East</v>
      </c>
      <c r="S642" t="str">
        <f t="shared" si="291"/>
        <v>OK</v>
      </c>
      <c r="T642" t="s">
        <v>185</v>
      </c>
      <c r="U642" t="str">
        <f t="shared" ref="U642:U705" si="312">PROPER(TRIM(SUBSTITUTE(T642,CHAR(160)," ")))</f>
        <v>Bihar</v>
      </c>
      <c r="V642" t="s">
        <v>186</v>
      </c>
      <c r="W642" t="str">
        <f t="shared" ref="W642:W705" si="313">PROPER(TRIM(SUBSTITUTE(V642,CHAR(160)," ")))</f>
        <v>Patna</v>
      </c>
      <c r="X642" t="str">
        <f t="shared" ref="X642:X705" si="314">PROPER(TRIM(SUBSTITUTE(Y642,CHAR(160)," ")))</f>
        <v>Technology</v>
      </c>
      <c r="Y642" t="s">
        <v>85</v>
      </c>
      <c r="Z642" t="s">
        <v>222</v>
      </c>
      <c r="AA642" t="str">
        <f t="shared" ref="AA642:AA705" si="315">PROPER(TRIM(SUBSTITUTE(Z642,CHAR(160)," ")))</f>
        <v>Phones</v>
      </c>
      <c r="AB642" t="s">
        <v>1546</v>
      </c>
      <c r="AC642" t="s">
        <v>47</v>
      </c>
      <c r="AD642" t="str">
        <f t="shared" si="307"/>
        <v>Same Day</v>
      </c>
      <c r="AE642" t="str">
        <f t="shared" si="292"/>
        <v>OK</v>
      </c>
      <c r="AF642">
        <v>4</v>
      </c>
      <c r="AG642">
        <v>1654.11</v>
      </c>
      <c r="AH642">
        <v>0.05</v>
      </c>
      <c r="AI642">
        <f t="shared" si="293"/>
        <v>0.05</v>
      </c>
      <c r="AJ642" t="str">
        <f t="shared" si="294"/>
        <v>OK</v>
      </c>
      <c r="AK642">
        <v>6285.62</v>
      </c>
      <c r="AL642">
        <v>3705.38</v>
      </c>
      <c r="AM642">
        <v>2580.2399999999998</v>
      </c>
      <c r="AN642" t="s">
        <v>33</v>
      </c>
      <c r="AO642" t="str">
        <f t="shared" ref="AO642:AO705" si="316">UPPER(TRIM(SUBSTITUTE(AN642,CHAR(160)," ")))</f>
        <v>PAID</v>
      </c>
      <c r="AP642" t="str">
        <f t="shared" si="295"/>
        <v>OK</v>
      </c>
      <c r="AQ642" t="s">
        <v>34</v>
      </c>
      <c r="AR642" t="str">
        <f t="shared" ref="AR642:AR705" si="317">UPPER(TRIM(SUBSTITUTE(AQ642,CHAR(160)," ")))</f>
        <v>COMPLETED</v>
      </c>
      <c r="AS642" t="str">
        <f t="shared" si="296"/>
        <v>OK</v>
      </c>
      <c r="AT642">
        <f t="shared" si="297"/>
        <v>6285.6179999999995</v>
      </c>
      <c r="AU642">
        <f t="shared" si="298"/>
        <v>2580.2379999999994</v>
      </c>
      <c r="AV642" s="6">
        <f t="shared" si="299"/>
        <v>2.1193540555598513</v>
      </c>
      <c r="AW642" t="str">
        <f t="shared" si="300"/>
        <v>CLEAN</v>
      </c>
      <c r="AX642" s="10" t="str">
        <f t="shared" si="301"/>
        <v>MATCH</v>
      </c>
      <c r="AY642" t="str">
        <f t="shared" si="302"/>
        <v>MATCH</v>
      </c>
    </row>
    <row r="643" spans="1:51">
      <c r="A643" t="s">
        <v>1547</v>
      </c>
      <c r="B643">
        <f t="shared" si="308"/>
        <v>1</v>
      </c>
      <c r="C643" t="s">
        <v>1388</v>
      </c>
      <c r="D643" s="3">
        <v>45812</v>
      </c>
      <c r="E643" t="str">
        <f t="shared" si="309"/>
        <v>2025/06/04</v>
      </c>
      <c r="F643" t="str">
        <f t="shared" ref="F643:F706" si="318">TEXT(E643,"MMMM")</f>
        <v>June</v>
      </c>
      <c r="G643">
        <f t="shared" ref="G643:G706" si="319">YEAR(E643)</f>
        <v>2025</v>
      </c>
      <c r="H643" t="s">
        <v>1548</v>
      </c>
      <c r="I643" s="4">
        <v>45820</v>
      </c>
      <c r="J643" s="8">
        <f t="shared" si="310"/>
        <v>8</v>
      </c>
      <c r="K643" s="8" t="str">
        <f t="shared" ref="K643:K706" si="320">IF(J643&lt;0,"INVAILD_SHIPPING","OK")</f>
        <v>OK</v>
      </c>
      <c r="L643" t="s">
        <v>1549</v>
      </c>
      <c r="M643" t="s">
        <v>92</v>
      </c>
      <c r="N643" t="str">
        <f t="shared" si="311"/>
        <v>Neha Gupta</v>
      </c>
      <c r="O643" t="s">
        <v>25</v>
      </c>
      <c r="P643" t="str">
        <f t="shared" si="304"/>
        <v>Consumer</v>
      </c>
      <c r="Q643" t="s">
        <v>72</v>
      </c>
      <c r="R643" t="str">
        <f t="shared" si="306"/>
        <v>West</v>
      </c>
      <c r="S643" t="str">
        <f t="shared" ref="S643:S706" si="321">IF(R643="Unknown","MISSING_REGION","OK")</f>
        <v>OK</v>
      </c>
      <c r="T643" t="s">
        <v>248</v>
      </c>
      <c r="U643" t="str">
        <f t="shared" si="312"/>
        <v>Goa</v>
      </c>
      <c r="V643" t="s">
        <v>249</v>
      </c>
      <c r="W643" t="str">
        <f t="shared" si="313"/>
        <v>Panaji</v>
      </c>
      <c r="X643" t="str">
        <f t="shared" si="314"/>
        <v>Office Supplies</v>
      </c>
      <c r="Y643" t="s">
        <v>917</v>
      </c>
      <c r="Z643" t="s">
        <v>155</v>
      </c>
      <c r="AA643" t="str">
        <f t="shared" si="315"/>
        <v>Storage</v>
      </c>
      <c r="AB643" t="s">
        <v>1550</v>
      </c>
      <c r="AC643" t="s">
        <v>47</v>
      </c>
      <c r="AD643" t="str">
        <f t="shared" si="307"/>
        <v>Same Day</v>
      </c>
      <c r="AE643" t="str">
        <f t="shared" ref="AE643:AE706" si="322">IF(AD643="Unknown","MISSING_SHIP_MODE","OK")</f>
        <v>OK</v>
      </c>
      <c r="AF643">
        <v>2</v>
      </c>
      <c r="AG643">
        <v>2703.28</v>
      </c>
      <c r="AH643">
        <v>0.25</v>
      </c>
      <c r="AI643">
        <f t="shared" ref="AI643:AI706" si="323">IF(RIGHT(AH643,1)="%",VALUE(SUBSTITUTE(AH643,"%",""))/100,AH643)</f>
        <v>0.25</v>
      </c>
      <c r="AJ643" t="str">
        <f t="shared" ref="AJ643:AJ706" si="324">IF(AH643="","Missing Discount",
IF(AH643&lt;0,"Invalid Negative Discount",
"OK"))</f>
        <v>OK</v>
      </c>
      <c r="AK643">
        <v>4054.92</v>
      </c>
      <c r="AL643">
        <v>2424.83</v>
      </c>
      <c r="AM643">
        <v>1630.09</v>
      </c>
      <c r="AN643" t="s">
        <v>33</v>
      </c>
      <c r="AO643" t="str">
        <f t="shared" si="316"/>
        <v>PAID</v>
      </c>
      <c r="AP643" t="str">
        <f t="shared" ref="AP643:AP706" si="325">IF(AO643="Failed","EXCLUDE_FROM_SALES",
IF(AO643="Refunded","REFUNDED_PAYMENT",
"OK"))</f>
        <v>OK</v>
      </c>
      <c r="AQ643" t="s">
        <v>34</v>
      </c>
      <c r="AR643" t="str">
        <f t="shared" si="317"/>
        <v>COMPLETED</v>
      </c>
      <c r="AS643" t="str">
        <f t="shared" ref="AS643:AS706" si="326">IF(AR643="Cancelled","EXCLUDE_FROM_SALES",
IF(AR643="Returned","RETURNED_ORDER",
"OK"))</f>
        <v>OK</v>
      </c>
      <c r="AT643">
        <f t="shared" ref="AT643:AT706" si="327">IF(AI643&lt;0,"INVAILD",AF643*AG643*(1-AI643))</f>
        <v>4054.92</v>
      </c>
      <c r="AU643">
        <f t="shared" ref="AU643:AU706" si="328">IF(AT643="INVAILD","INVAILD",AT643-AL643)</f>
        <v>1630.0900000000001</v>
      </c>
      <c r="AV643" s="6">
        <f t="shared" ref="AV643:AV706" si="329">IF(OR(AT643="INVALID",AU643="INVALID"),"",AU664/AT643)</f>
        <v>0.85264024937606675</v>
      </c>
      <c r="AW643" t="str">
        <f t="shared" ref="AW643:AW706" si="330">IF(OR(AJ643&lt;&gt;"OK",K643="INVALID_SHIPPING"),
"INVALID",
IF(OR(S643&lt;&gt;"OK",AE643&lt;&gt;"OK"),
"WARNING",
"CLEAN"))</f>
        <v>CLEAN</v>
      </c>
      <c r="AX643" s="10" t="str">
        <f t="shared" ref="AX643:AX706" si="331">IF(AT643="INVALID","INVALID",
IF(ROUND(AK643,2)=ROUND(AT643,2),"MATCH","MISMATCH"))</f>
        <v>MATCH</v>
      </c>
      <c r="AY643" t="str">
        <f t="shared" ref="AY643:AY706" si="332">IF(AU643="INVALID","INVALID",IF(ROUND(AM643,2)=ROUND(AU643,2),"MATCH","MISMATCH"))</f>
        <v>MATCH</v>
      </c>
    </row>
    <row r="644" spans="1:51">
      <c r="A644" t="s">
        <v>1564</v>
      </c>
      <c r="B644">
        <f t="shared" si="308"/>
        <v>1</v>
      </c>
      <c r="C644" t="s">
        <v>1565</v>
      </c>
      <c r="D644" s="2">
        <v>45708</v>
      </c>
      <c r="E644" t="str">
        <f t="shared" si="309"/>
        <v>2025/02/20</v>
      </c>
      <c r="F644" t="str">
        <f t="shared" si="318"/>
        <v>February</v>
      </c>
      <c r="G644">
        <f t="shared" si="319"/>
        <v>2025</v>
      </c>
      <c r="H644" t="s">
        <v>96</v>
      </c>
      <c r="I644" s="4">
        <v>45711</v>
      </c>
      <c r="J644" s="8">
        <f t="shared" si="310"/>
        <v>3</v>
      </c>
      <c r="K644" s="8" t="str">
        <f t="shared" si="320"/>
        <v>OK</v>
      </c>
      <c r="L644" t="s">
        <v>1566</v>
      </c>
      <c r="M644" t="s">
        <v>161</v>
      </c>
      <c r="N644" t="str">
        <f t="shared" si="311"/>
        <v>Aarav Sharma</v>
      </c>
      <c r="O644" t="s">
        <v>25</v>
      </c>
      <c r="P644" t="str">
        <f t="shared" si="304"/>
        <v>Consumer</v>
      </c>
      <c r="Q644" t="s">
        <v>26</v>
      </c>
      <c r="R644" t="str">
        <f t="shared" si="306"/>
        <v>North</v>
      </c>
      <c r="S644" t="str">
        <f t="shared" si="321"/>
        <v>OK</v>
      </c>
      <c r="T644" t="s">
        <v>27</v>
      </c>
      <c r="U644" t="str">
        <f t="shared" si="312"/>
        <v>Rajasthan</v>
      </c>
      <c r="V644" t="s">
        <v>28</v>
      </c>
      <c r="W644" t="str">
        <f t="shared" si="313"/>
        <v>Jaipur</v>
      </c>
      <c r="X644" t="str">
        <f t="shared" si="314"/>
        <v>Technology</v>
      </c>
      <c r="Y644" t="s">
        <v>85</v>
      </c>
      <c r="Z644" t="s">
        <v>222</v>
      </c>
      <c r="AA644" t="str">
        <f t="shared" si="315"/>
        <v>Phones</v>
      </c>
      <c r="AB644" t="s">
        <v>1567</v>
      </c>
      <c r="AC644" t="s">
        <v>32</v>
      </c>
      <c r="AD644" t="str">
        <f t="shared" si="307"/>
        <v>Second Class</v>
      </c>
      <c r="AE644" t="str">
        <f t="shared" si="322"/>
        <v>OK</v>
      </c>
      <c r="AF644">
        <v>4</v>
      </c>
      <c r="AG644">
        <v>3673.11</v>
      </c>
      <c r="AH644">
        <v>0</v>
      </c>
      <c r="AI644">
        <f t="shared" si="323"/>
        <v>0</v>
      </c>
      <c r="AJ644" t="str">
        <f t="shared" si="324"/>
        <v>OK</v>
      </c>
      <c r="AK644">
        <v>14692.44</v>
      </c>
      <c r="AL644">
        <v>10082.19</v>
      </c>
      <c r="AM644">
        <v>4610.25</v>
      </c>
      <c r="AN644" t="s">
        <v>33</v>
      </c>
      <c r="AO644" t="str">
        <f t="shared" si="316"/>
        <v>PAID</v>
      </c>
      <c r="AP644" t="str">
        <f t="shared" si="325"/>
        <v>OK</v>
      </c>
      <c r="AQ644" t="s">
        <v>34</v>
      </c>
      <c r="AR644" t="str">
        <f t="shared" si="317"/>
        <v>COMPLETED</v>
      </c>
      <c r="AS644" t="str">
        <f t="shared" si="326"/>
        <v>OK</v>
      </c>
      <c r="AT644">
        <f t="shared" si="327"/>
        <v>14692.44</v>
      </c>
      <c r="AU644">
        <f t="shared" si="328"/>
        <v>4610.25</v>
      </c>
      <c r="AV644" s="6">
        <f t="shared" si="329"/>
        <v>0.29562907862819249</v>
      </c>
      <c r="AW644" t="str">
        <f t="shared" si="330"/>
        <v>CLEAN</v>
      </c>
      <c r="AX644" s="10" t="str">
        <f t="shared" si="331"/>
        <v>MATCH</v>
      </c>
      <c r="AY644" t="str">
        <f t="shared" si="332"/>
        <v>MATCH</v>
      </c>
    </row>
    <row r="645" spans="1:51">
      <c r="A645" t="s">
        <v>1568</v>
      </c>
      <c r="B645">
        <f t="shared" si="308"/>
        <v>1</v>
      </c>
      <c r="C645" t="s">
        <v>1569</v>
      </c>
      <c r="D645" s="3">
        <v>45998</v>
      </c>
      <c r="E645" t="str">
        <f t="shared" si="309"/>
        <v>2025/12/07</v>
      </c>
      <c r="F645" t="str">
        <f t="shared" si="318"/>
        <v>December</v>
      </c>
      <c r="G645">
        <f t="shared" si="319"/>
        <v>2025</v>
      </c>
      <c r="H645" t="s">
        <v>1570</v>
      </c>
      <c r="I645" s="4">
        <v>45857</v>
      </c>
      <c r="J645" s="8">
        <f t="shared" si="310"/>
        <v>-141</v>
      </c>
      <c r="K645" s="8" t="str">
        <f t="shared" si="320"/>
        <v>INVAILD_SHIPPING</v>
      </c>
      <c r="L645" t="s">
        <v>1571</v>
      </c>
      <c r="M645" t="s">
        <v>71</v>
      </c>
      <c r="N645" t="str">
        <f t="shared" si="311"/>
        <v>Ananya Rao</v>
      </c>
      <c r="O645" t="s">
        <v>107</v>
      </c>
      <c r="P645" t="str">
        <f t="shared" si="304"/>
        <v>Corporate</v>
      </c>
      <c r="Q645" t="s">
        <v>26</v>
      </c>
      <c r="R645" t="str">
        <f t="shared" si="306"/>
        <v>North</v>
      </c>
      <c r="S645" t="str">
        <f t="shared" si="321"/>
        <v>OK</v>
      </c>
      <c r="T645" t="s">
        <v>173</v>
      </c>
      <c r="U645" t="str">
        <f t="shared" si="312"/>
        <v>Uttar Pradesh</v>
      </c>
      <c r="V645" t="s">
        <v>174</v>
      </c>
      <c r="W645" t="str">
        <f t="shared" si="313"/>
        <v>Noida</v>
      </c>
      <c r="X645" t="str">
        <f t="shared" si="314"/>
        <v>Furniture</v>
      </c>
      <c r="Y645" t="s">
        <v>44</v>
      </c>
      <c r="Z645" t="s">
        <v>45</v>
      </c>
      <c r="AA645" t="str">
        <f t="shared" si="315"/>
        <v>Tables</v>
      </c>
      <c r="AB645" t="s">
        <v>1572</v>
      </c>
      <c r="AC645" t="s">
        <v>55</v>
      </c>
      <c r="AD645" t="str">
        <f t="shared" si="307"/>
        <v>First Class</v>
      </c>
      <c r="AE645" t="str">
        <f t="shared" si="322"/>
        <v>OK</v>
      </c>
      <c r="AF645">
        <v>9</v>
      </c>
      <c r="AG645">
        <v>4093.04</v>
      </c>
      <c r="AH645">
        <v>0.2</v>
      </c>
      <c r="AI645">
        <f t="shared" si="323"/>
        <v>0.2</v>
      </c>
      <c r="AJ645" t="str">
        <f t="shared" si="324"/>
        <v>OK</v>
      </c>
      <c r="AK645">
        <v>29469.89</v>
      </c>
      <c r="AL645">
        <v>18935.509999999998</v>
      </c>
      <c r="AM645">
        <v>10534.38</v>
      </c>
      <c r="AN645" t="s">
        <v>1573</v>
      </c>
      <c r="AO645" t="str">
        <f t="shared" si="316"/>
        <v>PENDING</v>
      </c>
      <c r="AP645" t="str">
        <f t="shared" si="325"/>
        <v>OK</v>
      </c>
      <c r="AQ645" t="s">
        <v>77</v>
      </c>
      <c r="AR645" t="str">
        <f t="shared" si="317"/>
        <v>CANCELLED</v>
      </c>
      <c r="AS645" t="str">
        <f t="shared" si="326"/>
        <v>EXCLUDE_FROM_SALES</v>
      </c>
      <c r="AT645">
        <f t="shared" si="327"/>
        <v>29469.888000000003</v>
      </c>
      <c r="AU645">
        <f t="shared" si="328"/>
        <v>10534.378000000004</v>
      </c>
      <c r="AV645" s="6">
        <f t="shared" si="329"/>
        <v>3.7975712700367245E-2</v>
      </c>
      <c r="AW645" t="str">
        <f t="shared" si="330"/>
        <v>CLEAN</v>
      </c>
      <c r="AX645" s="10" t="str">
        <f t="shared" si="331"/>
        <v>MATCH</v>
      </c>
      <c r="AY645" t="str">
        <f t="shared" si="332"/>
        <v>MATCH</v>
      </c>
    </row>
    <row r="646" spans="1:51">
      <c r="A646" t="s">
        <v>1574</v>
      </c>
      <c r="B646">
        <f t="shared" si="308"/>
        <v>1</v>
      </c>
      <c r="C646" t="s">
        <v>1575</v>
      </c>
      <c r="D646" s="3">
        <v>45821</v>
      </c>
      <c r="E646" t="str">
        <f t="shared" si="309"/>
        <v>2025/06/13</v>
      </c>
      <c r="F646" t="str">
        <f t="shared" si="318"/>
        <v>June</v>
      </c>
      <c r="G646">
        <f t="shared" si="319"/>
        <v>2025</v>
      </c>
      <c r="H646" t="s">
        <v>1576</v>
      </c>
      <c r="I646" s="4">
        <v>45827</v>
      </c>
      <c r="J646" s="8">
        <f t="shared" si="310"/>
        <v>6</v>
      </c>
      <c r="K646" s="8" t="str">
        <f t="shared" si="320"/>
        <v>OK</v>
      </c>
      <c r="L646" t="s">
        <v>1577</v>
      </c>
      <c r="M646" t="s">
        <v>179</v>
      </c>
      <c r="N646" t="str">
        <f t="shared" si="311"/>
        <v>Rohan Mehta</v>
      </c>
      <c r="O646" t="s">
        <v>25</v>
      </c>
      <c r="P646" t="str">
        <f t="shared" si="304"/>
        <v>Consumer</v>
      </c>
      <c r="Q646" t="s">
        <v>26</v>
      </c>
      <c r="R646" t="str">
        <f t="shared" si="306"/>
        <v>North</v>
      </c>
      <c r="S646" t="str">
        <f t="shared" si="321"/>
        <v>OK</v>
      </c>
      <c r="T646" t="s">
        <v>27</v>
      </c>
      <c r="U646" t="str">
        <f t="shared" si="312"/>
        <v>Rajasthan</v>
      </c>
      <c r="V646" t="s">
        <v>28</v>
      </c>
      <c r="W646" t="str">
        <f t="shared" si="313"/>
        <v>Jaipur</v>
      </c>
      <c r="X646" t="str">
        <f t="shared" si="314"/>
        <v>Furniture</v>
      </c>
      <c r="Y646" t="s">
        <v>44</v>
      </c>
      <c r="Z646" t="s">
        <v>45</v>
      </c>
      <c r="AA646" t="str">
        <f t="shared" si="315"/>
        <v>Tables</v>
      </c>
      <c r="AB646" t="s">
        <v>1578</v>
      </c>
      <c r="AC646" t="s">
        <v>55</v>
      </c>
      <c r="AD646" t="str">
        <f t="shared" si="307"/>
        <v>First Class</v>
      </c>
      <c r="AE646" t="str">
        <f t="shared" si="322"/>
        <v>OK</v>
      </c>
      <c r="AF646">
        <v>4</v>
      </c>
      <c r="AG646">
        <v>731.57</v>
      </c>
      <c r="AH646">
        <v>0.2</v>
      </c>
      <c r="AI646">
        <f t="shared" si="323"/>
        <v>0.2</v>
      </c>
      <c r="AJ646" t="str">
        <f t="shared" si="324"/>
        <v>OK</v>
      </c>
      <c r="AK646">
        <v>2341.02</v>
      </c>
      <c r="AL646">
        <v>1565.49</v>
      </c>
      <c r="AM646">
        <v>775.53</v>
      </c>
      <c r="AN646" t="s">
        <v>33</v>
      </c>
      <c r="AO646" t="str">
        <f t="shared" si="316"/>
        <v>PAID</v>
      </c>
      <c r="AP646" t="str">
        <f t="shared" si="325"/>
        <v>OK</v>
      </c>
      <c r="AQ646" t="s">
        <v>34</v>
      </c>
      <c r="AR646" t="str">
        <f t="shared" si="317"/>
        <v>COMPLETED</v>
      </c>
      <c r="AS646" t="str">
        <f t="shared" si="326"/>
        <v>OK</v>
      </c>
      <c r="AT646">
        <f t="shared" si="327"/>
        <v>2341.0240000000003</v>
      </c>
      <c r="AU646">
        <f t="shared" si="328"/>
        <v>775.53400000000033</v>
      </c>
      <c r="AV646" s="6">
        <f t="shared" si="329"/>
        <v>1.8192978799021282</v>
      </c>
      <c r="AW646" t="str">
        <f t="shared" si="330"/>
        <v>CLEAN</v>
      </c>
      <c r="AX646" s="10" t="str">
        <f t="shared" si="331"/>
        <v>MATCH</v>
      </c>
      <c r="AY646" t="str">
        <f t="shared" si="332"/>
        <v>MATCH</v>
      </c>
    </row>
    <row r="647" spans="1:51">
      <c r="A647" t="s">
        <v>1596</v>
      </c>
      <c r="B647">
        <f t="shared" si="308"/>
        <v>1</v>
      </c>
      <c r="C647" t="s">
        <v>1597</v>
      </c>
      <c r="D647" s="3">
        <v>45807</v>
      </c>
      <c r="E647" t="str">
        <f t="shared" si="309"/>
        <v>2025/05/30</v>
      </c>
      <c r="F647" t="str">
        <f t="shared" si="318"/>
        <v>May</v>
      </c>
      <c r="G647">
        <f t="shared" si="319"/>
        <v>2025</v>
      </c>
      <c r="H647" t="s">
        <v>1598</v>
      </c>
      <c r="I647" s="4">
        <v>45808</v>
      </c>
      <c r="J647" s="8">
        <f t="shared" si="310"/>
        <v>1</v>
      </c>
      <c r="K647" s="8" t="str">
        <f t="shared" si="320"/>
        <v>OK</v>
      </c>
      <c r="L647" t="s">
        <v>1599</v>
      </c>
      <c r="M647" t="s">
        <v>147</v>
      </c>
      <c r="N647" t="str">
        <f t="shared" si="311"/>
        <v>Rahul Verma</v>
      </c>
      <c r="O647" t="s">
        <v>107</v>
      </c>
      <c r="P647" t="str">
        <f t="shared" si="304"/>
        <v>Corporate</v>
      </c>
      <c r="Q647" t="s">
        <v>26</v>
      </c>
      <c r="R647" t="str">
        <f t="shared" si="306"/>
        <v>North</v>
      </c>
      <c r="S647" t="str">
        <f t="shared" si="321"/>
        <v>OK</v>
      </c>
      <c r="T647" t="s">
        <v>173</v>
      </c>
      <c r="U647" t="str">
        <f t="shared" si="312"/>
        <v>Uttar Pradesh</v>
      </c>
      <c r="V647" t="s">
        <v>174</v>
      </c>
      <c r="W647" t="str">
        <f t="shared" si="313"/>
        <v>Noida</v>
      </c>
      <c r="X647" t="str">
        <f t="shared" si="314"/>
        <v>Technology</v>
      </c>
      <c r="Y647" t="s">
        <v>85</v>
      </c>
      <c r="Z647" t="s">
        <v>222</v>
      </c>
      <c r="AA647" t="str">
        <f t="shared" si="315"/>
        <v>Phones</v>
      </c>
      <c r="AB647" t="s">
        <v>1600</v>
      </c>
      <c r="AC647" t="s">
        <v>55</v>
      </c>
      <c r="AD647" t="str">
        <f t="shared" si="307"/>
        <v>First Class</v>
      </c>
      <c r="AE647" t="str">
        <f t="shared" si="322"/>
        <v>OK</v>
      </c>
      <c r="AF647">
        <v>8</v>
      </c>
      <c r="AG647">
        <v>2081.4299999999998</v>
      </c>
      <c r="AH647">
        <v>0.25</v>
      </c>
      <c r="AI647">
        <f t="shared" si="323"/>
        <v>0.25</v>
      </c>
      <c r="AJ647" t="str">
        <f t="shared" si="324"/>
        <v>OK</v>
      </c>
      <c r="AK647">
        <v>12488.58</v>
      </c>
      <c r="AL647">
        <v>10717.4</v>
      </c>
      <c r="AM647">
        <v>1771.18</v>
      </c>
      <c r="AN647" t="s">
        <v>123</v>
      </c>
      <c r="AO647" t="str">
        <f t="shared" si="316"/>
        <v>REFUNDED</v>
      </c>
      <c r="AP647" t="str">
        <f t="shared" si="325"/>
        <v>REFUNDED_PAYMENT</v>
      </c>
      <c r="AQ647" t="s">
        <v>77</v>
      </c>
      <c r="AR647" t="str">
        <f t="shared" si="317"/>
        <v>CANCELLED</v>
      </c>
      <c r="AS647" t="str">
        <f t="shared" si="326"/>
        <v>EXCLUDE_FROM_SALES</v>
      </c>
      <c r="AT647">
        <f t="shared" si="327"/>
        <v>12488.579999999998</v>
      </c>
      <c r="AU647">
        <f t="shared" si="328"/>
        <v>1771.1799999999985</v>
      </c>
      <c r="AV647" s="6">
        <f t="shared" si="329"/>
        <v>0.35918527166419251</v>
      </c>
      <c r="AW647" t="str">
        <f t="shared" si="330"/>
        <v>CLEAN</v>
      </c>
      <c r="AX647" s="10" t="str">
        <f t="shared" si="331"/>
        <v>MATCH</v>
      </c>
      <c r="AY647" t="str">
        <f t="shared" si="332"/>
        <v>MATCH</v>
      </c>
    </row>
    <row r="648" spans="1:51">
      <c r="A648" t="s">
        <v>1601</v>
      </c>
      <c r="B648">
        <f t="shared" si="308"/>
        <v>2</v>
      </c>
      <c r="C648" t="s">
        <v>1103</v>
      </c>
      <c r="D648" s="3">
        <v>45795</v>
      </c>
      <c r="E648" t="str">
        <f t="shared" si="309"/>
        <v>2025/05/18</v>
      </c>
      <c r="F648" t="str">
        <f t="shared" si="318"/>
        <v>May</v>
      </c>
      <c r="G648">
        <f t="shared" si="319"/>
        <v>2025</v>
      </c>
      <c r="H648" t="s">
        <v>117</v>
      </c>
      <c r="I648" s="4">
        <v>45797</v>
      </c>
      <c r="J648" s="8">
        <f t="shared" si="310"/>
        <v>2</v>
      </c>
      <c r="K648" s="8" t="str">
        <f t="shared" si="320"/>
        <v>OK</v>
      </c>
      <c r="L648" t="s">
        <v>1602</v>
      </c>
      <c r="M648" t="s">
        <v>52</v>
      </c>
      <c r="N648" t="str">
        <f t="shared" si="311"/>
        <v>Isha Nair</v>
      </c>
      <c r="O648" t="s">
        <v>107</v>
      </c>
      <c r="P648" t="str">
        <f t="shared" si="304"/>
        <v>Corporate</v>
      </c>
      <c r="Q648" t="s">
        <v>72</v>
      </c>
      <c r="R648" t="str">
        <f t="shared" si="306"/>
        <v>West</v>
      </c>
      <c r="S648" t="str">
        <f t="shared" si="321"/>
        <v>OK</v>
      </c>
      <c r="T648" t="s">
        <v>83</v>
      </c>
      <c r="U648" t="str">
        <f t="shared" si="312"/>
        <v>Madhya Pradesh</v>
      </c>
      <c r="V648" t="s">
        <v>84</v>
      </c>
      <c r="W648" t="str">
        <f t="shared" si="313"/>
        <v>Indore</v>
      </c>
      <c r="X648" t="str">
        <f t="shared" si="314"/>
        <v>Office Supplies</v>
      </c>
      <c r="Y648" t="s">
        <v>29</v>
      </c>
      <c r="Z648" t="s">
        <v>108</v>
      </c>
      <c r="AA648" t="str">
        <f t="shared" si="315"/>
        <v>Labels</v>
      </c>
      <c r="AB648" t="s">
        <v>1603</v>
      </c>
      <c r="AC648" t="s">
        <v>66</v>
      </c>
      <c r="AD648" t="str">
        <f t="shared" si="307"/>
        <v>Standard Class</v>
      </c>
      <c r="AE648" t="str">
        <f t="shared" si="322"/>
        <v>OK</v>
      </c>
      <c r="AF648">
        <v>9</v>
      </c>
      <c r="AG648">
        <v>847.76</v>
      </c>
      <c r="AH648">
        <v>0.15</v>
      </c>
      <c r="AI648">
        <f t="shared" si="323"/>
        <v>0.15</v>
      </c>
      <c r="AJ648" t="str">
        <f t="shared" si="324"/>
        <v>OK</v>
      </c>
      <c r="AK648">
        <v>6485.36</v>
      </c>
      <c r="AL648">
        <v>5376.17</v>
      </c>
      <c r="AM648">
        <v>1109.19</v>
      </c>
      <c r="AN648" t="s">
        <v>199</v>
      </c>
      <c r="AO648" t="str">
        <f t="shared" si="316"/>
        <v>FAILED</v>
      </c>
      <c r="AP648" t="str">
        <f t="shared" si="325"/>
        <v>EXCLUDE_FROM_SALES</v>
      </c>
      <c r="AQ648" t="s">
        <v>124</v>
      </c>
      <c r="AR648" t="str">
        <f t="shared" si="317"/>
        <v>RETURNED</v>
      </c>
      <c r="AS648" t="str">
        <f t="shared" si="326"/>
        <v>RETURNED_ORDER</v>
      </c>
      <c r="AT648">
        <f t="shared" si="327"/>
        <v>6485.3639999999996</v>
      </c>
      <c r="AU648">
        <f t="shared" si="328"/>
        <v>1109.1939999999995</v>
      </c>
      <c r="AV648" s="6">
        <f t="shared" si="329"/>
        <v>5.4749432722666018E-2</v>
      </c>
      <c r="AW648" t="str">
        <f t="shared" si="330"/>
        <v>CLEAN</v>
      </c>
      <c r="AX648" s="10" t="str">
        <f t="shared" si="331"/>
        <v>MATCH</v>
      </c>
      <c r="AY648" t="str">
        <f t="shared" si="332"/>
        <v>MATCH</v>
      </c>
    </row>
    <row r="649" spans="1:51">
      <c r="A649" t="s">
        <v>1601</v>
      </c>
      <c r="B649">
        <f t="shared" si="308"/>
        <v>2</v>
      </c>
      <c r="C649" t="s">
        <v>1103</v>
      </c>
      <c r="D649" s="3">
        <v>45795</v>
      </c>
      <c r="E649" t="str">
        <f t="shared" si="309"/>
        <v>2025/05/18</v>
      </c>
      <c r="F649" t="str">
        <f t="shared" si="318"/>
        <v>May</v>
      </c>
      <c r="G649">
        <f t="shared" si="319"/>
        <v>2025</v>
      </c>
      <c r="H649" t="s">
        <v>117</v>
      </c>
      <c r="I649" s="4">
        <v>45797</v>
      </c>
      <c r="J649" s="8">
        <f t="shared" si="310"/>
        <v>2</v>
      </c>
      <c r="K649" s="8" t="str">
        <f t="shared" si="320"/>
        <v>OK</v>
      </c>
      <c r="L649" t="s">
        <v>1602</v>
      </c>
      <c r="M649" t="s">
        <v>52</v>
      </c>
      <c r="N649" t="str">
        <f t="shared" si="311"/>
        <v>Isha Nair</v>
      </c>
      <c r="O649" t="s">
        <v>107</v>
      </c>
      <c r="P649" t="str">
        <f t="shared" ref="P649:P712" si="333">PROPER(TRIM(SUBSTITUTE(O649,CHAR(160)," ")))</f>
        <v>Corporate</v>
      </c>
      <c r="Q649" t="s">
        <v>72</v>
      </c>
      <c r="R649" t="str">
        <f t="shared" si="306"/>
        <v>West</v>
      </c>
      <c r="S649" t="str">
        <f t="shared" si="321"/>
        <v>OK</v>
      </c>
      <c r="T649" t="s">
        <v>83</v>
      </c>
      <c r="U649" t="str">
        <f t="shared" si="312"/>
        <v>Madhya Pradesh</v>
      </c>
      <c r="V649" t="s">
        <v>84</v>
      </c>
      <c r="W649" t="str">
        <f t="shared" si="313"/>
        <v>Indore</v>
      </c>
      <c r="X649" t="str">
        <f t="shared" si="314"/>
        <v>Office Supplies</v>
      </c>
      <c r="Y649" t="s">
        <v>29</v>
      </c>
      <c r="Z649" t="s">
        <v>108</v>
      </c>
      <c r="AA649" t="str">
        <f t="shared" si="315"/>
        <v>Labels</v>
      </c>
      <c r="AB649" t="s">
        <v>1603</v>
      </c>
      <c r="AC649" t="s">
        <v>66</v>
      </c>
      <c r="AD649" t="str">
        <f t="shared" si="307"/>
        <v>Standard Class</v>
      </c>
      <c r="AE649" t="str">
        <f t="shared" si="322"/>
        <v>OK</v>
      </c>
      <c r="AF649">
        <v>9</v>
      </c>
      <c r="AG649">
        <v>847.76</v>
      </c>
      <c r="AH649">
        <v>0.15</v>
      </c>
      <c r="AI649">
        <f t="shared" si="323"/>
        <v>0.15</v>
      </c>
      <c r="AJ649" t="str">
        <f t="shared" si="324"/>
        <v>OK</v>
      </c>
      <c r="AK649">
        <v>6589.37</v>
      </c>
      <c r="AL649">
        <v>5376.17</v>
      </c>
      <c r="AM649">
        <v>1109.19</v>
      </c>
      <c r="AN649" t="s">
        <v>199</v>
      </c>
      <c r="AO649" t="str">
        <f t="shared" si="316"/>
        <v>FAILED</v>
      </c>
      <c r="AP649" t="str">
        <f t="shared" si="325"/>
        <v>EXCLUDE_FROM_SALES</v>
      </c>
      <c r="AQ649" t="s">
        <v>34</v>
      </c>
      <c r="AR649" t="str">
        <f t="shared" si="317"/>
        <v>COMPLETED</v>
      </c>
      <c r="AS649" t="str">
        <f t="shared" si="326"/>
        <v>OK</v>
      </c>
      <c r="AT649">
        <f t="shared" si="327"/>
        <v>6485.3639999999996</v>
      </c>
      <c r="AU649">
        <f t="shared" si="328"/>
        <v>1109.1939999999995</v>
      </c>
      <c r="AV649" s="6">
        <f t="shared" si="329"/>
        <v>0.10055873502242894</v>
      </c>
      <c r="AW649" t="str">
        <f t="shared" si="330"/>
        <v>CLEAN</v>
      </c>
      <c r="AX649" s="10" t="str">
        <f t="shared" si="331"/>
        <v>MISMATCH</v>
      </c>
      <c r="AY649" t="str">
        <f t="shared" si="332"/>
        <v>MATCH</v>
      </c>
    </row>
    <row r="650" spans="1:51">
      <c r="A650" t="s">
        <v>1614</v>
      </c>
      <c r="B650">
        <f t="shared" si="308"/>
        <v>1</v>
      </c>
      <c r="C650" t="s">
        <v>1615</v>
      </c>
      <c r="D650" s="3">
        <v>45898</v>
      </c>
      <c r="E650" t="str">
        <f t="shared" si="309"/>
        <v>2025/08/29</v>
      </c>
      <c r="F650" t="str">
        <f t="shared" si="318"/>
        <v>August</v>
      </c>
      <c r="G650">
        <f t="shared" si="319"/>
        <v>2025</v>
      </c>
      <c r="H650" t="s">
        <v>1616</v>
      </c>
      <c r="I650" s="4">
        <v>45904</v>
      </c>
      <c r="J650" s="8">
        <f t="shared" si="310"/>
        <v>6</v>
      </c>
      <c r="K650" s="8" t="str">
        <f t="shared" si="320"/>
        <v>OK</v>
      </c>
      <c r="L650" t="s">
        <v>1617</v>
      </c>
      <c r="M650" t="s">
        <v>92</v>
      </c>
      <c r="N650" t="str">
        <f t="shared" si="311"/>
        <v>Neha Gupta</v>
      </c>
      <c r="O650" t="s">
        <v>107</v>
      </c>
      <c r="P650" t="str">
        <f t="shared" si="333"/>
        <v>Corporate</v>
      </c>
      <c r="Q650" t="s">
        <v>61</v>
      </c>
      <c r="R650" t="str">
        <f t="shared" si="306"/>
        <v>South</v>
      </c>
      <c r="S650" t="str">
        <f t="shared" si="321"/>
        <v>OK</v>
      </c>
      <c r="T650" t="s">
        <v>241</v>
      </c>
      <c r="U650" t="str">
        <f t="shared" si="312"/>
        <v>Kerala</v>
      </c>
      <c r="V650" t="s">
        <v>242</v>
      </c>
      <c r="W650" t="str">
        <f t="shared" si="313"/>
        <v>Kochi</v>
      </c>
      <c r="X650" t="str">
        <f t="shared" si="314"/>
        <v>Furniture</v>
      </c>
      <c r="Y650" t="s">
        <v>44</v>
      </c>
      <c r="Z650" t="s">
        <v>45</v>
      </c>
      <c r="AA650" t="str">
        <f t="shared" si="315"/>
        <v>Tables</v>
      </c>
      <c r="AB650" t="s">
        <v>1618</v>
      </c>
      <c r="AC650" t="s">
        <v>55</v>
      </c>
      <c r="AD650" t="str">
        <f t="shared" si="307"/>
        <v>First Class</v>
      </c>
      <c r="AE650" t="str">
        <f t="shared" si="322"/>
        <v>OK</v>
      </c>
      <c r="AF650">
        <v>9</v>
      </c>
      <c r="AG650">
        <v>2996.97</v>
      </c>
      <c r="AH650">
        <v>0.15</v>
      </c>
      <c r="AI650">
        <f t="shared" si="323"/>
        <v>0.15</v>
      </c>
      <c r="AJ650" t="str">
        <f t="shared" si="324"/>
        <v>OK</v>
      </c>
      <c r="AK650">
        <v>22926.82</v>
      </c>
      <c r="AL650">
        <v>14621.59</v>
      </c>
      <c r="AM650">
        <v>8305.23</v>
      </c>
      <c r="AN650" t="s">
        <v>33</v>
      </c>
      <c r="AO650" t="str">
        <f t="shared" si="316"/>
        <v>PAID</v>
      </c>
      <c r="AP650" t="str">
        <f t="shared" si="325"/>
        <v>OK</v>
      </c>
      <c r="AQ650" t="s">
        <v>34</v>
      </c>
      <c r="AR650" t="str">
        <f t="shared" si="317"/>
        <v>COMPLETED</v>
      </c>
      <c r="AS650" t="str">
        <f t="shared" si="326"/>
        <v>OK</v>
      </c>
      <c r="AT650">
        <f t="shared" si="327"/>
        <v>22926.820499999998</v>
      </c>
      <c r="AU650">
        <f t="shared" si="328"/>
        <v>8305.2304999999978</v>
      </c>
      <c r="AV650" s="6">
        <f t="shared" si="329"/>
        <v>6.8781451837161625E-2</v>
      </c>
      <c r="AW650" t="str">
        <f t="shared" si="330"/>
        <v>CLEAN</v>
      </c>
      <c r="AX650" s="10" t="str">
        <f t="shared" si="331"/>
        <v>MATCH</v>
      </c>
      <c r="AY650" t="str">
        <f t="shared" si="332"/>
        <v>MATCH</v>
      </c>
    </row>
    <row r="651" spans="1:51">
      <c r="A651" t="s">
        <v>1647</v>
      </c>
      <c r="B651">
        <f t="shared" si="308"/>
        <v>1</v>
      </c>
      <c r="C651" t="s">
        <v>1648</v>
      </c>
      <c r="D651" s="2">
        <v>45869</v>
      </c>
      <c r="E651" t="str">
        <f t="shared" si="309"/>
        <v>2025/07/31</v>
      </c>
      <c r="F651" t="str">
        <f t="shared" si="318"/>
        <v>July</v>
      </c>
      <c r="G651">
        <f t="shared" si="319"/>
        <v>2025</v>
      </c>
      <c r="H651" t="s">
        <v>942</v>
      </c>
      <c r="I651" s="4">
        <v>45696</v>
      </c>
      <c r="J651" s="8">
        <f t="shared" si="310"/>
        <v>-173</v>
      </c>
      <c r="K651" s="8" t="str">
        <f t="shared" si="320"/>
        <v>INVAILD_SHIPPING</v>
      </c>
      <c r="L651" t="s">
        <v>1649</v>
      </c>
      <c r="M651" t="s">
        <v>179</v>
      </c>
      <c r="N651" t="str">
        <f t="shared" si="311"/>
        <v>Rohan Mehta</v>
      </c>
      <c r="O651" t="s">
        <v>114</v>
      </c>
      <c r="P651" t="str">
        <f t="shared" si="333"/>
        <v>Home Office</v>
      </c>
      <c r="Q651" t="s">
        <v>61</v>
      </c>
      <c r="R651" t="str">
        <f t="shared" si="306"/>
        <v>South</v>
      </c>
      <c r="S651" t="str">
        <f t="shared" si="321"/>
        <v>OK</v>
      </c>
      <c r="T651" t="s">
        <v>99</v>
      </c>
      <c r="U651" t="str">
        <f t="shared" si="312"/>
        <v>Andhra Pradesh</v>
      </c>
      <c r="V651" t="s">
        <v>100</v>
      </c>
      <c r="W651" t="str">
        <f t="shared" si="313"/>
        <v>Vijayawada</v>
      </c>
      <c r="X651" t="str">
        <f t="shared" si="314"/>
        <v>Office Supplies</v>
      </c>
      <c r="Y651" t="s">
        <v>29</v>
      </c>
      <c r="Z651" t="s">
        <v>108</v>
      </c>
      <c r="AA651" t="str">
        <f t="shared" si="315"/>
        <v>Labels</v>
      </c>
      <c r="AB651" t="s">
        <v>1650</v>
      </c>
      <c r="AC651" t="s">
        <v>47</v>
      </c>
      <c r="AD651" t="str">
        <f t="shared" si="307"/>
        <v>Same Day</v>
      </c>
      <c r="AE651" t="str">
        <f t="shared" si="322"/>
        <v>OK</v>
      </c>
      <c r="AF651">
        <v>1</v>
      </c>
      <c r="AG651">
        <v>1947.88</v>
      </c>
      <c r="AH651">
        <v>0.15</v>
      </c>
      <c r="AI651">
        <f t="shared" si="323"/>
        <v>0.15</v>
      </c>
      <c r="AJ651" t="str">
        <f t="shared" si="324"/>
        <v>OK</v>
      </c>
      <c r="AK651">
        <v>1655.7</v>
      </c>
      <c r="AL651">
        <v>1354.8</v>
      </c>
      <c r="AM651">
        <v>300.89999999999998</v>
      </c>
      <c r="AN651" t="s">
        <v>33</v>
      </c>
      <c r="AO651" t="str">
        <f t="shared" si="316"/>
        <v>PAID</v>
      </c>
      <c r="AP651" t="str">
        <f t="shared" si="325"/>
        <v>OK</v>
      </c>
      <c r="AQ651" t="s">
        <v>124</v>
      </c>
      <c r="AR651" t="str">
        <f t="shared" si="317"/>
        <v>RETURNED</v>
      </c>
      <c r="AS651" t="str">
        <f t="shared" si="326"/>
        <v>RETURNED_ORDER</v>
      </c>
      <c r="AT651">
        <f t="shared" si="327"/>
        <v>1655.6980000000001</v>
      </c>
      <c r="AU651">
        <f t="shared" si="328"/>
        <v>300.89800000000014</v>
      </c>
      <c r="AV651" s="6">
        <f t="shared" si="329"/>
        <v>9.196120910939074</v>
      </c>
      <c r="AW651" t="str">
        <f t="shared" si="330"/>
        <v>CLEAN</v>
      </c>
      <c r="AX651" s="10" t="str">
        <f t="shared" si="331"/>
        <v>MATCH</v>
      </c>
      <c r="AY651" t="str">
        <f t="shared" si="332"/>
        <v>MATCH</v>
      </c>
    </row>
    <row r="652" spans="1:51">
      <c r="A652" t="s">
        <v>1651</v>
      </c>
      <c r="B652">
        <f t="shared" si="308"/>
        <v>1</v>
      </c>
      <c r="C652" t="s">
        <v>1652</v>
      </c>
      <c r="D652" s="3">
        <v>45916</v>
      </c>
      <c r="E652" t="str">
        <f t="shared" si="309"/>
        <v>2025/09/16</v>
      </c>
      <c r="F652" t="str">
        <f t="shared" si="318"/>
        <v>September</v>
      </c>
      <c r="G652">
        <f t="shared" si="319"/>
        <v>2025</v>
      </c>
      <c r="H652" t="s">
        <v>1653</v>
      </c>
      <c r="I652" s="4">
        <v>45922</v>
      </c>
      <c r="J652" s="8">
        <f t="shared" si="310"/>
        <v>6</v>
      </c>
      <c r="K652" s="8" t="str">
        <f t="shared" si="320"/>
        <v>OK</v>
      </c>
      <c r="L652" t="s">
        <v>1654</v>
      </c>
      <c r="M652" t="s">
        <v>167</v>
      </c>
      <c r="N652" t="str">
        <f t="shared" si="311"/>
        <v>Sneha Kapoor</v>
      </c>
      <c r="O652" t="s">
        <v>114</v>
      </c>
      <c r="P652" t="str">
        <f t="shared" si="333"/>
        <v>Home Office</v>
      </c>
      <c r="Q652" t="s">
        <v>41</v>
      </c>
      <c r="R652" t="str">
        <f t="shared" si="306"/>
        <v>East</v>
      </c>
      <c r="S652" t="str">
        <f t="shared" si="321"/>
        <v>OK</v>
      </c>
      <c r="T652" t="s">
        <v>120</v>
      </c>
      <c r="U652" t="str">
        <f t="shared" si="312"/>
        <v>West Bengal</v>
      </c>
      <c r="V652" t="s">
        <v>121</v>
      </c>
      <c r="W652" t="str">
        <f t="shared" si="313"/>
        <v>Kolkata</v>
      </c>
      <c r="X652" t="str">
        <f t="shared" si="314"/>
        <v>Technology</v>
      </c>
      <c r="Y652" t="s">
        <v>85</v>
      </c>
      <c r="Z652" t="s">
        <v>93</v>
      </c>
      <c r="AA652" t="str">
        <f t="shared" si="315"/>
        <v>Copiers</v>
      </c>
      <c r="AB652" t="s">
        <v>1655</v>
      </c>
      <c r="AC652" t="s">
        <v>32</v>
      </c>
      <c r="AD652" t="str">
        <f t="shared" si="307"/>
        <v>Second Class</v>
      </c>
      <c r="AE652" t="str">
        <f t="shared" si="322"/>
        <v>OK</v>
      </c>
      <c r="AF652">
        <v>5</v>
      </c>
      <c r="AG652">
        <v>3671.2</v>
      </c>
      <c r="AH652">
        <v>0.15</v>
      </c>
      <c r="AI652">
        <f t="shared" si="323"/>
        <v>0.15</v>
      </c>
      <c r="AJ652" t="str">
        <f t="shared" si="324"/>
        <v>OK</v>
      </c>
      <c r="AK652">
        <v>15602.6</v>
      </c>
      <c r="AL652">
        <v>11908.52</v>
      </c>
      <c r="AM652">
        <v>3694.08</v>
      </c>
      <c r="AN652" t="s">
        <v>33</v>
      </c>
      <c r="AO652" t="str">
        <f t="shared" si="316"/>
        <v>PAID</v>
      </c>
      <c r="AP652" t="str">
        <f t="shared" si="325"/>
        <v>OK</v>
      </c>
      <c r="AQ652" t="s">
        <v>34</v>
      </c>
      <c r="AR652" t="str">
        <f t="shared" si="317"/>
        <v>COMPLETED</v>
      </c>
      <c r="AS652" t="str">
        <f t="shared" si="326"/>
        <v>OK</v>
      </c>
      <c r="AT652">
        <f t="shared" si="327"/>
        <v>15602.6</v>
      </c>
      <c r="AU652">
        <f t="shared" si="328"/>
        <v>3694.08</v>
      </c>
      <c r="AV652" s="6">
        <f t="shared" si="329"/>
        <v>0.10653849358440255</v>
      </c>
      <c r="AW652" t="str">
        <f t="shared" si="330"/>
        <v>CLEAN</v>
      </c>
      <c r="AX652" s="10" t="str">
        <f t="shared" si="331"/>
        <v>MATCH</v>
      </c>
      <c r="AY652" t="str">
        <f t="shared" si="332"/>
        <v>MATCH</v>
      </c>
    </row>
    <row r="653" spans="1:51">
      <c r="A653" t="s">
        <v>1656</v>
      </c>
      <c r="B653">
        <f t="shared" si="308"/>
        <v>1</v>
      </c>
      <c r="C653" t="s">
        <v>1657</v>
      </c>
      <c r="D653" s="3">
        <v>45860</v>
      </c>
      <c r="E653" t="str">
        <f t="shared" si="309"/>
        <v>2025/07/22</v>
      </c>
      <c r="F653" t="str">
        <f t="shared" si="318"/>
        <v>July</v>
      </c>
      <c r="G653">
        <f t="shared" si="319"/>
        <v>2025</v>
      </c>
      <c r="H653" t="s">
        <v>1511</v>
      </c>
      <c r="I653" s="4">
        <v>45860</v>
      </c>
      <c r="J653" s="8">
        <f t="shared" si="310"/>
        <v>0</v>
      </c>
      <c r="K653" s="8" t="str">
        <f t="shared" si="320"/>
        <v>OK</v>
      </c>
      <c r="L653" t="s">
        <v>1658</v>
      </c>
      <c r="M653" t="s">
        <v>167</v>
      </c>
      <c r="N653" t="str">
        <f t="shared" si="311"/>
        <v>Sneha Kapoor</v>
      </c>
      <c r="O653" t="s">
        <v>107</v>
      </c>
      <c r="P653" t="str">
        <f t="shared" si="333"/>
        <v>Corporate</v>
      </c>
      <c r="Q653" t="s">
        <v>41</v>
      </c>
      <c r="R653" t="str">
        <f t="shared" si="306"/>
        <v>East</v>
      </c>
      <c r="S653" t="str">
        <f t="shared" si="321"/>
        <v>OK</v>
      </c>
      <c r="T653" t="s">
        <v>310</v>
      </c>
      <c r="U653" t="str">
        <f t="shared" si="312"/>
        <v>Jharkhand</v>
      </c>
      <c r="V653" t="s">
        <v>311</v>
      </c>
      <c r="W653" t="str">
        <f t="shared" si="313"/>
        <v>Ranchi</v>
      </c>
      <c r="X653" t="str">
        <f t="shared" si="314"/>
        <v>Furniture</v>
      </c>
      <c r="Y653" t="s">
        <v>44</v>
      </c>
      <c r="Z653" t="s">
        <v>64</v>
      </c>
      <c r="AA653" t="str">
        <f t="shared" si="315"/>
        <v>Furnishings</v>
      </c>
      <c r="AB653" t="s">
        <v>1659</v>
      </c>
      <c r="AC653" t="s">
        <v>47</v>
      </c>
      <c r="AD653" t="str">
        <f t="shared" si="307"/>
        <v>Same Day</v>
      </c>
      <c r="AE653" t="str">
        <f t="shared" si="322"/>
        <v>OK</v>
      </c>
      <c r="AF653">
        <v>5</v>
      </c>
      <c r="AG653">
        <v>3187.05</v>
      </c>
      <c r="AH653">
        <v>0.05</v>
      </c>
      <c r="AI653">
        <f t="shared" si="323"/>
        <v>0.05</v>
      </c>
      <c r="AJ653" t="str">
        <f t="shared" si="324"/>
        <v>OK</v>
      </c>
      <c r="AK653">
        <v>15138.49</v>
      </c>
      <c r="AL653">
        <v>11235.72</v>
      </c>
      <c r="AM653">
        <v>3902.77</v>
      </c>
      <c r="AN653" t="s">
        <v>33</v>
      </c>
      <c r="AO653" t="str">
        <f t="shared" si="316"/>
        <v>PAID</v>
      </c>
      <c r="AP653" t="str">
        <f t="shared" si="325"/>
        <v>OK</v>
      </c>
      <c r="AQ653" t="s">
        <v>34</v>
      </c>
      <c r="AR653" t="str">
        <f t="shared" si="317"/>
        <v>COMPLETED</v>
      </c>
      <c r="AS653" t="str">
        <f t="shared" si="326"/>
        <v>OK</v>
      </c>
      <c r="AT653">
        <f t="shared" si="327"/>
        <v>15138.487499999999</v>
      </c>
      <c r="AU653">
        <f t="shared" si="328"/>
        <v>3902.7674999999999</v>
      </c>
      <c r="AV653" s="6">
        <f t="shared" si="329"/>
        <v>0.14722276581461657</v>
      </c>
      <c r="AW653" t="str">
        <f t="shared" si="330"/>
        <v>CLEAN</v>
      </c>
      <c r="AX653" s="10" t="str">
        <f t="shared" si="331"/>
        <v>MATCH</v>
      </c>
      <c r="AY653" t="str">
        <f t="shared" si="332"/>
        <v>MATCH</v>
      </c>
    </row>
    <row r="654" spans="1:51">
      <c r="A654" t="s">
        <v>1664</v>
      </c>
      <c r="B654">
        <f t="shared" si="308"/>
        <v>1</v>
      </c>
      <c r="C654" t="s">
        <v>1665</v>
      </c>
      <c r="D654" s="3">
        <v>45806</v>
      </c>
      <c r="E654" t="str">
        <f t="shared" si="309"/>
        <v>2025/05/29</v>
      </c>
      <c r="F654" t="str">
        <f t="shared" si="318"/>
        <v>May</v>
      </c>
      <c r="G654">
        <f t="shared" si="319"/>
        <v>2025</v>
      </c>
      <c r="H654" t="s">
        <v>1431</v>
      </c>
      <c r="I654" s="4">
        <v>45812</v>
      </c>
      <c r="J654" s="8">
        <f t="shared" si="310"/>
        <v>6</v>
      </c>
      <c r="K654" s="8" t="str">
        <f t="shared" si="320"/>
        <v>OK</v>
      </c>
      <c r="L654" t="s">
        <v>1666</v>
      </c>
      <c r="M654" t="s">
        <v>209</v>
      </c>
      <c r="N654" t="str">
        <f t="shared" si="311"/>
        <v>Diya Patel</v>
      </c>
      <c r="O654" t="s">
        <v>25</v>
      </c>
      <c r="P654" t="str">
        <f t="shared" si="333"/>
        <v>Consumer</v>
      </c>
      <c r="Q654" t="s">
        <v>72</v>
      </c>
      <c r="R654" t="str">
        <f t="shared" si="306"/>
        <v>West</v>
      </c>
      <c r="S654" t="str">
        <f t="shared" si="321"/>
        <v>OK</v>
      </c>
      <c r="T654" t="s">
        <v>73</v>
      </c>
      <c r="U654" t="str">
        <f t="shared" si="312"/>
        <v>Maharashtra</v>
      </c>
      <c r="V654" t="s">
        <v>74</v>
      </c>
      <c r="W654" t="str">
        <f t="shared" si="313"/>
        <v>Mumbai</v>
      </c>
      <c r="X654" t="str">
        <f t="shared" si="314"/>
        <v>Office Supplies</v>
      </c>
      <c r="Y654" t="s">
        <v>29</v>
      </c>
      <c r="Z654" t="s">
        <v>155</v>
      </c>
      <c r="AA654" t="str">
        <f t="shared" si="315"/>
        <v>Storage</v>
      </c>
      <c r="AB654" t="s">
        <v>1667</v>
      </c>
      <c r="AC654" t="s">
        <v>55</v>
      </c>
      <c r="AD654" t="str">
        <f t="shared" si="307"/>
        <v>First Class</v>
      </c>
      <c r="AE654" t="str">
        <f t="shared" si="322"/>
        <v>OK</v>
      </c>
      <c r="AF654">
        <v>6</v>
      </c>
      <c r="AG654">
        <v>3100.68</v>
      </c>
      <c r="AH654">
        <v>0</v>
      </c>
      <c r="AI654">
        <f t="shared" si="323"/>
        <v>0</v>
      </c>
      <c r="AJ654" t="str">
        <f t="shared" si="324"/>
        <v>OK</v>
      </c>
      <c r="AK654">
        <v>18604.080000000002</v>
      </c>
      <c r="AL654">
        <v>15834.3</v>
      </c>
      <c r="AM654">
        <v>2769.78</v>
      </c>
      <c r="AN654" t="s">
        <v>33</v>
      </c>
      <c r="AO654" t="str">
        <f t="shared" si="316"/>
        <v>PAID</v>
      </c>
      <c r="AP654" t="str">
        <f t="shared" si="325"/>
        <v>OK</v>
      </c>
      <c r="AQ654" t="s">
        <v>34</v>
      </c>
      <c r="AR654" t="str">
        <f t="shared" si="317"/>
        <v>COMPLETED</v>
      </c>
      <c r="AS654" t="str">
        <f t="shared" si="326"/>
        <v>OK</v>
      </c>
      <c r="AT654">
        <f t="shared" si="327"/>
        <v>18604.079999999998</v>
      </c>
      <c r="AU654">
        <f t="shared" si="328"/>
        <v>2769.7799999999988</v>
      </c>
      <c r="AV654" s="6">
        <f t="shared" si="329"/>
        <v>0.15957843655800233</v>
      </c>
      <c r="AW654" t="str">
        <f t="shared" si="330"/>
        <v>CLEAN</v>
      </c>
      <c r="AX654" s="10" t="str">
        <f t="shared" si="331"/>
        <v>MATCH</v>
      </c>
      <c r="AY654" t="str">
        <f t="shared" si="332"/>
        <v>MATCH</v>
      </c>
    </row>
    <row r="655" spans="1:51">
      <c r="A655" t="s">
        <v>1668</v>
      </c>
      <c r="B655">
        <f t="shared" si="308"/>
        <v>1</v>
      </c>
      <c r="C655" t="s">
        <v>1669</v>
      </c>
      <c r="D655" s="2">
        <v>45996</v>
      </c>
      <c r="E655" t="str">
        <f t="shared" si="309"/>
        <v>2025/12/05</v>
      </c>
      <c r="F655" t="str">
        <f t="shared" si="318"/>
        <v>December</v>
      </c>
      <c r="G655">
        <f t="shared" si="319"/>
        <v>2025</v>
      </c>
      <c r="H655" t="s">
        <v>1670</v>
      </c>
      <c r="I655" s="4">
        <v>45795</v>
      </c>
      <c r="J655" s="8">
        <f t="shared" si="310"/>
        <v>-201</v>
      </c>
      <c r="K655" s="8" t="str">
        <f t="shared" si="320"/>
        <v>INVAILD_SHIPPING</v>
      </c>
      <c r="L655" t="s">
        <v>1671</v>
      </c>
      <c r="M655" t="s">
        <v>92</v>
      </c>
      <c r="N655" t="str">
        <f t="shared" si="311"/>
        <v>Neha Gupta</v>
      </c>
      <c r="O655" t="s">
        <v>40</v>
      </c>
      <c r="P655" t="str">
        <f t="shared" si="333"/>
        <v>Small Business</v>
      </c>
      <c r="Q655" t="s">
        <v>72</v>
      </c>
      <c r="R655" t="str">
        <f t="shared" si="306"/>
        <v>West</v>
      </c>
      <c r="S655" t="str">
        <f t="shared" si="321"/>
        <v>OK</v>
      </c>
      <c r="T655" t="s">
        <v>73</v>
      </c>
      <c r="U655" t="str">
        <f t="shared" si="312"/>
        <v>Maharashtra</v>
      </c>
      <c r="V655" t="s">
        <v>74</v>
      </c>
      <c r="W655" t="str">
        <f t="shared" si="313"/>
        <v>Mumbai</v>
      </c>
      <c r="X655" t="str">
        <f t="shared" si="314"/>
        <v>Office Supplies</v>
      </c>
      <c r="Y655" t="s">
        <v>29</v>
      </c>
      <c r="Z655" t="s">
        <v>155</v>
      </c>
      <c r="AA655" t="str">
        <f t="shared" si="315"/>
        <v>Storage</v>
      </c>
      <c r="AB655" t="s">
        <v>1672</v>
      </c>
      <c r="AC655" t="s">
        <v>66</v>
      </c>
      <c r="AD655" t="str">
        <f t="shared" si="307"/>
        <v>Standard Class</v>
      </c>
      <c r="AE655" t="str">
        <f t="shared" si="322"/>
        <v>OK</v>
      </c>
      <c r="AF655">
        <v>4</v>
      </c>
      <c r="AG655">
        <v>4053.03</v>
      </c>
      <c r="AH655">
        <v>0.05</v>
      </c>
      <c r="AI655">
        <f t="shared" si="323"/>
        <v>0.05</v>
      </c>
      <c r="AJ655" t="str">
        <f t="shared" si="324"/>
        <v>OK</v>
      </c>
      <c r="AK655">
        <v>15401.51</v>
      </c>
      <c r="AL655">
        <v>8650.42</v>
      </c>
      <c r="AM655">
        <v>6751.09</v>
      </c>
      <c r="AN655" t="s">
        <v>33</v>
      </c>
      <c r="AO655" t="str">
        <f t="shared" si="316"/>
        <v>PAID</v>
      </c>
      <c r="AP655" t="str">
        <f t="shared" si="325"/>
        <v>OK</v>
      </c>
      <c r="AQ655" t="s">
        <v>34</v>
      </c>
      <c r="AR655" t="str">
        <f t="shared" si="317"/>
        <v>COMPLETED</v>
      </c>
      <c r="AS655" t="str">
        <f t="shared" si="326"/>
        <v>OK</v>
      </c>
      <c r="AT655">
        <f t="shared" si="327"/>
        <v>15401.513999999999</v>
      </c>
      <c r="AU655">
        <f t="shared" si="328"/>
        <v>6751.0939999999991</v>
      </c>
      <c r="AV655" s="6">
        <f t="shared" si="329"/>
        <v>3.6821347563622639E-2</v>
      </c>
      <c r="AW655" t="str">
        <f t="shared" si="330"/>
        <v>CLEAN</v>
      </c>
      <c r="AX655" s="10" t="str">
        <f t="shared" si="331"/>
        <v>MATCH</v>
      </c>
      <c r="AY655" t="str">
        <f t="shared" si="332"/>
        <v>MATCH</v>
      </c>
    </row>
    <row r="656" spans="1:51">
      <c r="A656" t="s">
        <v>1680</v>
      </c>
      <c r="B656">
        <f t="shared" si="308"/>
        <v>1</v>
      </c>
      <c r="C656" t="s">
        <v>1681</v>
      </c>
      <c r="D656" s="2">
        <v>45804</v>
      </c>
      <c r="E656" t="str">
        <f t="shared" si="309"/>
        <v>2025/05/27</v>
      </c>
      <c r="F656" t="str">
        <f t="shared" si="318"/>
        <v>May</v>
      </c>
      <c r="G656">
        <f t="shared" si="319"/>
        <v>2025</v>
      </c>
      <c r="H656" t="s">
        <v>1682</v>
      </c>
      <c r="I656" s="4">
        <v>45805</v>
      </c>
      <c r="J656" s="8">
        <f t="shared" si="310"/>
        <v>1</v>
      </c>
      <c r="K656" s="8" t="str">
        <f t="shared" si="320"/>
        <v>OK</v>
      </c>
      <c r="L656" t="s">
        <v>1683</v>
      </c>
      <c r="M656" t="s">
        <v>161</v>
      </c>
      <c r="N656" t="str">
        <f t="shared" si="311"/>
        <v>Aarav Sharma</v>
      </c>
      <c r="O656" t="s">
        <v>25</v>
      </c>
      <c r="P656" t="str">
        <f t="shared" si="333"/>
        <v>Consumer</v>
      </c>
      <c r="Q656" t="s">
        <v>61</v>
      </c>
      <c r="R656" t="str">
        <f t="shared" si="306"/>
        <v>South</v>
      </c>
      <c r="S656" t="str">
        <f t="shared" si="321"/>
        <v>OK</v>
      </c>
      <c r="T656" t="s">
        <v>99</v>
      </c>
      <c r="U656" t="str">
        <f t="shared" si="312"/>
        <v>Andhra Pradesh</v>
      </c>
      <c r="V656" t="s">
        <v>100</v>
      </c>
      <c r="W656" t="str">
        <f t="shared" si="313"/>
        <v>Vijayawada</v>
      </c>
      <c r="X656" t="str">
        <f t="shared" si="314"/>
        <v>Technology</v>
      </c>
      <c r="Y656" t="s">
        <v>85</v>
      </c>
      <c r="Z656" t="s">
        <v>1684</v>
      </c>
      <c r="AA656" t="str">
        <f t="shared" si="315"/>
        <v>Machines</v>
      </c>
      <c r="AB656" t="s">
        <v>1685</v>
      </c>
      <c r="AC656" t="s">
        <v>32</v>
      </c>
      <c r="AD656" t="str">
        <f t="shared" si="307"/>
        <v>Second Class</v>
      </c>
      <c r="AE656" t="str">
        <f t="shared" si="322"/>
        <v>OK</v>
      </c>
      <c r="AF656">
        <v>2</v>
      </c>
      <c r="AG656">
        <v>3911.96</v>
      </c>
      <c r="AH656">
        <v>0</v>
      </c>
      <c r="AI656">
        <f t="shared" si="323"/>
        <v>0</v>
      </c>
      <c r="AJ656" t="str">
        <f t="shared" si="324"/>
        <v>OK</v>
      </c>
      <c r="AK656">
        <v>7823.92</v>
      </c>
      <c r="AL656">
        <v>6034.63</v>
      </c>
      <c r="AM656">
        <v>1789.29</v>
      </c>
      <c r="AN656" t="s">
        <v>33</v>
      </c>
      <c r="AO656" t="str">
        <f t="shared" si="316"/>
        <v>PAID</v>
      </c>
      <c r="AP656" t="str">
        <f t="shared" si="325"/>
        <v>OK</v>
      </c>
      <c r="AQ656" t="s">
        <v>34</v>
      </c>
      <c r="AR656" t="str">
        <f t="shared" si="317"/>
        <v>COMPLETED</v>
      </c>
      <c r="AS656" t="str">
        <f t="shared" si="326"/>
        <v>OK</v>
      </c>
      <c r="AT656">
        <f t="shared" si="327"/>
        <v>7823.92</v>
      </c>
      <c r="AU656">
        <f t="shared" si="328"/>
        <v>1789.29</v>
      </c>
      <c r="AV656" s="6">
        <f t="shared" si="329"/>
        <v>0.28187027730344866</v>
      </c>
      <c r="AW656" t="str">
        <f t="shared" si="330"/>
        <v>CLEAN</v>
      </c>
      <c r="AX656" s="10" t="str">
        <f t="shared" si="331"/>
        <v>MATCH</v>
      </c>
      <c r="AY656" t="str">
        <f t="shared" si="332"/>
        <v>MATCH</v>
      </c>
    </row>
    <row r="657" spans="1:51">
      <c r="A657" t="s">
        <v>1686</v>
      </c>
      <c r="B657">
        <f t="shared" si="308"/>
        <v>1</v>
      </c>
      <c r="C657" t="s">
        <v>1687</v>
      </c>
      <c r="D657" s="2">
        <v>45830</v>
      </c>
      <c r="E657" t="str">
        <f t="shared" si="309"/>
        <v>2025/06/22</v>
      </c>
      <c r="F657" t="str">
        <f t="shared" si="318"/>
        <v>June</v>
      </c>
      <c r="G657">
        <f t="shared" si="319"/>
        <v>2025</v>
      </c>
      <c r="H657" t="s">
        <v>1688</v>
      </c>
      <c r="I657" s="4">
        <v>45835</v>
      </c>
      <c r="J657" s="8">
        <f t="shared" si="310"/>
        <v>5</v>
      </c>
      <c r="K657" s="8" t="str">
        <f t="shared" si="320"/>
        <v>OK</v>
      </c>
      <c r="L657" t="s">
        <v>1689</v>
      </c>
      <c r="M657" t="s">
        <v>179</v>
      </c>
      <c r="N657" t="str">
        <f t="shared" si="311"/>
        <v>Rohan Mehta</v>
      </c>
      <c r="O657" t="s">
        <v>114</v>
      </c>
      <c r="P657" t="str">
        <f t="shared" si="333"/>
        <v>Home Office</v>
      </c>
      <c r="R657" t="s">
        <v>4109</v>
      </c>
      <c r="S657" t="str">
        <f t="shared" si="321"/>
        <v>MISSING_REGION</v>
      </c>
      <c r="T657" t="s">
        <v>505</v>
      </c>
      <c r="U657" t="str">
        <f t="shared" si="312"/>
        <v>Delhi</v>
      </c>
      <c r="V657" t="s">
        <v>506</v>
      </c>
      <c r="W657" t="str">
        <f t="shared" si="313"/>
        <v>New Delhi</v>
      </c>
      <c r="X657" t="str">
        <f t="shared" si="314"/>
        <v>Technology</v>
      </c>
      <c r="Y657" t="s">
        <v>85</v>
      </c>
      <c r="Z657" t="s">
        <v>222</v>
      </c>
      <c r="AA657" t="str">
        <f t="shared" si="315"/>
        <v>Phones</v>
      </c>
      <c r="AB657" t="s">
        <v>1690</v>
      </c>
      <c r="AC657" t="s">
        <v>55</v>
      </c>
      <c r="AD657" t="str">
        <f t="shared" si="307"/>
        <v>First Class</v>
      </c>
      <c r="AE657" t="str">
        <f t="shared" si="322"/>
        <v>OK</v>
      </c>
      <c r="AF657">
        <v>2</v>
      </c>
      <c r="AG657">
        <v>1468.05</v>
      </c>
      <c r="AH657">
        <v>0</v>
      </c>
      <c r="AI657">
        <f t="shared" si="323"/>
        <v>0</v>
      </c>
      <c r="AJ657" t="str">
        <f t="shared" si="324"/>
        <v>OK</v>
      </c>
      <c r="AK657">
        <v>2936.1</v>
      </c>
      <c r="AL657">
        <v>1923.1</v>
      </c>
      <c r="AM657">
        <v>1013</v>
      </c>
      <c r="AN657" t="s">
        <v>33</v>
      </c>
      <c r="AO657" t="str">
        <f t="shared" si="316"/>
        <v>PAID</v>
      </c>
      <c r="AP657" t="str">
        <f t="shared" si="325"/>
        <v>OK</v>
      </c>
      <c r="AQ657" t="s">
        <v>34</v>
      </c>
      <c r="AR657" t="str">
        <f t="shared" si="317"/>
        <v>COMPLETED</v>
      </c>
      <c r="AS657" t="str">
        <f t="shared" si="326"/>
        <v>OK</v>
      </c>
      <c r="AT657">
        <f t="shared" si="327"/>
        <v>2936.1</v>
      </c>
      <c r="AU657">
        <f t="shared" si="328"/>
        <v>1013</v>
      </c>
      <c r="AV657" s="6">
        <f t="shared" si="329"/>
        <v>0.84466469125710963</v>
      </c>
      <c r="AW657" t="str">
        <f t="shared" si="330"/>
        <v>WARNING</v>
      </c>
      <c r="AX657" s="10" t="str">
        <f t="shared" si="331"/>
        <v>MATCH</v>
      </c>
      <c r="AY657" t="str">
        <f t="shared" si="332"/>
        <v>MATCH</v>
      </c>
    </row>
    <row r="658" spans="1:51">
      <c r="A658" t="s">
        <v>1696</v>
      </c>
      <c r="B658">
        <f t="shared" si="308"/>
        <v>2</v>
      </c>
      <c r="C658" t="s">
        <v>1697</v>
      </c>
      <c r="D658" s="3">
        <v>45824</v>
      </c>
      <c r="E658" t="str">
        <f t="shared" si="309"/>
        <v>2025/06/16</v>
      </c>
      <c r="F658" t="str">
        <f t="shared" si="318"/>
        <v>June</v>
      </c>
      <c r="G658">
        <f t="shared" si="319"/>
        <v>2025</v>
      </c>
      <c r="H658" t="s">
        <v>1698</v>
      </c>
      <c r="I658" s="4">
        <v>45826</v>
      </c>
      <c r="J658" s="8">
        <f t="shared" si="310"/>
        <v>2</v>
      </c>
      <c r="K658" s="8" t="str">
        <f t="shared" si="320"/>
        <v>OK</v>
      </c>
      <c r="L658" t="s">
        <v>1699</v>
      </c>
      <c r="M658" t="s">
        <v>147</v>
      </c>
      <c r="N658" t="str">
        <f t="shared" si="311"/>
        <v>Rahul Verma</v>
      </c>
      <c r="O658" t="s">
        <v>114</v>
      </c>
      <c r="P658" t="str">
        <f t="shared" si="333"/>
        <v>Home Office</v>
      </c>
      <c r="Q658" t="s">
        <v>72</v>
      </c>
      <c r="R658" t="str">
        <f t="shared" ref="R658:R689" si="334">PROPER(TRIM(SUBSTITUTE(Q658,CHAR(160)," ")))</f>
        <v>West</v>
      </c>
      <c r="S658" t="str">
        <f t="shared" si="321"/>
        <v>OK</v>
      </c>
      <c r="T658" t="s">
        <v>83</v>
      </c>
      <c r="U658" t="str">
        <f t="shared" si="312"/>
        <v>Madhya Pradesh</v>
      </c>
      <c r="V658" t="s">
        <v>84</v>
      </c>
      <c r="W658" t="str">
        <f t="shared" si="313"/>
        <v>Indore</v>
      </c>
      <c r="X658" t="str">
        <f t="shared" si="314"/>
        <v>Office Supplies</v>
      </c>
      <c r="Y658" t="s">
        <v>29</v>
      </c>
      <c r="Z658" t="s">
        <v>30</v>
      </c>
      <c r="AA658" t="str">
        <f t="shared" si="315"/>
        <v>Paper</v>
      </c>
      <c r="AB658" t="s">
        <v>1700</v>
      </c>
      <c r="AC658" t="s">
        <v>55</v>
      </c>
      <c r="AD658" t="str">
        <f t="shared" si="307"/>
        <v>First Class</v>
      </c>
      <c r="AE658" t="str">
        <f t="shared" si="322"/>
        <v>OK</v>
      </c>
      <c r="AF658">
        <v>3</v>
      </c>
      <c r="AG658">
        <v>4289.37</v>
      </c>
      <c r="AH658">
        <v>0.1</v>
      </c>
      <c r="AI658">
        <f t="shared" si="323"/>
        <v>0.1</v>
      </c>
      <c r="AJ658" t="str">
        <f t="shared" si="324"/>
        <v>OK</v>
      </c>
      <c r="AK658">
        <v>11581.3</v>
      </c>
      <c r="AL658">
        <v>6829.43</v>
      </c>
      <c r="AM658">
        <v>4751.87</v>
      </c>
      <c r="AN658" t="s">
        <v>33</v>
      </c>
      <c r="AO658" t="str">
        <f t="shared" si="316"/>
        <v>PAID</v>
      </c>
      <c r="AP658" t="str">
        <f t="shared" si="325"/>
        <v>OK</v>
      </c>
      <c r="AQ658" t="s">
        <v>34</v>
      </c>
      <c r="AR658" t="str">
        <f t="shared" si="317"/>
        <v>COMPLETED</v>
      </c>
      <c r="AS658" t="str">
        <f t="shared" si="326"/>
        <v>OK</v>
      </c>
      <c r="AT658">
        <f t="shared" si="327"/>
        <v>11581.299000000001</v>
      </c>
      <c r="AU658">
        <f t="shared" si="328"/>
        <v>4751.8690000000006</v>
      </c>
      <c r="AV658" s="6">
        <f t="shared" si="329"/>
        <v>0.12716621857358143</v>
      </c>
      <c r="AW658" t="str">
        <f t="shared" si="330"/>
        <v>CLEAN</v>
      </c>
      <c r="AX658" s="10" t="str">
        <f t="shared" si="331"/>
        <v>MATCH</v>
      </c>
      <c r="AY658" t="str">
        <f t="shared" si="332"/>
        <v>MATCH</v>
      </c>
    </row>
    <row r="659" spans="1:51">
      <c r="A659" t="s">
        <v>1696</v>
      </c>
      <c r="B659">
        <f t="shared" si="308"/>
        <v>2</v>
      </c>
      <c r="C659" t="s">
        <v>1697</v>
      </c>
      <c r="D659" s="3">
        <v>45824</v>
      </c>
      <c r="E659" t="str">
        <f t="shared" si="309"/>
        <v>2025/06/16</v>
      </c>
      <c r="F659" t="str">
        <f t="shared" si="318"/>
        <v>June</v>
      </c>
      <c r="G659">
        <f t="shared" si="319"/>
        <v>2025</v>
      </c>
      <c r="H659" t="s">
        <v>1698</v>
      </c>
      <c r="I659" s="4">
        <v>45826</v>
      </c>
      <c r="J659" s="8">
        <f t="shared" si="310"/>
        <v>2</v>
      </c>
      <c r="K659" s="8" t="str">
        <f t="shared" si="320"/>
        <v>OK</v>
      </c>
      <c r="L659" t="s">
        <v>1699</v>
      </c>
      <c r="M659" t="s">
        <v>147</v>
      </c>
      <c r="N659" t="str">
        <f t="shared" si="311"/>
        <v>Rahul Verma</v>
      </c>
      <c r="O659" t="s">
        <v>114</v>
      </c>
      <c r="P659" t="str">
        <f t="shared" si="333"/>
        <v>Home Office</v>
      </c>
      <c r="Q659" t="s">
        <v>72</v>
      </c>
      <c r="R659" t="str">
        <f t="shared" si="334"/>
        <v>West</v>
      </c>
      <c r="S659" t="str">
        <f t="shared" si="321"/>
        <v>OK</v>
      </c>
      <c r="T659" t="s">
        <v>83</v>
      </c>
      <c r="U659" t="str">
        <f t="shared" si="312"/>
        <v>Madhya Pradesh</v>
      </c>
      <c r="V659" t="s">
        <v>84</v>
      </c>
      <c r="W659" t="str">
        <f t="shared" si="313"/>
        <v>Indore</v>
      </c>
      <c r="X659" t="str">
        <f t="shared" si="314"/>
        <v>Office Supplies</v>
      </c>
      <c r="Y659" t="s">
        <v>29</v>
      </c>
      <c r="Z659" t="s">
        <v>30</v>
      </c>
      <c r="AA659" t="str">
        <f t="shared" si="315"/>
        <v>Paper</v>
      </c>
      <c r="AB659" t="s">
        <v>1700</v>
      </c>
      <c r="AC659" t="s">
        <v>55</v>
      </c>
      <c r="AD659" t="str">
        <f t="shared" si="307"/>
        <v>First Class</v>
      </c>
      <c r="AE659" t="str">
        <f t="shared" si="322"/>
        <v>OK</v>
      </c>
      <c r="AF659">
        <v>3</v>
      </c>
      <c r="AG659">
        <v>4289.37</v>
      </c>
      <c r="AH659">
        <v>0.1</v>
      </c>
      <c r="AI659">
        <f t="shared" si="323"/>
        <v>0.1</v>
      </c>
      <c r="AJ659" t="str">
        <f t="shared" si="324"/>
        <v>OK</v>
      </c>
      <c r="AK659">
        <v>11778.71</v>
      </c>
      <c r="AL659">
        <v>6829.43</v>
      </c>
      <c r="AM659">
        <v>4751.87</v>
      </c>
      <c r="AN659" t="s">
        <v>33</v>
      </c>
      <c r="AO659" t="str">
        <f t="shared" si="316"/>
        <v>PAID</v>
      </c>
      <c r="AP659" t="str">
        <f t="shared" si="325"/>
        <v>OK</v>
      </c>
      <c r="AQ659" t="s">
        <v>124</v>
      </c>
      <c r="AR659" t="str">
        <f t="shared" si="317"/>
        <v>RETURNED</v>
      </c>
      <c r="AS659" t="str">
        <f t="shared" si="326"/>
        <v>RETURNED_ORDER</v>
      </c>
      <c r="AT659">
        <f t="shared" si="327"/>
        <v>11581.299000000001</v>
      </c>
      <c r="AU659">
        <f t="shared" si="328"/>
        <v>4751.8690000000006</v>
      </c>
      <c r="AV659" s="6">
        <f t="shared" si="329"/>
        <v>0.12716621857358143</v>
      </c>
      <c r="AW659" t="str">
        <f t="shared" si="330"/>
        <v>CLEAN</v>
      </c>
      <c r="AX659" s="10" t="str">
        <f t="shared" si="331"/>
        <v>MISMATCH</v>
      </c>
      <c r="AY659" t="str">
        <f t="shared" si="332"/>
        <v>MATCH</v>
      </c>
    </row>
    <row r="660" spans="1:51">
      <c r="A660" t="s">
        <v>1713</v>
      </c>
      <c r="B660">
        <f t="shared" si="308"/>
        <v>1</v>
      </c>
      <c r="C660" t="s">
        <v>915</v>
      </c>
      <c r="D660" s="3">
        <v>45708</v>
      </c>
      <c r="E660" t="str">
        <f t="shared" si="309"/>
        <v>2025/02/20</v>
      </c>
      <c r="F660" t="str">
        <f t="shared" si="318"/>
        <v>February</v>
      </c>
      <c r="G660">
        <f t="shared" si="319"/>
        <v>2025</v>
      </c>
      <c r="H660" t="s">
        <v>1714</v>
      </c>
      <c r="I660" s="4">
        <v>45710</v>
      </c>
      <c r="J660" s="8">
        <f t="shared" si="310"/>
        <v>2</v>
      </c>
      <c r="K660" s="8" t="str">
        <f t="shared" si="320"/>
        <v>OK</v>
      </c>
      <c r="L660" t="s">
        <v>1715</v>
      </c>
      <c r="M660" t="s">
        <v>92</v>
      </c>
      <c r="N660" t="str">
        <f t="shared" si="311"/>
        <v>Neha Gupta</v>
      </c>
      <c r="O660" t="s">
        <v>107</v>
      </c>
      <c r="P660" t="str">
        <f t="shared" si="333"/>
        <v>Corporate</v>
      </c>
      <c r="Q660" t="s">
        <v>41</v>
      </c>
      <c r="R660" t="str">
        <f t="shared" si="334"/>
        <v>East</v>
      </c>
      <c r="S660" t="str">
        <f t="shared" si="321"/>
        <v>OK</v>
      </c>
      <c r="T660" t="s">
        <v>310</v>
      </c>
      <c r="U660" t="str">
        <f t="shared" si="312"/>
        <v>Jharkhand</v>
      </c>
      <c r="V660" t="s">
        <v>311</v>
      </c>
      <c r="W660" t="str">
        <f t="shared" si="313"/>
        <v>Ranchi</v>
      </c>
      <c r="X660" t="str">
        <f t="shared" si="314"/>
        <v>Furniture</v>
      </c>
      <c r="Y660" t="s">
        <v>44</v>
      </c>
      <c r="Z660" t="s">
        <v>203</v>
      </c>
      <c r="AA660" t="str">
        <f t="shared" si="315"/>
        <v>Bookcases</v>
      </c>
      <c r="AB660" t="s">
        <v>1716</v>
      </c>
      <c r="AC660" t="s">
        <v>66</v>
      </c>
      <c r="AD660" t="str">
        <f t="shared" si="307"/>
        <v>Standard Class</v>
      </c>
      <c r="AE660" t="str">
        <f t="shared" si="322"/>
        <v>OK</v>
      </c>
      <c r="AF660">
        <v>8</v>
      </c>
      <c r="AG660">
        <v>3265.76</v>
      </c>
      <c r="AH660">
        <v>0.2</v>
      </c>
      <c r="AI660">
        <f t="shared" si="323"/>
        <v>0.2</v>
      </c>
      <c r="AJ660" t="str">
        <f t="shared" si="324"/>
        <v>OK</v>
      </c>
      <c r="AK660">
        <v>20900.86</v>
      </c>
      <c r="AL660">
        <v>12513.14</v>
      </c>
      <c r="AM660">
        <v>8387.7199999999993</v>
      </c>
      <c r="AN660" t="s">
        <v>33</v>
      </c>
      <c r="AO660" t="str">
        <f t="shared" si="316"/>
        <v>PAID</v>
      </c>
      <c r="AP660" t="str">
        <f t="shared" si="325"/>
        <v>OK</v>
      </c>
      <c r="AQ660" t="s">
        <v>34</v>
      </c>
      <c r="AR660" t="str">
        <f t="shared" si="317"/>
        <v>COMPLETED</v>
      </c>
      <c r="AS660" t="str">
        <f t="shared" si="326"/>
        <v>OK</v>
      </c>
      <c r="AT660">
        <f t="shared" si="327"/>
        <v>20900.864000000001</v>
      </c>
      <c r="AU660">
        <f t="shared" si="328"/>
        <v>8387.724000000002</v>
      </c>
      <c r="AV660" s="6">
        <f t="shared" si="329"/>
        <v>0.29863789362966048</v>
      </c>
      <c r="AW660" t="str">
        <f t="shared" si="330"/>
        <v>CLEAN</v>
      </c>
      <c r="AX660" s="10" t="str">
        <f t="shared" si="331"/>
        <v>MATCH</v>
      </c>
      <c r="AY660" t="str">
        <f t="shared" si="332"/>
        <v>MATCH</v>
      </c>
    </row>
    <row r="661" spans="1:51">
      <c r="A661" t="s">
        <v>1722</v>
      </c>
      <c r="B661">
        <f t="shared" si="308"/>
        <v>1</v>
      </c>
      <c r="C661" t="s">
        <v>1723</v>
      </c>
      <c r="D661" s="2">
        <v>45878</v>
      </c>
      <c r="E661" t="str">
        <f t="shared" si="309"/>
        <v>2025/08/09</v>
      </c>
      <c r="F661" t="str">
        <f t="shared" si="318"/>
        <v>August</v>
      </c>
      <c r="G661">
        <f t="shared" si="319"/>
        <v>2025</v>
      </c>
      <c r="H661" t="s">
        <v>1724</v>
      </c>
      <c r="I661" s="4">
        <v>45909</v>
      </c>
      <c r="J661" s="8">
        <f t="shared" si="310"/>
        <v>31</v>
      </c>
      <c r="K661" s="8" t="str">
        <f t="shared" si="320"/>
        <v>OK</v>
      </c>
      <c r="L661" t="s">
        <v>1725</v>
      </c>
      <c r="M661" t="s">
        <v>179</v>
      </c>
      <c r="N661" t="str">
        <f t="shared" si="311"/>
        <v>Rohan Mehta</v>
      </c>
      <c r="O661" t="s">
        <v>114</v>
      </c>
      <c r="P661" t="str">
        <f t="shared" si="333"/>
        <v>Home Office</v>
      </c>
      <c r="Q661" t="s">
        <v>72</v>
      </c>
      <c r="R661" t="str">
        <f t="shared" si="334"/>
        <v>West</v>
      </c>
      <c r="S661" t="str">
        <f t="shared" si="321"/>
        <v>OK</v>
      </c>
      <c r="T661" t="s">
        <v>234</v>
      </c>
      <c r="U661" t="str">
        <f t="shared" si="312"/>
        <v>Gujarat</v>
      </c>
      <c r="V661" t="s">
        <v>235</v>
      </c>
      <c r="W661" t="str">
        <f t="shared" si="313"/>
        <v>Ahmedabad</v>
      </c>
      <c r="X661" t="str">
        <f t="shared" si="314"/>
        <v>Furniture</v>
      </c>
      <c r="Y661" t="s">
        <v>44</v>
      </c>
      <c r="Z661" t="s">
        <v>75</v>
      </c>
      <c r="AA661" t="str">
        <f t="shared" si="315"/>
        <v>Chairs</v>
      </c>
      <c r="AB661" t="s">
        <v>1726</v>
      </c>
      <c r="AC661" t="s">
        <v>32</v>
      </c>
      <c r="AD661" t="str">
        <f t="shared" si="307"/>
        <v>Second Class</v>
      </c>
      <c r="AE661" t="str">
        <f t="shared" si="322"/>
        <v>OK</v>
      </c>
      <c r="AF661">
        <v>2</v>
      </c>
      <c r="AG661">
        <v>3960.33</v>
      </c>
      <c r="AH661">
        <v>0.05</v>
      </c>
      <c r="AI661">
        <f t="shared" si="323"/>
        <v>0.05</v>
      </c>
      <c r="AJ661" t="str">
        <f t="shared" si="324"/>
        <v>OK</v>
      </c>
      <c r="AK661">
        <v>7524.63</v>
      </c>
      <c r="AL661">
        <v>6229.6</v>
      </c>
      <c r="AM661">
        <v>1295.03</v>
      </c>
      <c r="AN661" t="s">
        <v>33</v>
      </c>
      <c r="AO661" t="str">
        <f t="shared" si="316"/>
        <v>PAID</v>
      </c>
      <c r="AP661" t="str">
        <f t="shared" si="325"/>
        <v>OK</v>
      </c>
      <c r="AQ661" t="s">
        <v>34</v>
      </c>
      <c r="AR661" t="str">
        <f t="shared" si="317"/>
        <v>COMPLETED</v>
      </c>
      <c r="AS661" t="str">
        <f t="shared" si="326"/>
        <v>OK</v>
      </c>
      <c r="AT661">
        <f t="shared" si="327"/>
        <v>7524.6269999999995</v>
      </c>
      <c r="AU661">
        <f t="shared" si="328"/>
        <v>1295.0269999999991</v>
      </c>
      <c r="AV661" s="6">
        <f t="shared" si="329"/>
        <v>0.10766779536048762</v>
      </c>
      <c r="AW661" t="str">
        <f t="shared" si="330"/>
        <v>CLEAN</v>
      </c>
      <c r="AX661" s="10" t="str">
        <f t="shared" si="331"/>
        <v>MATCH</v>
      </c>
      <c r="AY661" t="str">
        <f t="shared" si="332"/>
        <v>MATCH</v>
      </c>
    </row>
    <row r="662" spans="1:51">
      <c r="A662" t="s">
        <v>1727</v>
      </c>
      <c r="B662">
        <f t="shared" si="308"/>
        <v>1</v>
      </c>
      <c r="C662" t="s">
        <v>1728</v>
      </c>
      <c r="D662" s="3">
        <v>45862</v>
      </c>
      <c r="E662" t="str">
        <f t="shared" si="309"/>
        <v>2025/07/24</v>
      </c>
      <c r="F662" t="str">
        <f t="shared" si="318"/>
        <v>July</v>
      </c>
      <c r="G662">
        <f t="shared" si="319"/>
        <v>2025</v>
      </c>
      <c r="H662" t="s">
        <v>1729</v>
      </c>
      <c r="I662" s="4">
        <v>45665</v>
      </c>
      <c r="J662" s="8">
        <f t="shared" si="310"/>
        <v>-197</v>
      </c>
      <c r="K662" s="8" t="str">
        <f t="shared" si="320"/>
        <v>INVAILD_SHIPPING</v>
      </c>
      <c r="L662" t="s">
        <v>1730</v>
      </c>
      <c r="M662" t="s">
        <v>365</v>
      </c>
      <c r="N662" t="str">
        <f t="shared" si="311"/>
        <v>Kabir Singh</v>
      </c>
      <c r="O662" t="s">
        <v>40</v>
      </c>
      <c r="P662" t="str">
        <f t="shared" si="333"/>
        <v>Small Business</v>
      </c>
      <c r="Q662" t="s">
        <v>41</v>
      </c>
      <c r="R662" t="str">
        <f t="shared" si="334"/>
        <v>East</v>
      </c>
      <c r="S662" t="str">
        <f t="shared" si="321"/>
        <v>OK</v>
      </c>
      <c r="T662" t="s">
        <v>310</v>
      </c>
      <c r="U662" t="str">
        <f t="shared" si="312"/>
        <v>Jharkhand</v>
      </c>
      <c r="V662" t="s">
        <v>311</v>
      </c>
      <c r="W662" t="str">
        <f t="shared" si="313"/>
        <v>Ranchi</v>
      </c>
      <c r="X662" t="str">
        <f t="shared" si="314"/>
        <v>Office Supplies</v>
      </c>
      <c r="Y662" t="s">
        <v>29</v>
      </c>
      <c r="Z662" t="s">
        <v>197</v>
      </c>
      <c r="AA662" t="str">
        <f t="shared" si="315"/>
        <v>Binders</v>
      </c>
      <c r="AB662" t="s">
        <v>1731</v>
      </c>
      <c r="AC662" t="s">
        <v>55</v>
      </c>
      <c r="AD662" t="str">
        <f t="shared" si="307"/>
        <v>First Class</v>
      </c>
      <c r="AE662" t="str">
        <f t="shared" si="322"/>
        <v>OK</v>
      </c>
      <c r="AF662">
        <v>8</v>
      </c>
      <c r="AG662">
        <v>1528.92</v>
      </c>
      <c r="AH662">
        <v>0</v>
      </c>
      <c r="AI662">
        <f t="shared" si="323"/>
        <v>0</v>
      </c>
      <c r="AJ662" t="str">
        <f t="shared" si="324"/>
        <v>OK</v>
      </c>
      <c r="AK662">
        <v>12231.36</v>
      </c>
      <c r="AL662">
        <v>8766.9</v>
      </c>
      <c r="AM662">
        <v>3464.46</v>
      </c>
      <c r="AN662" t="s">
        <v>33</v>
      </c>
      <c r="AO662" t="str">
        <f t="shared" si="316"/>
        <v>PAID</v>
      </c>
      <c r="AP662" t="str">
        <f t="shared" si="325"/>
        <v>OK</v>
      </c>
      <c r="AQ662" t="s">
        <v>34</v>
      </c>
      <c r="AR662" t="str">
        <f t="shared" si="317"/>
        <v>COMPLETED</v>
      </c>
      <c r="AS662" t="str">
        <f t="shared" si="326"/>
        <v>OK</v>
      </c>
      <c r="AT662">
        <f t="shared" si="327"/>
        <v>12231.36</v>
      </c>
      <c r="AU662">
        <f t="shared" si="328"/>
        <v>3464.4600000000009</v>
      </c>
      <c r="AV662" s="6">
        <f t="shared" si="329"/>
        <v>6.623629751720167E-2</v>
      </c>
      <c r="AW662" t="str">
        <f t="shared" si="330"/>
        <v>CLEAN</v>
      </c>
      <c r="AX662" s="10" t="str">
        <f t="shared" si="331"/>
        <v>MATCH</v>
      </c>
      <c r="AY662" t="str">
        <f t="shared" si="332"/>
        <v>MATCH</v>
      </c>
    </row>
    <row r="663" spans="1:51">
      <c r="A663" t="s">
        <v>1732</v>
      </c>
      <c r="B663">
        <f t="shared" si="308"/>
        <v>1</v>
      </c>
      <c r="C663" t="s">
        <v>1733</v>
      </c>
      <c r="D663" s="3">
        <v>45726</v>
      </c>
      <c r="E663" t="str">
        <f t="shared" si="309"/>
        <v>2025/03/10</v>
      </c>
      <c r="F663" t="str">
        <f t="shared" si="318"/>
        <v>March</v>
      </c>
      <c r="G663">
        <f t="shared" si="319"/>
        <v>2025</v>
      </c>
      <c r="H663" t="s">
        <v>1190</v>
      </c>
      <c r="I663" s="4">
        <v>45938</v>
      </c>
      <c r="J663" s="8">
        <f t="shared" si="310"/>
        <v>212</v>
      </c>
      <c r="K663" s="8" t="str">
        <f t="shared" si="320"/>
        <v>OK</v>
      </c>
      <c r="L663" t="s">
        <v>1734</v>
      </c>
      <c r="M663" t="s">
        <v>161</v>
      </c>
      <c r="N663" t="str">
        <f t="shared" si="311"/>
        <v>Aarav Sharma</v>
      </c>
      <c r="O663" t="s">
        <v>107</v>
      </c>
      <c r="P663" t="str">
        <f t="shared" si="333"/>
        <v>Corporate</v>
      </c>
      <c r="Q663" t="s">
        <v>72</v>
      </c>
      <c r="R663" t="str">
        <f t="shared" si="334"/>
        <v>West</v>
      </c>
      <c r="S663" t="str">
        <f t="shared" si="321"/>
        <v>OK</v>
      </c>
      <c r="T663" t="s">
        <v>83</v>
      </c>
      <c r="U663" t="str">
        <f t="shared" si="312"/>
        <v>Madhya Pradesh</v>
      </c>
      <c r="V663" t="s">
        <v>84</v>
      </c>
      <c r="W663" t="str">
        <f t="shared" si="313"/>
        <v>Indore</v>
      </c>
      <c r="X663" t="str">
        <f t="shared" si="314"/>
        <v>Technology</v>
      </c>
      <c r="Y663" t="s">
        <v>85</v>
      </c>
      <c r="Z663" t="s">
        <v>381</v>
      </c>
      <c r="AA663" t="str">
        <f t="shared" si="315"/>
        <v>Machines</v>
      </c>
      <c r="AB663" t="s">
        <v>1735</v>
      </c>
      <c r="AC663" t="s">
        <v>47</v>
      </c>
      <c r="AD663" t="str">
        <f t="shared" si="307"/>
        <v>Same Day</v>
      </c>
      <c r="AE663" t="str">
        <f t="shared" si="322"/>
        <v>OK</v>
      </c>
      <c r="AF663">
        <v>9</v>
      </c>
      <c r="AG663">
        <v>3837</v>
      </c>
      <c r="AH663">
        <v>0.1</v>
      </c>
      <c r="AI663">
        <f t="shared" si="323"/>
        <v>0.1</v>
      </c>
      <c r="AJ663" t="str">
        <f t="shared" si="324"/>
        <v>OK</v>
      </c>
      <c r="AK663">
        <v>31079.7</v>
      </c>
      <c r="AL663">
        <v>17758.25</v>
      </c>
      <c r="AM663">
        <v>13321.45</v>
      </c>
      <c r="AN663" t="s">
        <v>33</v>
      </c>
      <c r="AO663" t="str">
        <f t="shared" si="316"/>
        <v>PAID</v>
      </c>
      <c r="AP663" t="str">
        <f t="shared" si="325"/>
        <v>OK</v>
      </c>
      <c r="AQ663" t="s">
        <v>34</v>
      </c>
      <c r="AR663" t="str">
        <f t="shared" si="317"/>
        <v>COMPLETED</v>
      </c>
      <c r="AS663" t="str">
        <f t="shared" si="326"/>
        <v>OK</v>
      </c>
      <c r="AT663">
        <f t="shared" si="327"/>
        <v>31079.7</v>
      </c>
      <c r="AU663">
        <f t="shared" si="328"/>
        <v>13321.45</v>
      </c>
      <c r="AV663" s="6">
        <f t="shared" si="329"/>
        <v>9.0951971865880304E-2</v>
      </c>
      <c r="AW663" t="str">
        <f t="shared" si="330"/>
        <v>CLEAN</v>
      </c>
      <c r="AX663" s="10" t="str">
        <f t="shared" si="331"/>
        <v>MATCH</v>
      </c>
      <c r="AY663" t="str">
        <f t="shared" si="332"/>
        <v>MATCH</v>
      </c>
    </row>
    <row r="664" spans="1:51">
      <c r="A664" t="s">
        <v>1744</v>
      </c>
      <c r="B664">
        <f t="shared" si="308"/>
        <v>1</v>
      </c>
      <c r="C664" t="s">
        <v>1657</v>
      </c>
      <c r="D664" s="3">
        <v>45860</v>
      </c>
      <c r="E664" t="str">
        <f t="shared" si="309"/>
        <v>2025/07/22</v>
      </c>
      <c r="F664" t="str">
        <f t="shared" si="318"/>
        <v>July</v>
      </c>
      <c r="G664">
        <f t="shared" si="319"/>
        <v>2025</v>
      </c>
      <c r="H664" t="s">
        <v>1745</v>
      </c>
      <c r="I664" s="4">
        <v>45866</v>
      </c>
      <c r="J664" s="8">
        <f t="shared" si="310"/>
        <v>6</v>
      </c>
      <c r="K664" s="8" t="str">
        <f t="shared" si="320"/>
        <v>OK</v>
      </c>
      <c r="L664" t="s">
        <v>1746</v>
      </c>
      <c r="M664" t="s">
        <v>147</v>
      </c>
      <c r="N664" t="str">
        <f t="shared" si="311"/>
        <v>Rahul Verma</v>
      </c>
      <c r="O664" t="s">
        <v>107</v>
      </c>
      <c r="P664" t="str">
        <f t="shared" si="333"/>
        <v>Corporate</v>
      </c>
      <c r="Q664" t="s">
        <v>61</v>
      </c>
      <c r="R664" t="str">
        <f t="shared" si="334"/>
        <v>South</v>
      </c>
      <c r="S664" t="str">
        <f t="shared" si="321"/>
        <v>OK</v>
      </c>
      <c r="T664" t="s">
        <v>241</v>
      </c>
      <c r="U664" t="str">
        <f t="shared" si="312"/>
        <v>Kerala</v>
      </c>
      <c r="V664" t="s">
        <v>242</v>
      </c>
      <c r="W664" t="str">
        <f t="shared" si="313"/>
        <v>Kochi</v>
      </c>
      <c r="X664" t="str">
        <f t="shared" si="314"/>
        <v>Furniture</v>
      </c>
      <c r="Y664" t="s">
        <v>44</v>
      </c>
      <c r="Z664" t="s">
        <v>75</v>
      </c>
      <c r="AA664" t="str">
        <f t="shared" si="315"/>
        <v>Chairs</v>
      </c>
      <c r="AB664" t="s">
        <v>1747</v>
      </c>
      <c r="AC664" t="s">
        <v>32</v>
      </c>
      <c r="AD664" t="str">
        <f t="shared" si="307"/>
        <v>Second Class</v>
      </c>
      <c r="AE664" t="str">
        <f t="shared" si="322"/>
        <v>OK</v>
      </c>
      <c r="AF664">
        <v>6</v>
      </c>
      <c r="AG664">
        <v>1607.46</v>
      </c>
      <c r="AH664">
        <v>0.2</v>
      </c>
      <c r="AI664">
        <f t="shared" si="323"/>
        <v>0.2</v>
      </c>
      <c r="AJ664" t="str">
        <f t="shared" si="324"/>
        <v>OK</v>
      </c>
      <c r="AK664">
        <v>7715.81</v>
      </c>
      <c r="AL664">
        <v>4258.42</v>
      </c>
      <c r="AM664">
        <v>3457.39</v>
      </c>
      <c r="AN664" t="s">
        <v>33</v>
      </c>
      <c r="AO664" t="str">
        <f t="shared" si="316"/>
        <v>PAID</v>
      </c>
      <c r="AP664" t="str">
        <f t="shared" si="325"/>
        <v>OK</v>
      </c>
      <c r="AQ664" t="s">
        <v>34</v>
      </c>
      <c r="AR664" t="str">
        <f t="shared" si="317"/>
        <v>COMPLETED</v>
      </c>
      <c r="AS664" t="str">
        <f t="shared" si="326"/>
        <v>OK</v>
      </c>
      <c r="AT664">
        <f t="shared" si="327"/>
        <v>7715.8080000000009</v>
      </c>
      <c r="AU664">
        <f t="shared" si="328"/>
        <v>3457.3880000000008</v>
      </c>
      <c r="AV664" s="6">
        <f t="shared" si="329"/>
        <v>0.75662587767865619</v>
      </c>
      <c r="AW664" t="str">
        <f t="shared" si="330"/>
        <v>CLEAN</v>
      </c>
      <c r="AX664" s="10" t="str">
        <f t="shared" si="331"/>
        <v>MATCH</v>
      </c>
      <c r="AY664" t="str">
        <f t="shared" si="332"/>
        <v>MATCH</v>
      </c>
    </row>
    <row r="665" spans="1:51">
      <c r="A665" t="s">
        <v>1756</v>
      </c>
      <c r="B665">
        <f t="shared" si="308"/>
        <v>1</v>
      </c>
      <c r="C665" t="s">
        <v>1757</v>
      </c>
      <c r="D665" s="3">
        <v>45927</v>
      </c>
      <c r="E665" t="str">
        <f t="shared" si="309"/>
        <v>2025/09/27</v>
      </c>
      <c r="F665" t="str">
        <f t="shared" si="318"/>
        <v>September</v>
      </c>
      <c r="G665">
        <f t="shared" si="319"/>
        <v>2025</v>
      </c>
      <c r="H665" t="s">
        <v>746</v>
      </c>
      <c r="I665" s="4">
        <v>45929</v>
      </c>
      <c r="J665" s="8">
        <f t="shared" si="310"/>
        <v>2</v>
      </c>
      <c r="K665" s="8" t="str">
        <f t="shared" si="320"/>
        <v>OK</v>
      </c>
      <c r="L665" t="s">
        <v>1758</v>
      </c>
      <c r="M665" t="s">
        <v>365</v>
      </c>
      <c r="N665" t="str">
        <f t="shared" si="311"/>
        <v>Kabir Singh</v>
      </c>
      <c r="O665" t="s">
        <v>114</v>
      </c>
      <c r="P665" t="str">
        <f t="shared" si="333"/>
        <v>Home Office</v>
      </c>
      <c r="Q665" t="s">
        <v>41</v>
      </c>
      <c r="R665" t="str">
        <f t="shared" si="334"/>
        <v>East</v>
      </c>
      <c r="S665" t="str">
        <f t="shared" si="321"/>
        <v>OK</v>
      </c>
      <c r="T665" t="s">
        <v>310</v>
      </c>
      <c r="U665" t="str">
        <f t="shared" si="312"/>
        <v>Jharkhand</v>
      </c>
      <c r="V665" t="s">
        <v>311</v>
      </c>
      <c r="W665" t="str">
        <f t="shared" si="313"/>
        <v>Ranchi</v>
      </c>
      <c r="X665" t="str">
        <f t="shared" si="314"/>
        <v>Furniture</v>
      </c>
      <c r="Y665" t="s">
        <v>44</v>
      </c>
      <c r="Z665" t="s">
        <v>64</v>
      </c>
      <c r="AA665" t="str">
        <f t="shared" si="315"/>
        <v>Furnishings</v>
      </c>
      <c r="AB665" t="s">
        <v>1759</v>
      </c>
      <c r="AC665" t="s">
        <v>32</v>
      </c>
      <c r="AD665" t="str">
        <f t="shared" si="307"/>
        <v>Second Class</v>
      </c>
      <c r="AE665" t="str">
        <f t="shared" si="322"/>
        <v>OK</v>
      </c>
      <c r="AF665">
        <v>9</v>
      </c>
      <c r="AG665">
        <v>2867.55</v>
      </c>
      <c r="AH665">
        <v>0.25</v>
      </c>
      <c r="AI665">
        <f t="shared" si="323"/>
        <v>0.25</v>
      </c>
      <c r="AJ665" t="str">
        <f t="shared" si="324"/>
        <v>OK</v>
      </c>
      <c r="AK665">
        <v>19355.96</v>
      </c>
      <c r="AL665">
        <v>15012.45</v>
      </c>
      <c r="AM665">
        <v>4017.4</v>
      </c>
      <c r="AN665" t="s">
        <v>33</v>
      </c>
      <c r="AO665" t="str">
        <f t="shared" si="316"/>
        <v>PAID</v>
      </c>
      <c r="AP665" t="str">
        <f t="shared" si="325"/>
        <v>OK</v>
      </c>
      <c r="AQ665" t="s">
        <v>34</v>
      </c>
      <c r="AR665" t="str">
        <f t="shared" si="317"/>
        <v>COMPLETED</v>
      </c>
      <c r="AS665" t="str">
        <f t="shared" si="326"/>
        <v>OK</v>
      </c>
      <c r="AT665">
        <f t="shared" si="327"/>
        <v>19355.962500000001</v>
      </c>
      <c r="AU665">
        <f t="shared" si="328"/>
        <v>4343.5125000000007</v>
      </c>
      <c r="AV665" s="6">
        <f t="shared" si="329"/>
        <v>0.10686991153242839</v>
      </c>
      <c r="AW665" t="str">
        <f t="shared" si="330"/>
        <v>CLEAN</v>
      </c>
      <c r="AX665" s="10" t="str">
        <f t="shared" si="331"/>
        <v>MATCH</v>
      </c>
      <c r="AY665" t="str">
        <f t="shared" si="332"/>
        <v>MISMATCH</v>
      </c>
    </row>
    <row r="666" spans="1:51">
      <c r="A666" t="s">
        <v>1765</v>
      </c>
      <c r="B666">
        <f t="shared" si="308"/>
        <v>1</v>
      </c>
      <c r="C666" t="s">
        <v>1766</v>
      </c>
      <c r="D666" s="3">
        <v>45800</v>
      </c>
      <c r="E666" t="str">
        <f t="shared" si="309"/>
        <v>2025/05/23</v>
      </c>
      <c r="F666" t="str">
        <f t="shared" si="318"/>
        <v>May</v>
      </c>
      <c r="G666">
        <f t="shared" si="319"/>
        <v>2025</v>
      </c>
      <c r="H666" t="s">
        <v>1681</v>
      </c>
      <c r="I666" s="4">
        <v>45804</v>
      </c>
      <c r="J666" s="8">
        <f t="shared" si="310"/>
        <v>4</v>
      </c>
      <c r="K666" s="8" t="str">
        <f t="shared" si="320"/>
        <v>OK</v>
      </c>
      <c r="L666" t="s">
        <v>1767</v>
      </c>
      <c r="M666" t="s">
        <v>82</v>
      </c>
      <c r="N666" t="str">
        <f t="shared" si="311"/>
        <v>Vikram Iyer</v>
      </c>
      <c r="O666" t="s">
        <v>40</v>
      </c>
      <c r="P666" t="str">
        <f t="shared" si="333"/>
        <v>Small Business</v>
      </c>
      <c r="Q666" t="s">
        <v>61</v>
      </c>
      <c r="R666" t="str">
        <f t="shared" si="334"/>
        <v>South</v>
      </c>
      <c r="S666" t="str">
        <f t="shared" si="321"/>
        <v>OK</v>
      </c>
      <c r="T666" t="s">
        <v>62</v>
      </c>
      <c r="U666" t="str">
        <f t="shared" si="312"/>
        <v>Telangana</v>
      </c>
      <c r="V666" t="s">
        <v>63</v>
      </c>
      <c r="W666" t="str">
        <f t="shared" si="313"/>
        <v>Hyderabad</v>
      </c>
      <c r="X666" t="str">
        <f t="shared" si="314"/>
        <v>Office Supplies</v>
      </c>
      <c r="Y666" t="s">
        <v>29</v>
      </c>
      <c r="Z666" t="s">
        <v>155</v>
      </c>
      <c r="AA666" t="str">
        <f t="shared" si="315"/>
        <v>Storage</v>
      </c>
      <c r="AB666" t="s">
        <v>1768</v>
      </c>
      <c r="AC666" t="s">
        <v>55</v>
      </c>
      <c r="AD666" t="str">
        <f t="shared" si="307"/>
        <v>First Class</v>
      </c>
      <c r="AE666" t="str">
        <f t="shared" si="322"/>
        <v>OK</v>
      </c>
      <c r="AF666">
        <v>6</v>
      </c>
      <c r="AG666">
        <v>719.44</v>
      </c>
      <c r="AH666">
        <v>0.25</v>
      </c>
      <c r="AI666">
        <f t="shared" si="323"/>
        <v>0.25</v>
      </c>
      <c r="AJ666" t="str">
        <f t="shared" si="324"/>
        <v>OK</v>
      </c>
      <c r="AK666">
        <v>3237.48</v>
      </c>
      <c r="AL666">
        <v>2118.34</v>
      </c>
      <c r="AM666">
        <v>1119.1400000000001</v>
      </c>
      <c r="AN666" t="s">
        <v>136</v>
      </c>
      <c r="AO666" t="str">
        <f t="shared" si="316"/>
        <v>PENDING</v>
      </c>
      <c r="AP666" t="str">
        <f t="shared" si="325"/>
        <v>OK</v>
      </c>
      <c r="AQ666" t="s">
        <v>77</v>
      </c>
      <c r="AR666" t="str">
        <f t="shared" si="317"/>
        <v>CANCELLED</v>
      </c>
      <c r="AS666" t="str">
        <f t="shared" si="326"/>
        <v>EXCLUDE_FROM_SALES</v>
      </c>
      <c r="AT666">
        <f t="shared" si="327"/>
        <v>3237.4800000000005</v>
      </c>
      <c r="AU666">
        <f t="shared" si="328"/>
        <v>1119.1400000000003</v>
      </c>
      <c r="AV666" s="6">
        <f t="shared" si="329"/>
        <v>0.41811532426455134</v>
      </c>
      <c r="AW666" t="str">
        <f t="shared" si="330"/>
        <v>CLEAN</v>
      </c>
      <c r="AX666" s="10" t="str">
        <f t="shared" si="331"/>
        <v>MATCH</v>
      </c>
      <c r="AY666" t="str">
        <f t="shared" si="332"/>
        <v>MATCH</v>
      </c>
    </row>
    <row r="667" spans="1:51">
      <c r="A667" t="s">
        <v>1769</v>
      </c>
      <c r="B667">
        <f t="shared" si="308"/>
        <v>1</v>
      </c>
      <c r="C667" t="s">
        <v>1770</v>
      </c>
      <c r="D667" s="2">
        <v>45884</v>
      </c>
      <c r="E667" t="str">
        <f t="shared" si="309"/>
        <v>2025/08/15</v>
      </c>
      <c r="F667" t="str">
        <f t="shared" si="318"/>
        <v>August</v>
      </c>
      <c r="G667">
        <f t="shared" si="319"/>
        <v>2025</v>
      </c>
      <c r="H667" t="s">
        <v>1392</v>
      </c>
      <c r="I667" s="4">
        <v>45886</v>
      </c>
      <c r="J667" s="8">
        <f t="shared" si="310"/>
        <v>2</v>
      </c>
      <c r="K667" s="8" t="str">
        <f t="shared" si="320"/>
        <v>OK</v>
      </c>
      <c r="L667" t="s">
        <v>1771</v>
      </c>
      <c r="M667" t="s">
        <v>209</v>
      </c>
      <c r="N667" t="str">
        <f t="shared" si="311"/>
        <v>Diya Patel</v>
      </c>
      <c r="O667" t="s">
        <v>40</v>
      </c>
      <c r="P667" t="str">
        <f t="shared" si="333"/>
        <v>Small Business</v>
      </c>
      <c r="Q667" t="s">
        <v>41</v>
      </c>
      <c r="R667" t="str">
        <f t="shared" si="334"/>
        <v>East</v>
      </c>
      <c r="S667" t="str">
        <f t="shared" si="321"/>
        <v>OK</v>
      </c>
      <c r="T667" t="s">
        <v>215</v>
      </c>
      <c r="U667" t="str">
        <f t="shared" si="312"/>
        <v>Assam</v>
      </c>
      <c r="V667" t="s">
        <v>216</v>
      </c>
      <c r="W667" t="str">
        <f t="shared" si="313"/>
        <v>Guwahati</v>
      </c>
      <c r="X667" t="str">
        <f t="shared" si="314"/>
        <v>Technology</v>
      </c>
      <c r="Y667" t="s">
        <v>85</v>
      </c>
      <c r="Z667" t="s">
        <v>93</v>
      </c>
      <c r="AA667" t="str">
        <f t="shared" si="315"/>
        <v>Copiers</v>
      </c>
      <c r="AB667" t="s">
        <v>1772</v>
      </c>
      <c r="AC667" t="s">
        <v>55</v>
      </c>
      <c r="AD667" t="str">
        <f t="shared" si="307"/>
        <v>First Class</v>
      </c>
      <c r="AE667" t="str">
        <f t="shared" si="322"/>
        <v>OK</v>
      </c>
      <c r="AF667">
        <v>5</v>
      </c>
      <c r="AG667">
        <v>2862.6</v>
      </c>
      <c r="AH667">
        <v>0.25</v>
      </c>
      <c r="AI667">
        <f t="shared" si="323"/>
        <v>0.25</v>
      </c>
      <c r="AJ667" t="str">
        <f t="shared" si="324"/>
        <v>OK</v>
      </c>
      <c r="AK667">
        <v>10734.75</v>
      </c>
      <c r="AL667">
        <v>6475.73</v>
      </c>
      <c r="AM667">
        <v>4259.0200000000004</v>
      </c>
      <c r="AN667" t="s">
        <v>33</v>
      </c>
      <c r="AO667" t="str">
        <f t="shared" si="316"/>
        <v>PAID</v>
      </c>
      <c r="AP667" t="str">
        <f t="shared" si="325"/>
        <v>OK</v>
      </c>
      <c r="AQ667" t="s">
        <v>34</v>
      </c>
      <c r="AR667" t="str">
        <f t="shared" si="317"/>
        <v>COMPLETED</v>
      </c>
      <c r="AS667" t="str">
        <f t="shared" si="326"/>
        <v>OK</v>
      </c>
      <c r="AT667">
        <f t="shared" si="327"/>
        <v>10734.75</v>
      </c>
      <c r="AU667">
        <f t="shared" si="328"/>
        <v>4259.0200000000004</v>
      </c>
      <c r="AV667" s="6">
        <f t="shared" si="329"/>
        <v>8.0090733365937736E-2</v>
      </c>
      <c r="AW667" t="str">
        <f t="shared" si="330"/>
        <v>CLEAN</v>
      </c>
      <c r="AX667" s="10" t="str">
        <f t="shared" si="331"/>
        <v>MATCH</v>
      </c>
      <c r="AY667" t="str">
        <f t="shared" si="332"/>
        <v>MATCH</v>
      </c>
    </row>
    <row r="668" spans="1:51">
      <c r="A668" t="s">
        <v>1773</v>
      </c>
      <c r="B668">
        <f t="shared" si="308"/>
        <v>1</v>
      </c>
      <c r="C668" t="s">
        <v>1774</v>
      </c>
      <c r="D668" s="3">
        <v>45709</v>
      </c>
      <c r="E668" t="str">
        <f t="shared" si="309"/>
        <v>2025/02/21</v>
      </c>
      <c r="F668" t="str">
        <f t="shared" si="318"/>
        <v>February</v>
      </c>
      <c r="G668">
        <f t="shared" si="319"/>
        <v>2025</v>
      </c>
      <c r="H668" t="s">
        <v>1162</v>
      </c>
      <c r="I668" s="4">
        <v>45715</v>
      </c>
      <c r="J668" s="8">
        <f t="shared" si="310"/>
        <v>6</v>
      </c>
      <c r="K668" s="8" t="str">
        <f t="shared" si="320"/>
        <v>OK</v>
      </c>
      <c r="L668" t="s">
        <v>1775</v>
      </c>
      <c r="M668" t="s">
        <v>71</v>
      </c>
      <c r="N668" t="str">
        <f t="shared" si="311"/>
        <v>Ananya Rao</v>
      </c>
      <c r="O668" t="s">
        <v>25</v>
      </c>
      <c r="P668" t="str">
        <f t="shared" si="333"/>
        <v>Consumer</v>
      </c>
      <c r="Q668" t="s">
        <v>26</v>
      </c>
      <c r="R668" t="str">
        <f t="shared" si="334"/>
        <v>North</v>
      </c>
      <c r="S668" t="str">
        <f t="shared" si="321"/>
        <v>OK</v>
      </c>
      <c r="T668" t="s">
        <v>27</v>
      </c>
      <c r="U668" t="str">
        <f t="shared" si="312"/>
        <v>Rajasthan</v>
      </c>
      <c r="V668" t="s">
        <v>28</v>
      </c>
      <c r="W668" t="str">
        <f t="shared" si="313"/>
        <v>Jaipur</v>
      </c>
      <c r="X668" t="str">
        <f t="shared" si="314"/>
        <v>Office Supplies</v>
      </c>
      <c r="Y668" t="s">
        <v>29</v>
      </c>
      <c r="Z668" t="s">
        <v>53</v>
      </c>
      <c r="AA668" t="str">
        <f t="shared" si="315"/>
        <v>Art</v>
      </c>
      <c r="AB668" t="s">
        <v>1776</v>
      </c>
      <c r="AC668" t="s">
        <v>47</v>
      </c>
      <c r="AD668" t="str">
        <f t="shared" si="307"/>
        <v>Same Day</v>
      </c>
      <c r="AE668" t="str">
        <f t="shared" si="322"/>
        <v>OK</v>
      </c>
      <c r="AF668">
        <v>9</v>
      </c>
      <c r="AG668">
        <v>1431.67</v>
      </c>
      <c r="AH668">
        <v>0.2</v>
      </c>
      <c r="AI668">
        <f t="shared" si="323"/>
        <v>0.2</v>
      </c>
      <c r="AJ668" t="str">
        <f t="shared" si="324"/>
        <v>OK</v>
      </c>
      <c r="AK668">
        <v>10308.02</v>
      </c>
      <c r="AL668">
        <v>5822.31</v>
      </c>
      <c r="AM668">
        <v>4485.71</v>
      </c>
      <c r="AN668" t="s">
        <v>33</v>
      </c>
      <c r="AO668" t="str">
        <f t="shared" si="316"/>
        <v>PAID</v>
      </c>
      <c r="AP668" t="str">
        <f t="shared" si="325"/>
        <v>OK</v>
      </c>
      <c r="AQ668" t="s">
        <v>34</v>
      </c>
      <c r="AR668" t="str">
        <f t="shared" si="317"/>
        <v>COMPLETED</v>
      </c>
      <c r="AS668" t="str">
        <f t="shared" si="326"/>
        <v>OK</v>
      </c>
      <c r="AT668">
        <f t="shared" si="327"/>
        <v>10308.024000000001</v>
      </c>
      <c r="AU668">
        <f t="shared" si="328"/>
        <v>4485.7140000000009</v>
      </c>
      <c r="AV668" s="6">
        <f t="shared" si="329"/>
        <v>0.55302277138664024</v>
      </c>
      <c r="AW668" t="str">
        <f t="shared" si="330"/>
        <v>CLEAN</v>
      </c>
      <c r="AX668" s="10" t="str">
        <f t="shared" si="331"/>
        <v>MATCH</v>
      </c>
      <c r="AY668" t="str">
        <f t="shared" si="332"/>
        <v>MATCH</v>
      </c>
    </row>
    <row r="669" spans="1:51">
      <c r="A669" t="s">
        <v>1787</v>
      </c>
      <c r="B669">
        <f t="shared" si="308"/>
        <v>1</v>
      </c>
      <c r="C669" t="s">
        <v>1788</v>
      </c>
      <c r="D669" s="2">
        <v>45835</v>
      </c>
      <c r="E669" t="str">
        <f t="shared" si="309"/>
        <v>2025/06/27</v>
      </c>
      <c r="F669" t="str">
        <f t="shared" si="318"/>
        <v>June</v>
      </c>
      <c r="G669">
        <f t="shared" si="319"/>
        <v>2025</v>
      </c>
      <c r="H669" t="s">
        <v>1789</v>
      </c>
      <c r="I669" s="4">
        <v>45837</v>
      </c>
      <c r="J669" s="8">
        <f t="shared" si="310"/>
        <v>2</v>
      </c>
      <c r="K669" s="8" t="str">
        <f t="shared" si="320"/>
        <v>OK</v>
      </c>
      <c r="L669" t="s">
        <v>1790</v>
      </c>
      <c r="M669" t="s">
        <v>179</v>
      </c>
      <c r="N669" t="str">
        <f t="shared" si="311"/>
        <v>Rohan Mehta</v>
      </c>
      <c r="O669" t="s">
        <v>114</v>
      </c>
      <c r="P669" t="str">
        <f t="shared" si="333"/>
        <v>Home Office</v>
      </c>
      <c r="Q669" t="s">
        <v>61</v>
      </c>
      <c r="R669" t="str">
        <f t="shared" si="334"/>
        <v>South</v>
      </c>
      <c r="S669" t="str">
        <f t="shared" si="321"/>
        <v>OK</v>
      </c>
      <c r="T669" t="s">
        <v>62</v>
      </c>
      <c r="U669" t="str">
        <f t="shared" si="312"/>
        <v>Telangana</v>
      </c>
      <c r="V669" t="s">
        <v>63</v>
      </c>
      <c r="W669" t="str">
        <f t="shared" si="313"/>
        <v>Hyderabad</v>
      </c>
      <c r="X669" t="str">
        <f t="shared" si="314"/>
        <v>Furniture</v>
      </c>
      <c r="Y669" t="s">
        <v>44</v>
      </c>
      <c r="Z669" t="s">
        <v>75</v>
      </c>
      <c r="AA669" t="str">
        <f t="shared" si="315"/>
        <v>Chairs</v>
      </c>
      <c r="AB669" t="s">
        <v>1791</v>
      </c>
      <c r="AC669" t="s">
        <v>55</v>
      </c>
      <c r="AD669" t="str">
        <f t="shared" ref="AD669:AD700" si="335">PROPER(TRIM(SUBSTITUTE(AC669,CHAR(160)," ")))</f>
        <v>First Class</v>
      </c>
      <c r="AE669" t="str">
        <f t="shared" si="322"/>
        <v>OK</v>
      </c>
      <c r="AF669">
        <v>5</v>
      </c>
      <c r="AG669">
        <v>621.70000000000005</v>
      </c>
      <c r="AH669">
        <v>0.2</v>
      </c>
      <c r="AI669">
        <f t="shared" si="323"/>
        <v>0.2</v>
      </c>
      <c r="AJ669" t="str">
        <f t="shared" si="324"/>
        <v>OK</v>
      </c>
      <c r="AK669">
        <v>2486.8000000000002</v>
      </c>
      <c r="AL669">
        <v>2131.73</v>
      </c>
      <c r="AM669">
        <v>355.07</v>
      </c>
      <c r="AN669" t="s">
        <v>136</v>
      </c>
      <c r="AO669" t="str">
        <f t="shared" si="316"/>
        <v>PENDING</v>
      </c>
      <c r="AP669" t="str">
        <f t="shared" si="325"/>
        <v>OK</v>
      </c>
      <c r="AQ669" t="s">
        <v>124</v>
      </c>
      <c r="AR669" t="str">
        <f t="shared" si="317"/>
        <v>RETURNED</v>
      </c>
      <c r="AS669" t="str">
        <f t="shared" si="326"/>
        <v>RETURNED_ORDER</v>
      </c>
      <c r="AT669">
        <f t="shared" si="327"/>
        <v>2486.8000000000002</v>
      </c>
      <c r="AU669">
        <f t="shared" si="328"/>
        <v>355.07000000000016</v>
      </c>
      <c r="AV669" s="6">
        <f t="shared" si="329"/>
        <v>0.17364082354833527</v>
      </c>
      <c r="AW669" t="str">
        <f t="shared" si="330"/>
        <v>CLEAN</v>
      </c>
      <c r="AX669" s="10" t="str">
        <f t="shared" si="331"/>
        <v>MATCH</v>
      </c>
      <c r="AY669" t="str">
        <f t="shared" si="332"/>
        <v>MATCH</v>
      </c>
    </row>
    <row r="670" spans="1:51">
      <c r="A670" t="s">
        <v>1792</v>
      </c>
      <c r="B670">
        <f t="shared" si="308"/>
        <v>1</v>
      </c>
      <c r="C670" t="s">
        <v>195</v>
      </c>
      <c r="D670" s="3">
        <v>45678</v>
      </c>
      <c r="E670" t="str">
        <f t="shared" si="309"/>
        <v>2025/01/21</v>
      </c>
      <c r="F670" t="str">
        <f t="shared" si="318"/>
        <v>January</v>
      </c>
      <c r="G670">
        <f t="shared" si="319"/>
        <v>2025</v>
      </c>
      <c r="H670" t="s">
        <v>1793</v>
      </c>
      <c r="I670" s="4">
        <v>45686</v>
      </c>
      <c r="J670" s="8">
        <f t="shared" si="310"/>
        <v>8</v>
      </c>
      <c r="K670" s="8" t="str">
        <f t="shared" si="320"/>
        <v>OK</v>
      </c>
      <c r="L670" t="s">
        <v>1794</v>
      </c>
      <c r="M670" t="s">
        <v>39</v>
      </c>
      <c r="N670" t="str">
        <f t="shared" si="311"/>
        <v>Mira Das</v>
      </c>
      <c r="O670" t="s">
        <v>114</v>
      </c>
      <c r="P670" t="str">
        <f t="shared" si="333"/>
        <v>Home Office</v>
      </c>
      <c r="Q670" t="s">
        <v>61</v>
      </c>
      <c r="R670" t="str">
        <f t="shared" si="334"/>
        <v>South</v>
      </c>
      <c r="S670" t="str">
        <f t="shared" si="321"/>
        <v>OK</v>
      </c>
      <c r="T670" t="s">
        <v>99</v>
      </c>
      <c r="U670" t="str">
        <f t="shared" si="312"/>
        <v>Andhra Pradesh</v>
      </c>
      <c r="V670" t="s">
        <v>100</v>
      </c>
      <c r="W670" t="str">
        <f t="shared" si="313"/>
        <v>Vijayawada</v>
      </c>
      <c r="X670" t="str">
        <f t="shared" si="314"/>
        <v>Technology</v>
      </c>
      <c r="Y670" t="s">
        <v>85</v>
      </c>
      <c r="Z670" t="s">
        <v>381</v>
      </c>
      <c r="AA670" t="str">
        <f t="shared" si="315"/>
        <v>Machines</v>
      </c>
      <c r="AB670" t="s">
        <v>1795</v>
      </c>
      <c r="AC670" t="s">
        <v>32</v>
      </c>
      <c r="AD670" t="str">
        <f t="shared" si="335"/>
        <v>Second Class</v>
      </c>
      <c r="AE670" t="str">
        <f t="shared" si="322"/>
        <v>OK</v>
      </c>
      <c r="AF670">
        <v>8</v>
      </c>
      <c r="AG670">
        <v>546.13</v>
      </c>
      <c r="AH670">
        <v>0</v>
      </c>
      <c r="AI670">
        <f t="shared" si="323"/>
        <v>0</v>
      </c>
      <c r="AJ670" t="str">
        <f t="shared" si="324"/>
        <v>OK</v>
      </c>
      <c r="AK670">
        <v>4369.04</v>
      </c>
      <c r="AL670">
        <v>3716.88</v>
      </c>
      <c r="AM670">
        <v>652.16</v>
      </c>
      <c r="AN670" t="s">
        <v>33</v>
      </c>
      <c r="AO670" t="str">
        <f t="shared" si="316"/>
        <v>PAID</v>
      </c>
      <c r="AP670" t="str">
        <f t="shared" si="325"/>
        <v>OK</v>
      </c>
      <c r="AQ670" t="s">
        <v>77</v>
      </c>
      <c r="AR670" t="str">
        <f t="shared" si="317"/>
        <v>CANCELLED</v>
      </c>
      <c r="AS670" t="str">
        <f t="shared" si="326"/>
        <v>EXCLUDE_FROM_SALES</v>
      </c>
      <c r="AT670">
        <f t="shared" si="327"/>
        <v>4369.04</v>
      </c>
      <c r="AU670">
        <f t="shared" si="328"/>
        <v>652.15999999999985</v>
      </c>
      <c r="AV670" s="6">
        <f t="shared" si="329"/>
        <v>3.4101312874224063E-2</v>
      </c>
      <c r="AW670" t="str">
        <f t="shared" si="330"/>
        <v>CLEAN</v>
      </c>
      <c r="AX670" s="10" t="str">
        <f t="shared" si="331"/>
        <v>MATCH</v>
      </c>
      <c r="AY670" t="str">
        <f t="shared" si="332"/>
        <v>MATCH</v>
      </c>
    </row>
    <row r="671" spans="1:51">
      <c r="A671" t="s">
        <v>1796</v>
      </c>
      <c r="B671">
        <f t="shared" si="308"/>
        <v>1</v>
      </c>
      <c r="C671" t="s">
        <v>1797</v>
      </c>
      <c r="D671" s="3">
        <v>45908</v>
      </c>
      <c r="E671" t="str">
        <f t="shared" si="309"/>
        <v>2025/09/08</v>
      </c>
      <c r="F671" t="str">
        <f t="shared" si="318"/>
        <v>September</v>
      </c>
      <c r="G671">
        <f t="shared" si="319"/>
        <v>2025</v>
      </c>
      <c r="H671" t="s">
        <v>1798</v>
      </c>
      <c r="I671" s="4">
        <v>45876</v>
      </c>
      <c r="J671" s="8">
        <f t="shared" si="310"/>
        <v>-32</v>
      </c>
      <c r="K671" s="8" t="str">
        <f t="shared" si="320"/>
        <v>INVAILD_SHIPPING</v>
      </c>
      <c r="L671" t="s">
        <v>1799</v>
      </c>
      <c r="M671" t="s">
        <v>82</v>
      </c>
      <c r="N671" t="str">
        <f t="shared" si="311"/>
        <v>Vikram Iyer</v>
      </c>
      <c r="O671" t="s">
        <v>114</v>
      </c>
      <c r="P671" t="str">
        <f t="shared" si="333"/>
        <v>Home Office</v>
      </c>
      <c r="Q671" t="s">
        <v>72</v>
      </c>
      <c r="R671" t="str">
        <f t="shared" si="334"/>
        <v>West</v>
      </c>
      <c r="S671" t="str">
        <f t="shared" si="321"/>
        <v>OK</v>
      </c>
      <c r="T671" t="s">
        <v>234</v>
      </c>
      <c r="U671" t="str">
        <f t="shared" si="312"/>
        <v>Gujarat</v>
      </c>
      <c r="V671" t="s">
        <v>235</v>
      </c>
      <c r="W671" t="str">
        <f t="shared" si="313"/>
        <v>Ahmedabad</v>
      </c>
      <c r="X671" t="str">
        <f t="shared" si="314"/>
        <v>Furniture</v>
      </c>
      <c r="Y671" t="s">
        <v>44</v>
      </c>
      <c r="Z671" t="s">
        <v>203</v>
      </c>
      <c r="AA671" t="str">
        <f t="shared" si="315"/>
        <v>Bookcases</v>
      </c>
      <c r="AB671" t="s">
        <v>1800</v>
      </c>
      <c r="AC671" t="s">
        <v>32</v>
      </c>
      <c r="AD671" t="str">
        <f t="shared" si="335"/>
        <v>Second Class</v>
      </c>
      <c r="AE671" t="str">
        <f t="shared" si="322"/>
        <v>OK</v>
      </c>
      <c r="AF671">
        <v>5</v>
      </c>
      <c r="AG671">
        <v>1253.92</v>
      </c>
      <c r="AH671">
        <v>0.05</v>
      </c>
      <c r="AI671">
        <f t="shared" si="323"/>
        <v>0.05</v>
      </c>
      <c r="AJ671" t="str">
        <f t="shared" si="324"/>
        <v>OK</v>
      </c>
      <c r="AK671">
        <v>5956.12</v>
      </c>
      <c r="AL671">
        <v>4379.18</v>
      </c>
      <c r="AM671">
        <v>1576.94</v>
      </c>
      <c r="AN671" t="s">
        <v>136</v>
      </c>
      <c r="AO671" t="str">
        <f t="shared" si="316"/>
        <v>PENDING</v>
      </c>
      <c r="AP671" t="str">
        <f t="shared" si="325"/>
        <v>OK</v>
      </c>
      <c r="AQ671" t="s">
        <v>124</v>
      </c>
      <c r="AR671" t="str">
        <f t="shared" si="317"/>
        <v>RETURNED</v>
      </c>
      <c r="AS671" t="str">
        <f t="shared" si="326"/>
        <v>RETURNED_ORDER</v>
      </c>
      <c r="AT671">
        <f t="shared" si="327"/>
        <v>5956.12</v>
      </c>
      <c r="AU671">
        <f t="shared" si="328"/>
        <v>1576.9399999999996</v>
      </c>
      <c r="AV671" s="6">
        <f t="shared" si="329"/>
        <v>4.3210512884226636E-2</v>
      </c>
      <c r="AW671" t="str">
        <f t="shared" si="330"/>
        <v>CLEAN</v>
      </c>
      <c r="AX671" s="10" t="str">
        <f t="shared" si="331"/>
        <v>MATCH</v>
      </c>
      <c r="AY671" t="str">
        <f t="shared" si="332"/>
        <v>MATCH</v>
      </c>
    </row>
    <row r="672" spans="1:51">
      <c r="A672" t="s">
        <v>1810</v>
      </c>
      <c r="B672">
        <f t="shared" si="308"/>
        <v>1</v>
      </c>
      <c r="C672" t="s">
        <v>1156</v>
      </c>
      <c r="D672" s="3">
        <v>45748</v>
      </c>
      <c r="E672" t="str">
        <f t="shared" si="309"/>
        <v>2025/04/01</v>
      </c>
      <c r="F672" t="str">
        <f t="shared" si="318"/>
        <v>April</v>
      </c>
      <c r="G672">
        <f t="shared" si="319"/>
        <v>2025</v>
      </c>
      <c r="H672" t="s">
        <v>1811</v>
      </c>
      <c r="I672" s="4">
        <v>45749</v>
      </c>
      <c r="J672" s="8">
        <f t="shared" si="310"/>
        <v>1</v>
      </c>
      <c r="K672" s="8" t="str">
        <f t="shared" si="320"/>
        <v>OK</v>
      </c>
      <c r="L672" t="s">
        <v>1812</v>
      </c>
      <c r="M672" t="s">
        <v>179</v>
      </c>
      <c r="N672" t="str">
        <f t="shared" si="311"/>
        <v>Rohan Mehta</v>
      </c>
      <c r="O672" t="s">
        <v>107</v>
      </c>
      <c r="P672" t="str">
        <f t="shared" si="333"/>
        <v>Corporate</v>
      </c>
      <c r="Q672" t="s">
        <v>41</v>
      </c>
      <c r="R672" t="str">
        <f t="shared" si="334"/>
        <v>East</v>
      </c>
      <c r="S672" t="str">
        <f t="shared" si="321"/>
        <v>OK</v>
      </c>
      <c r="T672" t="s">
        <v>42</v>
      </c>
      <c r="U672" t="str">
        <f t="shared" si="312"/>
        <v>Odisha</v>
      </c>
      <c r="V672" t="s">
        <v>43</v>
      </c>
      <c r="W672" t="str">
        <f t="shared" si="313"/>
        <v>Bhubaneswar</v>
      </c>
      <c r="X672" t="str">
        <f t="shared" si="314"/>
        <v>Furniture</v>
      </c>
      <c r="Y672" t="s">
        <v>44</v>
      </c>
      <c r="Z672" t="s">
        <v>75</v>
      </c>
      <c r="AA672" t="str">
        <f t="shared" si="315"/>
        <v>Chairs</v>
      </c>
      <c r="AB672" t="s">
        <v>1813</v>
      </c>
      <c r="AC672" t="s">
        <v>32</v>
      </c>
      <c r="AD672" t="str">
        <f t="shared" si="335"/>
        <v>Second Class</v>
      </c>
      <c r="AE672" t="str">
        <f t="shared" si="322"/>
        <v>OK</v>
      </c>
      <c r="AF672">
        <v>9</v>
      </c>
      <c r="AG672">
        <v>4165.58</v>
      </c>
      <c r="AH672">
        <v>0.05</v>
      </c>
      <c r="AI672">
        <f t="shared" si="323"/>
        <v>0.05</v>
      </c>
      <c r="AJ672" t="str">
        <f t="shared" si="324"/>
        <v>OK</v>
      </c>
      <c r="AK672">
        <v>35615.71</v>
      </c>
      <c r="AL672">
        <v>20389.71</v>
      </c>
      <c r="AM672">
        <v>15226</v>
      </c>
      <c r="AN672" t="s">
        <v>136</v>
      </c>
      <c r="AO672" t="str">
        <f t="shared" si="316"/>
        <v>PENDING</v>
      </c>
      <c r="AP672" t="str">
        <f t="shared" si="325"/>
        <v>OK</v>
      </c>
      <c r="AQ672" t="s">
        <v>124</v>
      </c>
      <c r="AR672" t="str">
        <f t="shared" si="317"/>
        <v>RETURNED</v>
      </c>
      <c r="AS672" t="str">
        <f t="shared" si="326"/>
        <v>RETURNED_ORDER</v>
      </c>
      <c r="AT672">
        <f t="shared" si="327"/>
        <v>35615.709000000003</v>
      </c>
      <c r="AU672">
        <f t="shared" si="328"/>
        <v>15225.999000000003</v>
      </c>
      <c r="AV672" s="6">
        <f t="shared" si="329"/>
        <v>3.7062858976077112E-2</v>
      </c>
      <c r="AW672" t="str">
        <f t="shared" si="330"/>
        <v>CLEAN</v>
      </c>
      <c r="AX672" s="10" t="str">
        <f t="shared" si="331"/>
        <v>MATCH</v>
      </c>
      <c r="AY672" t="str">
        <f t="shared" si="332"/>
        <v>MATCH</v>
      </c>
    </row>
    <row r="673" spans="1:51">
      <c r="A673" t="s">
        <v>1819</v>
      </c>
      <c r="B673">
        <f t="shared" si="308"/>
        <v>1</v>
      </c>
      <c r="C673" t="s">
        <v>1820</v>
      </c>
      <c r="D673" s="3">
        <v>45845</v>
      </c>
      <c r="E673" t="str">
        <f t="shared" si="309"/>
        <v>2025/07/07</v>
      </c>
      <c r="F673" t="str">
        <f t="shared" si="318"/>
        <v>July</v>
      </c>
      <c r="G673">
        <f t="shared" si="319"/>
        <v>2025</v>
      </c>
      <c r="H673" t="s">
        <v>1821</v>
      </c>
      <c r="I673" s="4">
        <v>45850</v>
      </c>
      <c r="J673" s="8">
        <f t="shared" si="310"/>
        <v>5</v>
      </c>
      <c r="K673" s="8" t="str">
        <f t="shared" si="320"/>
        <v>OK</v>
      </c>
      <c r="L673" t="s">
        <v>1822</v>
      </c>
      <c r="M673" t="s">
        <v>209</v>
      </c>
      <c r="N673" t="str">
        <f t="shared" si="311"/>
        <v>Diya Patel</v>
      </c>
      <c r="O673" t="s">
        <v>107</v>
      </c>
      <c r="P673" t="str">
        <f t="shared" si="333"/>
        <v>Corporate</v>
      </c>
      <c r="Q673" t="s">
        <v>41</v>
      </c>
      <c r="R673" t="str">
        <f t="shared" si="334"/>
        <v>East</v>
      </c>
      <c r="S673" t="str">
        <f t="shared" si="321"/>
        <v>OK</v>
      </c>
      <c r="T673" t="s">
        <v>120</v>
      </c>
      <c r="U673" t="str">
        <f t="shared" si="312"/>
        <v>West Bengal</v>
      </c>
      <c r="V673" t="s">
        <v>121</v>
      </c>
      <c r="W673" t="str">
        <f t="shared" si="313"/>
        <v>Kolkata</v>
      </c>
      <c r="X673" t="str">
        <f t="shared" si="314"/>
        <v>Furniture</v>
      </c>
      <c r="Y673" t="s">
        <v>44</v>
      </c>
      <c r="Z673" t="s">
        <v>45</v>
      </c>
      <c r="AA673" t="str">
        <f t="shared" si="315"/>
        <v>Tables</v>
      </c>
      <c r="AB673" t="s">
        <v>1823</v>
      </c>
      <c r="AC673" t="s">
        <v>32</v>
      </c>
      <c r="AD673" t="str">
        <f t="shared" si="335"/>
        <v>Second Class</v>
      </c>
      <c r="AE673" t="str">
        <f t="shared" si="322"/>
        <v>OK</v>
      </c>
      <c r="AF673">
        <v>5</v>
      </c>
      <c r="AG673">
        <v>1831.37</v>
      </c>
      <c r="AH673">
        <v>0.25</v>
      </c>
      <c r="AI673">
        <f t="shared" si="323"/>
        <v>0.25</v>
      </c>
      <c r="AJ673" t="str">
        <f t="shared" si="324"/>
        <v>OK</v>
      </c>
      <c r="AK673">
        <v>6867.64</v>
      </c>
      <c r="AL673">
        <v>5205.3599999999997</v>
      </c>
      <c r="AM673">
        <v>1662.28</v>
      </c>
      <c r="AN673" t="s">
        <v>33</v>
      </c>
      <c r="AO673" t="str">
        <f t="shared" si="316"/>
        <v>PAID</v>
      </c>
      <c r="AP673" t="str">
        <f t="shared" si="325"/>
        <v>OK</v>
      </c>
      <c r="AQ673" t="s">
        <v>34</v>
      </c>
      <c r="AR673" t="str">
        <f t="shared" si="317"/>
        <v>COMPLETED</v>
      </c>
      <c r="AS673" t="str">
        <f t="shared" si="326"/>
        <v>OK</v>
      </c>
      <c r="AT673">
        <f t="shared" si="327"/>
        <v>6867.6374999999989</v>
      </c>
      <c r="AU673">
        <f t="shared" si="328"/>
        <v>1662.2774999999992</v>
      </c>
      <c r="AV673" s="6">
        <f t="shared" si="329"/>
        <v>0.18567302074403319</v>
      </c>
      <c r="AW673" t="str">
        <f t="shared" si="330"/>
        <v>CLEAN</v>
      </c>
      <c r="AX673" s="10" t="str">
        <f t="shared" si="331"/>
        <v>MATCH</v>
      </c>
      <c r="AY673" t="str">
        <f t="shared" si="332"/>
        <v>MATCH</v>
      </c>
    </row>
    <row r="674" spans="1:51">
      <c r="A674" t="s">
        <v>1824</v>
      </c>
      <c r="B674">
        <f t="shared" si="308"/>
        <v>1</v>
      </c>
      <c r="C674" t="s">
        <v>1825</v>
      </c>
      <c r="D674" s="3">
        <v>45737</v>
      </c>
      <c r="E674" t="str">
        <f t="shared" si="309"/>
        <v>2025/03/21</v>
      </c>
      <c r="F674" t="str">
        <f t="shared" si="318"/>
        <v>March</v>
      </c>
      <c r="G674">
        <f t="shared" si="319"/>
        <v>2025</v>
      </c>
      <c r="H674" t="s">
        <v>1826</v>
      </c>
      <c r="I674" s="4">
        <v>45740</v>
      </c>
      <c r="J674" s="8">
        <f t="shared" si="310"/>
        <v>3</v>
      </c>
      <c r="K674" s="8" t="str">
        <f t="shared" si="320"/>
        <v>OK</v>
      </c>
      <c r="L674" t="s">
        <v>1827</v>
      </c>
      <c r="M674" t="s">
        <v>161</v>
      </c>
      <c r="N674" t="str">
        <f t="shared" si="311"/>
        <v>Aarav Sharma</v>
      </c>
      <c r="O674" t="s">
        <v>40</v>
      </c>
      <c r="P674" t="str">
        <f t="shared" si="333"/>
        <v>Small Business</v>
      </c>
      <c r="Q674" t="s">
        <v>61</v>
      </c>
      <c r="R674" t="str">
        <f t="shared" si="334"/>
        <v>South</v>
      </c>
      <c r="S674" t="str">
        <f t="shared" si="321"/>
        <v>OK</v>
      </c>
      <c r="T674" t="s">
        <v>99</v>
      </c>
      <c r="U674" t="str">
        <f t="shared" si="312"/>
        <v>Andhra Pradesh</v>
      </c>
      <c r="V674" t="s">
        <v>100</v>
      </c>
      <c r="W674" t="str">
        <f t="shared" si="313"/>
        <v>Vijayawada</v>
      </c>
      <c r="X674" t="str">
        <f t="shared" si="314"/>
        <v>Furniture</v>
      </c>
      <c r="Y674" t="s">
        <v>44</v>
      </c>
      <c r="Z674" t="s">
        <v>75</v>
      </c>
      <c r="AA674" t="str">
        <f t="shared" si="315"/>
        <v>Chairs</v>
      </c>
      <c r="AB674" t="s">
        <v>1828</v>
      </c>
      <c r="AC674" t="s">
        <v>32</v>
      </c>
      <c r="AD674" t="str">
        <f t="shared" si="335"/>
        <v>Second Class</v>
      </c>
      <c r="AE674" t="str">
        <f t="shared" si="322"/>
        <v>OK</v>
      </c>
      <c r="AF674">
        <v>5</v>
      </c>
      <c r="AG674">
        <v>1239.1500000000001</v>
      </c>
      <c r="AH674">
        <v>0</v>
      </c>
      <c r="AI674">
        <f t="shared" si="323"/>
        <v>0</v>
      </c>
      <c r="AJ674" t="str">
        <f t="shared" si="324"/>
        <v>OK</v>
      </c>
      <c r="AK674">
        <v>6195.75</v>
      </c>
      <c r="AL674">
        <v>3967.02</v>
      </c>
      <c r="AM674">
        <v>2228.73</v>
      </c>
      <c r="AN674" t="s">
        <v>33</v>
      </c>
      <c r="AO674" t="str">
        <f t="shared" si="316"/>
        <v>PAID</v>
      </c>
      <c r="AP674" t="str">
        <f t="shared" si="325"/>
        <v>OK</v>
      </c>
      <c r="AQ674" t="s">
        <v>34</v>
      </c>
      <c r="AR674" t="str">
        <f t="shared" si="317"/>
        <v>COMPLETED</v>
      </c>
      <c r="AS674" t="str">
        <f t="shared" si="326"/>
        <v>OK</v>
      </c>
      <c r="AT674">
        <f t="shared" si="327"/>
        <v>6195.75</v>
      </c>
      <c r="AU674">
        <f t="shared" si="328"/>
        <v>2228.73</v>
      </c>
      <c r="AV674" s="6">
        <f t="shared" si="329"/>
        <v>0.20580801355768066</v>
      </c>
      <c r="AW674" t="str">
        <f t="shared" si="330"/>
        <v>CLEAN</v>
      </c>
      <c r="AX674" s="10" t="str">
        <f t="shared" si="331"/>
        <v>MATCH</v>
      </c>
      <c r="AY674" t="str">
        <f t="shared" si="332"/>
        <v>MATCH</v>
      </c>
    </row>
    <row r="675" spans="1:51">
      <c r="A675" t="s">
        <v>1834</v>
      </c>
      <c r="B675">
        <f t="shared" si="308"/>
        <v>1</v>
      </c>
      <c r="C675" t="s">
        <v>1835</v>
      </c>
      <c r="D675" s="3">
        <v>45673</v>
      </c>
      <c r="E675" t="str">
        <f t="shared" si="309"/>
        <v>2025/01/16</v>
      </c>
      <c r="F675" t="str">
        <f t="shared" si="318"/>
        <v>January</v>
      </c>
      <c r="G675">
        <f t="shared" si="319"/>
        <v>2025</v>
      </c>
      <c r="H675" t="s">
        <v>1836</v>
      </c>
      <c r="I675" s="4">
        <v>45679</v>
      </c>
      <c r="J675" s="8">
        <f t="shared" si="310"/>
        <v>6</v>
      </c>
      <c r="K675" s="8" t="str">
        <f t="shared" si="320"/>
        <v>OK</v>
      </c>
      <c r="L675" t="s">
        <v>1837</v>
      </c>
      <c r="M675" t="s">
        <v>167</v>
      </c>
      <c r="N675" t="str">
        <f t="shared" si="311"/>
        <v>Sneha Kapoor</v>
      </c>
      <c r="O675" t="s">
        <v>107</v>
      </c>
      <c r="P675" t="str">
        <f t="shared" si="333"/>
        <v>Corporate</v>
      </c>
      <c r="Q675" t="s">
        <v>26</v>
      </c>
      <c r="R675" t="str">
        <f t="shared" si="334"/>
        <v>North</v>
      </c>
      <c r="S675" t="str">
        <f t="shared" si="321"/>
        <v>OK</v>
      </c>
      <c r="T675" t="s">
        <v>27</v>
      </c>
      <c r="U675" t="str">
        <f t="shared" si="312"/>
        <v>Rajasthan</v>
      </c>
      <c r="V675" t="s">
        <v>28</v>
      </c>
      <c r="W675" t="str">
        <f t="shared" si="313"/>
        <v>Jaipur</v>
      </c>
      <c r="X675" t="str">
        <f t="shared" si="314"/>
        <v>Furniture</v>
      </c>
      <c r="Y675" t="s">
        <v>44</v>
      </c>
      <c r="Z675" t="s">
        <v>45</v>
      </c>
      <c r="AA675" t="str">
        <f t="shared" si="315"/>
        <v>Tables</v>
      </c>
      <c r="AB675" t="s">
        <v>1838</v>
      </c>
      <c r="AC675" t="s">
        <v>47</v>
      </c>
      <c r="AD675" t="str">
        <f t="shared" si="335"/>
        <v>Same Day</v>
      </c>
      <c r="AE675" t="str">
        <f t="shared" si="322"/>
        <v>OK</v>
      </c>
      <c r="AF675">
        <v>2</v>
      </c>
      <c r="AG675">
        <v>4418.28</v>
      </c>
      <c r="AH675">
        <v>0</v>
      </c>
      <c r="AI675">
        <f t="shared" si="323"/>
        <v>0</v>
      </c>
      <c r="AJ675" t="str">
        <f t="shared" si="324"/>
        <v>OK</v>
      </c>
      <c r="AK675">
        <v>8836.56</v>
      </c>
      <c r="AL675">
        <v>5867.75</v>
      </c>
      <c r="AM675">
        <v>2968.81</v>
      </c>
      <c r="AN675" t="s">
        <v>33</v>
      </c>
      <c r="AO675" t="str">
        <f t="shared" si="316"/>
        <v>PAID</v>
      </c>
      <c r="AP675" t="str">
        <f t="shared" si="325"/>
        <v>OK</v>
      </c>
      <c r="AQ675" t="s">
        <v>34</v>
      </c>
      <c r="AR675" t="str">
        <f t="shared" si="317"/>
        <v>COMPLETED</v>
      </c>
      <c r="AS675" t="str">
        <f t="shared" si="326"/>
        <v>OK</v>
      </c>
      <c r="AT675">
        <f t="shared" si="327"/>
        <v>8836.56</v>
      </c>
      <c r="AU675">
        <f t="shared" si="328"/>
        <v>2968.8099999999995</v>
      </c>
      <c r="AW675" t="str">
        <f t="shared" si="330"/>
        <v>CLEAN</v>
      </c>
      <c r="AX675" s="10" t="str">
        <f t="shared" si="331"/>
        <v>MATCH</v>
      </c>
      <c r="AY675" t="str">
        <f t="shared" si="332"/>
        <v>MATCH</v>
      </c>
    </row>
    <row r="676" spans="1:51">
      <c r="A676" t="s">
        <v>1843</v>
      </c>
      <c r="B676">
        <f t="shared" si="308"/>
        <v>1</v>
      </c>
      <c r="C676" t="s">
        <v>1271</v>
      </c>
      <c r="D676" s="3">
        <v>45844</v>
      </c>
      <c r="E676" t="str">
        <f t="shared" si="309"/>
        <v>2025/07/06</v>
      </c>
      <c r="F676" t="str">
        <f t="shared" si="318"/>
        <v>July</v>
      </c>
      <c r="G676">
        <f t="shared" si="319"/>
        <v>2025</v>
      </c>
      <c r="H676" t="s">
        <v>1271</v>
      </c>
      <c r="I676" s="4">
        <v>45815</v>
      </c>
      <c r="J676" s="8">
        <f t="shared" si="310"/>
        <v>-29</v>
      </c>
      <c r="K676" s="8" t="str">
        <f t="shared" si="320"/>
        <v>INVAILD_SHIPPING</v>
      </c>
      <c r="L676" t="s">
        <v>1844</v>
      </c>
      <c r="M676" t="s">
        <v>161</v>
      </c>
      <c r="N676" t="str">
        <f t="shared" si="311"/>
        <v>Aarav Sharma</v>
      </c>
      <c r="O676" t="s">
        <v>114</v>
      </c>
      <c r="P676" t="str">
        <f t="shared" si="333"/>
        <v>Home Office</v>
      </c>
      <c r="Q676" t="s">
        <v>26</v>
      </c>
      <c r="R676" t="str">
        <f t="shared" si="334"/>
        <v>North</v>
      </c>
      <c r="S676" t="str">
        <f t="shared" si="321"/>
        <v>OK</v>
      </c>
      <c r="T676" t="s">
        <v>27</v>
      </c>
      <c r="U676" t="str">
        <f t="shared" si="312"/>
        <v>Rajasthan</v>
      </c>
      <c r="V676" t="s">
        <v>28</v>
      </c>
      <c r="W676" t="str">
        <f t="shared" si="313"/>
        <v>Jaipur</v>
      </c>
      <c r="X676" t="str">
        <f t="shared" si="314"/>
        <v>Technology</v>
      </c>
      <c r="Y676" t="s">
        <v>85</v>
      </c>
      <c r="Z676" t="s">
        <v>86</v>
      </c>
      <c r="AA676" t="str">
        <f t="shared" si="315"/>
        <v>Accessories</v>
      </c>
      <c r="AB676" t="s">
        <v>1845</v>
      </c>
      <c r="AC676" t="s">
        <v>47</v>
      </c>
      <c r="AD676" t="str">
        <f t="shared" si="335"/>
        <v>Same Day</v>
      </c>
      <c r="AE676" t="str">
        <f t="shared" si="322"/>
        <v>OK</v>
      </c>
      <c r="AF676">
        <v>9</v>
      </c>
      <c r="AG676">
        <v>243.19</v>
      </c>
      <c r="AH676">
        <v>0.05</v>
      </c>
      <c r="AI676">
        <f t="shared" si="323"/>
        <v>0.05</v>
      </c>
      <c r="AJ676" t="str">
        <f t="shared" si="324"/>
        <v>OK</v>
      </c>
      <c r="AK676">
        <v>2079.27</v>
      </c>
      <c r="AL676">
        <v>1512.17</v>
      </c>
      <c r="AM676">
        <v>567.1</v>
      </c>
      <c r="AN676" t="s">
        <v>123</v>
      </c>
      <c r="AO676" t="str">
        <f t="shared" si="316"/>
        <v>REFUNDED</v>
      </c>
      <c r="AP676" t="str">
        <f t="shared" si="325"/>
        <v>REFUNDED_PAYMENT</v>
      </c>
      <c r="AQ676" t="s">
        <v>124</v>
      </c>
      <c r="AR676" t="str">
        <f t="shared" si="317"/>
        <v>RETURNED</v>
      </c>
      <c r="AS676" t="str">
        <f t="shared" si="326"/>
        <v>RETURNED_ORDER</v>
      </c>
      <c r="AT676">
        <f t="shared" si="327"/>
        <v>2079.2745</v>
      </c>
      <c r="AU676">
        <f t="shared" si="328"/>
        <v>567.10449999999992</v>
      </c>
      <c r="AV676" s="6">
        <f t="shared" si="329"/>
        <v>1.1132633040995783</v>
      </c>
      <c r="AW676" t="str">
        <f t="shared" si="330"/>
        <v>CLEAN</v>
      </c>
      <c r="AX676" s="10" t="str">
        <f t="shared" si="331"/>
        <v>MATCH</v>
      </c>
      <c r="AY676" t="str">
        <f t="shared" si="332"/>
        <v>MATCH</v>
      </c>
    </row>
    <row r="677" spans="1:51">
      <c r="A677" t="s">
        <v>1846</v>
      </c>
      <c r="B677">
        <f t="shared" si="308"/>
        <v>1</v>
      </c>
      <c r="C677" t="s">
        <v>1530</v>
      </c>
      <c r="D677" s="3">
        <v>45680</v>
      </c>
      <c r="E677" t="str">
        <f t="shared" si="309"/>
        <v>2025/01/23</v>
      </c>
      <c r="F677" t="str">
        <f t="shared" si="318"/>
        <v>January</v>
      </c>
      <c r="G677">
        <f t="shared" si="319"/>
        <v>2025</v>
      </c>
      <c r="H677" t="s">
        <v>190</v>
      </c>
      <c r="I677" s="4">
        <v>45687</v>
      </c>
      <c r="J677" s="8">
        <f t="shared" si="310"/>
        <v>7</v>
      </c>
      <c r="K677" s="8" t="str">
        <f t="shared" si="320"/>
        <v>OK</v>
      </c>
      <c r="L677" t="s">
        <v>1847</v>
      </c>
      <c r="M677" t="s">
        <v>141</v>
      </c>
      <c r="N677" t="str">
        <f t="shared" si="311"/>
        <v>Priya Menon</v>
      </c>
      <c r="O677" t="s">
        <v>25</v>
      </c>
      <c r="P677" t="str">
        <f t="shared" si="333"/>
        <v>Consumer</v>
      </c>
      <c r="Q677" t="s">
        <v>26</v>
      </c>
      <c r="R677" t="str">
        <f t="shared" si="334"/>
        <v>North</v>
      </c>
      <c r="S677" t="str">
        <f t="shared" si="321"/>
        <v>OK</v>
      </c>
      <c r="T677" t="s">
        <v>505</v>
      </c>
      <c r="U677" t="str">
        <f t="shared" si="312"/>
        <v>Delhi</v>
      </c>
      <c r="V677" t="s">
        <v>506</v>
      </c>
      <c r="W677" t="str">
        <f t="shared" si="313"/>
        <v>New Delhi</v>
      </c>
      <c r="X677" t="str">
        <f t="shared" si="314"/>
        <v>Office Supplies</v>
      </c>
      <c r="Y677" t="s">
        <v>29</v>
      </c>
      <c r="Z677" t="s">
        <v>108</v>
      </c>
      <c r="AA677" t="str">
        <f t="shared" si="315"/>
        <v>Labels</v>
      </c>
      <c r="AB677" t="s">
        <v>1848</v>
      </c>
      <c r="AC677" t="s">
        <v>66</v>
      </c>
      <c r="AD677" t="str">
        <f t="shared" si="335"/>
        <v>Standard Class</v>
      </c>
      <c r="AE677" t="str">
        <f t="shared" si="322"/>
        <v>OK</v>
      </c>
      <c r="AF677">
        <v>9</v>
      </c>
      <c r="AG677">
        <v>1169.3699999999999</v>
      </c>
      <c r="AH677">
        <v>0.15</v>
      </c>
      <c r="AI677">
        <f t="shared" si="323"/>
        <v>0.15</v>
      </c>
      <c r="AJ677" t="str">
        <f t="shared" si="324"/>
        <v>OK</v>
      </c>
      <c r="AK677">
        <v>8945.68</v>
      </c>
      <c r="AL677">
        <v>6740.35</v>
      </c>
      <c r="AM677">
        <v>2205.33</v>
      </c>
      <c r="AN677" t="s">
        <v>33</v>
      </c>
      <c r="AO677" t="str">
        <f t="shared" si="316"/>
        <v>PAID</v>
      </c>
      <c r="AP677" t="str">
        <f t="shared" si="325"/>
        <v>OK</v>
      </c>
      <c r="AQ677" t="s">
        <v>34</v>
      </c>
      <c r="AR677" t="str">
        <f t="shared" si="317"/>
        <v>COMPLETED</v>
      </c>
      <c r="AS677" t="str">
        <f t="shared" si="326"/>
        <v>OK</v>
      </c>
      <c r="AT677">
        <f t="shared" si="327"/>
        <v>8945.6804999999986</v>
      </c>
      <c r="AU677">
        <f t="shared" si="328"/>
        <v>2205.3304999999982</v>
      </c>
      <c r="AV677" s="6">
        <f t="shared" si="329"/>
        <v>0.25314340256171675</v>
      </c>
      <c r="AW677" t="str">
        <f t="shared" si="330"/>
        <v>CLEAN</v>
      </c>
      <c r="AX677" s="10" t="str">
        <f t="shared" si="331"/>
        <v>MATCH</v>
      </c>
      <c r="AY677" t="str">
        <f t="shared" si="332"/>
        <v>MATCH</v>
      </c>
    </row>
    <row r="678" spans="1:51">
      <c r="A678" t="s">
        <v>1857</v>
      </c>
      <c r="B678">
        <f t="shared" si="308"/>
        <v>1</v>
      </c>
      <c r="C678" t="s">
        <v>1858</v>
      </c>
      <c r="D678" s="3">
        <v>45885</v>
      </c>
      <c r="E678" t="str">
        <f t="shared" si="309"/>
        <v>2025/08/16</v>
      </c>
      <c r="F678" t="str">
        <f t="shared" si="318"/>
        <v>August</v>
      </c>
      <c r="G678">
        <f t="shared" si="319"/>
        <v>2025</v>
      </c>
      <c r="H678" t="s">
        <v>920</v>
      </c>
      <c r="I678" s="4">
        <v>45887</v>
      </c>
      <c r="J678" s="8">
        <f t="shared" si="310"/>
        <v>2</v>
      </c>
      <c r="K678" s="8" t="str">
        <f t="shared" si="320"/>
        <v>OK</v>
      </c>
      <c r="L678" t="s">
        <v>969</v>
      </c>
      <c r="M678" t="s">
        <v>365</v>
      </c>
      <c r="N678" t="str">
        <f t="shared" si="311"/>
        <v>Kabir Singh</v>
      </c>
      <c r="O678" t="s">
        <v>25</v>
      </c>
      <c r="P678" t="str">
        <f t="shared" si="333"/>
        <v>Consumer</v>
      </c>
      <c r="Q678" t="s">
        <v>41</v>
      </c>
      <c r="R678" t="str">
        <f t="shared" si="334"/>
        <v>East</v>
      </c>
      <c r="S678" t="str">
        <f t="shared" si="321"/>
        <v>OK</v>
      </c>
      <c r="T678" t="s">
        <v>310</v>
      </c>
      <c r="U678" t="str">
        <f t="shared" si="312"/>
        <v>Jharkhand</v>
      </c>
      <c r="V678" t="s">
        <v>311</v>
      </c>
      <c r="W678" t="str">
        <f t="shared" si="313"/>
        <v>Ranchi</v>
      </c>
      <c r="X678" t="str">
        <f t="shared" si="314"/>
        <v>Furniture</v>
      </c>
      <c r="Y678" t="s">
        <v>44</v>
      </c>
      <c r="Z678" t="s">
        <v>75</v>
      </c>
      <c r="AA678" t="str">
        <f t="shared" si="315"/>
        <v>Chairs</v>
      </c>
      <c r="AB678" t="s">
        <v>1859</v>
      </c>
      <c r="AC678" t="s">
        <v>47</v>
      </c>
      <c r="AD678" t="str">
        <f t="shared" si="335"/>
        <v>Same Day</v>
      </c>
      <c r="AE678" t="str">
        <f t="shared" si="322"/>
        <v>OK</v>
      </c>
      <c r="AF678">
        <v>5</v>
      </c>
      <c r="AG678">
        <v>1530.36</v>
      </c>
      <c r="AH678">
        <v>0</v>
      </c>
      <c r="AI678">
        <f t="shared" si="323"/>
        <v>0</v>
      </c>
      <c r="AJ678" t="str">
        <f t="shared" si="324"/>
        <v>OK</v>
      </c>
      <c r="AK678">
        <v>7651.8</v>
      </c>
      <c r="AL678">
        <v>5171.78</v>
      </c>
      <c r="AM678">
        <v>2480.02</v>
      </c>
      <c r="AN678" t="s">
        <v>33</v>
      </c>
      <c r="AO678" t="str">
        <f t="shared" si="316"/>
        <v>PAID</v>
      </c>
      <c r="AP678" t="str">
        <f t="shared" si="325"/>
        <v>OK</v>
      </c>
      <c r="AQ678" t="s">
        <v>34</v>
      </c>
      <c r="AR678" t="str">
        <f t="shared" si="317"/>
        <v>COMPLETED</v>
      </c>
      <c r="AS678" t="str">
        <f t="shared" si="326"/>
        <v>OK</v>
      </c>
      <c r="AT678">
        <f t="shared" si="327"/>
        <v>7651.7999999999993</v>
      </c>
      <c r="AU678">
        <f t="shared" si="328"/>
        <v>2480.0199999999995</v>
      </c>
      <c r="AV678" s="6">
        <f t="shared" si="329"/>
        <v>0.32755038030267397</v>
      </c>
      <c r="AW678" t="str">
        <f t="shared" si="330"/>
        <v>CLEAN</v>
      </c>
      <c r="AX678" s="10" t="str">
        <f t="shared" si="331"/>
        <v>MATCH</v>
      </c>
      <c r="AY678" t="str">
        <f t="shared" si="332"/>
        <v>MATCH</v>
      </c>
    </row>
    <row r="679" spans="1:51">
      <c r="A679" t="s">
        <v>1860</v>
      </c>
      <c r="B679">
        <f t="shared" si="308"/>
        <v>2</v>
      </c>
      <c r="C679" t="s">
        <v>1861</v>
      </c>
      <c r="D679" s="3">
        <v>45760</v>
      </c>
      <c r="E679" t="str">
        <f t="shared" si="309"/>
        <v>2025/04/13</v>
      </c>
      <c r="F679" t="str">
        <f t="shared" si="318"/>
        <v>April</v>
      </c>
      <c r="G679">
        <f t="shared" si="319"/>
        <v>2025</v>
      </c>
      <c r="H679" t="s">
        <v>1861</v>
      </c>
      <c r="I679" s="4">
        <v>45760</v>
      </c>
      <c r="J679" s="8">
        <f t="shared" si="310"/>
        <v>0</v>
      </c>
      <c r="K679" s="8" t="str">
        <f t="shared" si="320"/>
        <v>OK</v>
      </c>
      <c r="L679" t="s">
        <v>1862</v>
      </c>
      <c r="M679" t="s">
        <v>167</v>
      </c>
      <c r="N679" t="str">
        <f t="shared" si="311"/>
        <v>Sneha Kapoor</v>
      </c>
      <c r="O679" t="s">
        <v>40</v>
      </c>
      <c r="P679" t="str">
        <f t="shared" si="333"/>
        <v>Small Business</v>
      </c>
      <c r="Q679" t="s">
        <v>26</v>
      </c>
      <c r="R679" t="str">
        <f t="shared" si="334"/>
        <v>North</v>
      </c>
      <c r="S679" t="str">
        <f t="shared" si="321"/>
        <v>OK</v>
      </c>
      <c r="T679" t="s">
        <v>173</v>
      </c>
      <c r="U679" t="str">
        <f t="shared" si="312"/>
        <v>Uttar Pradesh</v>
      </c>
      <c r="V679" t="s">
        <v>174</v>
      </c>
      <c r="W679" t="str">
        <f t="shared" si="313"/>
        <v>Noida</v>
      </c>
      <c r="X679" t="str">
        <f t="shared" si="314"/>
        <v>Office Supplies</v>
      </c>
      <c r="Y679" t="s">
        <v>29</v>
      </c>
      <c r="Z679" t="s">
        <v>155</v>
      </c>
      <c r="AA679" t="str">
        <f t="shared" si="315"/>
        <v>Storage</v>
      </c>
      <c r="AB679" t="s">
        <v>1863</v>
      </c>
      <c r="AC679" t="s">
        <v>32</v>
      </c>
      <c r="AD679" t="str">
        <f t="shared" si="335"/>
        <v>Second Class</v>
      </c>
      <c r="AE679" t="str">
        <f t="shared" si="322"/>
        <v>OK</v>
      </c>
      <c r="AF679">
        <v>9</v>
      </c>
      <c r="AG679">
        <v>1118.68</v>
      </c>
      <c r="AH679">
        <v>0</v>
      </c>
      <c r="AI679">
        <f t="shared" si="323"/>
        <v>0</v>
      </c>
      <c r="AJ679" t="str">
        <f t="shared" si="324"/>
        <v>OK</v>
      </c>
      <c r="AK679">
        <v>10068.120000000001</v>
      </c>
      <c r="AL679">
        <v>8595.3700000000008</v>
      </c>
      <c r="AM679">
        <v>1472.75</v>
      </c>
      <c r="AN679" t="s">
        <v>33</v>
      </c>
      <c r="AO679" t="str">
        <f t="shared" si="316"/>
        <v>PAID</v>
      </c>
      <c r="AP679" t="str">
        <f t="shared" si="325"/>
        <v>OK</v>
      </c>
      <c r="AQ679" t="s">
        <v>34</v>
      </c>
      <c r="AR679" t="str">
        <f t="shared" si="317"/>
        <v>COMPLETED</v>
      </c>
      <c r="AS679" t="str">
        <f t="shared" si="326"/>
        <v>OK</v>
      </c>
      <c r="AT679">
        <f t="shared" si="327"/>
        <v>10068.120000000001</v>
      </c>
      <c r="AU679">
        <f t="shared" si="328"/>
        <v>1472.75</v>
      </c>
      <c r="AV679" s="6">
        <f t="shared" si="329"/>
        <v>6.7093459354874624E-2</v>
      </c>
      <c r="AW679" t="str">
        <f t="shared" si="330"/>
        <v>CLEAN</v>
      </c>
      <c r="AX679" s="10" t="str">
        <f t="shared" si="331"/>
        <v>MATCH</v>
      </c>
      <c r="AY679" t="str">
        <f t="shared" si="332"/>
        <v>MATCH</v>
      </c>
    </row>
    <row r="680" spans="1:51">
      <c r="A680" t="s">
        <v>1860</v>
      </c>
      <c r="B680">
        <f t="shared" si="308"/>
        <v>2</v>
      </c>
      <c r="C680" t="s">
        <v>1861</v>
      </c>
      <c r="D680" s="3">
        <v>45760</v>
      </c>
      <c r="E680" t="str">
        <f t="shared" si="309"/>
        <v>2025/04/13</v>
      </c>
      <c r="F680" t="str">
        <f t="shared" si="318"/>
        <v>April</v>
      </c>
      <c r="G680">
        <f t="shared" si="319"/>
        <v>2025</v>
      </c>
      <c r="H680" t="s">
        <v>1861</v>
      </c>
      <c r="I680" s="4">
        <v>45760</v>
      </c>
      <c r="J680" s="8">
        <f t="shared" si="310"/>
        <v>0</v>
      </c>
      <c r="K680" s="8" t="str">
        <f t="shared" si="320"/>
        <v>OK</v>
      </c>
      <c r="L680" t="s">
        <v>1862</v>
      </c>
      <c r="M680" t="s">
        <v>167</v>
      </c>
      <c r="N680" t="str">
        <f t="shared" si="311"/>
        <v>Sneha Kapoor</v>
      </c>
      <c r="O680" t="s">
        <v>40</v>
      </c>
      <c r="P680" t="str">
        <f t="shared" si="333"/>
        <v>Small Business</v>
      </c>
      <c r="Q680" t="s">
        <v>26</v>
      </c>
      <c r="R680" t="str">
        <f t="shared" si="334"/>
        <v>North</v>
      </c>
      <c r="S680" t="str">
        <f t="shared" si="321"/>
        <v>OK</v>
      </c>
      <c r="T680" t="s">
        <v>173</v>
      </c>
      <c r="U680" t="str">
        <f t="shared" si="312"/>
        <v>Uttar Pradesh</v>
      </c>
      <c r="V680" t="s">
        <v>174</v>
      </c>
      <c r="W680" t="str">
        <f t="shared" si="313"/>
        <v>Noida</v>
      </c>
      <c r="X680" t="str">
        <f t="shared" si="314"/>
        <v>Office Supplies</v>
      </c>
      <c r="Y680" t="s">
        <v>29</v>
      </c>
      <c r="Z680" t="s">
        <v>155</v>
      </c>
      <c r="AA680" t="str">
        <f t="shared" si="315"/>
        <v>Storage</v>
      </c>
      <c r="AB680" t="s">
        <v>1863</v>
      </c>
      <c r="AC680" t="s">
        <v>32</v>
      </c>
      <c r="AD680" t="str">
        <f t="shared" si="335"/>
        <v>Second Class</v>
      </c>
      <c r="AE680" t="str">
        <f t="shared" si="322"/>
        <v>OK</v>
      </c>
      <c r="AF680">
        <v>9</v>
      </c>
      <c r="AG680">
        <v>1118.68</v>
      </c>
      <c r="AH680">
        <v>0</v>
      </c>
      <c r="AI680">
        <f t="shared" si="323"/>
        <v>0</v>
      </c>
      <c r="AJ680" t="str">
        <f t="shared" si="324"/>
        <v>OK</v>
      </c>
      <c r="AK680">
        <v>10348.43</v>
      </c>
      <c r="AL680">
        <v>8595.3700000000008</v>
      </c>
      <c r="AM680">
        <v>1472.75</v>
      </c>
      <c r="AN680" t="s">
        <v>33</v>
      </c>
      <c r="AO680" t="str">
        <f t="shared" si="316"/>
        <v>PAID</v>
      </c>
      <c r="AP680" t="str">
        <f t="shared" si="325"/>
        <v>OK</v>
      </c>
      <c r="AQ680" t="s">
        <v>124</v>
      </c>
      <c r="AR680" t="str">
        <f t="shared" si="317"/>
        <v>RETURNED</v>
      </c>
      <c r="AS680" t="str">
        <f t="shared" si="326"/>
        <v>RETURNED_ORDER</v>
      </c>
      <c r="AT680">
        <f t="shared" si="327"/>
        <v>10068.120000000001</v>
      </c>
      <c r="AU680">
        <f t="shared" si="328"/>
        <v>1472.75</v>
      </c>
      <c r="AV680" s="6">
        <f t="shared" si="329"/>
        <v>5.6165202639618966E-2</v>
      </c>
      <c r="AW680" t="str">
        <f t="shared" si="330"/>
        <v>CLEAN</v>
      </c>
      <c r="AX680" s="10" t="str">
        <f t="shared" si="331"/>
        <v>MISMATCH</v>
      </c>
      <c r="AY680" t="str">
        <f t="shared" si="332"/>
        <v>MATCH</v>
      </c>
    </row>
    <row r="681" spans="1:51">
      <c r="A681" t="s">
        <v>1864</v>
      </c>
      <c r="B681">
        <f t="shared" si="308"/>
        <v>1</v>
      </c>
      <c r="C681" t="s">
        <v>1865</v>
      </c>
      <c r="D681" s="3">
        <v>45715</v>
      </c>
      <c r="E681" t="str">
        <f t="shared" si="309"/>
        <v>2025/02/27</v>
      </c>
      <c r="F681" t="str">
        <f t="shared" si="318"/>
        <v>February</v>
      </c>
      <c r="G681">
        <f t="shared" si="319"/>
        <v>2025</v>
      </c>
      <c r="H681" t="s">
        <v>1866</v>
      </c>
      <c r="I681" s="4">
        <v>45716</v>
      </c>
      <c r="J681" s="8">
        <f t="shared" si="310"/>
        <v>1</v>
      </c>
      <c r="K681" s="8" t="str">
        <f t="shared" si="320"/>
        <v>OK</v>
      </c>
      <c r="L681" t="s">
        <v>1867</v>
      </c>
      <c r="M681" t="s">
        <v>106</v>
      </c>
      <c r="N681" t="str">
        <f t="shared" si="311"/>
        <v>Aditi Sen</v>
      </c>
      <c r="O681" t="s">
        <v>40</v>
      </c>
      <c r="P681" t="str">
        <f t="shared" si="333"/>
        <v>Small Business</v>
      </c>
      <c r="Q681" t="s">
        <v>26</v>
      </c>
      <c r="R681" t="str">
        <f t="shared" si="334"/>
        <v>North</v>
      </c>
      <c r="S681" t="str">
        <f t="shared" si="321"/>
        <v>OK</v>
      </c>
      <c r="T681" t="s">
        <v>173</v>
      </c>
      <c r="U681" t="str">
        <f t="shared" si="312"/>
        <v>Uttar Pradesh</v>
      </c>
      <c r="V681" t="s">
        <v>174</v>
      </c>
      <c r="W681" t="str">
        <f t="shared" si="313"/>
        <v>Noida</v>
      </c>
      <c r="X681" t="str">
        <f t="shared" si="314"/>
        <v>Office Supplies</v>
      </c>
      <c r="Y681" t="s">
        <v>29</v>
      </c>
      <c r="Z681" t="s">
        <v>108</v>
      </c>
      <c r="AA681" t="str">
        <f t="shared" si="315"/>
        <v>Labels</v>
      </c>
      <c r="AB681" t="s">
        <v>1868</v>
      </c>
      <c r="AC681" t="s">
        <v>66</v>
      </c>
      <c r="AD681" t="str">
        <f t="shared" si="335"/>
        <v>Standard Class</v>
      </c>
      <c r="AE681" t="str">
        <f t="shared" si="322"/>
        <v>OK</v>
      </c>
      <c r="AF681">
        <v>6</v>
      </c>
      <c r="AG681">
        <v>2393.25</v>
      </c>
      <c r="AH681">
        <v>0</v>
      </c>
      <c r="AI681">
        <f t="shared" si="323"/>
        <v>0</v>
      </c>
      <c r="AJ681" t="str">
        <f t="shared" si="324"/>
        <v>OK</v>
      </c>
      <c r="AK681">
        <v>14359.5</v>
      </c>
      <c r="AL681">
        <v>8117.71</v>
      </c>
      <c r="AM681">
        <v>6241.79</v>
      </c>
      <c r="AN681" t="s">
        <v>33</v>
      </c>
      <c r="AO681" t="str">
        <f t="shared" si="316"/>
        <v>PAID</v>
      </c>
      <c r="AP681" t="str">
        <f t="shared" si="325"/>
        <v>OK</v>
      </c>
      <c r="AQ681" t="s">
        <v>34</v>
      </c>
      <c r="AR681" t="str">
        <f t="shared" si="317"/>
        <v>COMPLETED</v>
      </c>
      <c r="AS681" t="str">
        <f t="shared" si="326"/>
        <v>OK</v>
      </c>
      <c r="AT681">
        <f t="shared" si="327"/>
        <v>14359.5</v>
      </c>
      <c r="AU681">
        <f t="shared" si="328"/>
        <v>6241.79</v>
      </c>
      <c r="AV681" s="6">
        <f t="shared" si="329"/>
        <v>0.32107733556182322</v>
      </c>
      <c r="AW681" t="str">
        <f t="shared" si="330"/>
        <v>CLEAN</v>
      </c>
      <c r="AX681" s="10" t="str">
        <f t="shared" si="331"/>
        <v>MATCH</v>
      </c>
      <c r="AY681" t="str">
        <f t="shared" si="332"/>
        <v>MATCH</v>
      </c>
    </row>
    <row r="682" spans="1:51">
      <c r="A682" t="s">
        <v>1878</v>
      </c>
      <c r="B682">
        <f t="shared" si="308"/>
        <v>2</v>
      </c>
      <c r="C682" t="s">
        <v>1520</v>
      </c>
      <c r="D682" s="2">
        <v>45801</v>
      </c>
      <c r="E682" t="str">
        <f t="shared" si="309"/>
        <v>2025/05/24</v>
      </c>
      <c r="F682" t="str">
        <f t="shared" si="318"/>
        <v>May</v>
      </c>
      <c r="G682">
        <f t="shared" si="319"/>
        <v>2025</v>
      </c>
      <c r="H682" t="s">
        <v>1879</v>
      </c>
      <c r="I682" s="4">
        <v>45807</v>
      </c>
      <c r="J682" s="8">
        <f t="shared" si="310"/>
        <v>6</v>
      </c>
      <c r="K682" s="8" t="str">
        <f t="shared" si="320"/>
        <v>OK</v>
      </c>
      <c r="L682" t="s">
        <v>1880</v>
      </c>
      <c r="M682" t="s">
        <v>365</v>
      </c>
      <c r="N682" t="str">
        <f t="shared" si="311"/>
        <v>Kabir Singh</v>
      </c>
      <c r="O682" t="s">
        <v>40</v>
      </c>
      <c r="P682" t="str">
        <f t="shared" si="333"/>
        <v>Small Business</v>
      </c>
      <c r="Q682" t="s">
        <v>41</v>
      </c>
      <c r="R682" t="str">
        <f t="shared" si="334"/>
        <v>East</v>
      </c>
      <c r="S682" t="str">
        <f t="shared" si="321"/>
        <v>OK</v>
      </c>
      <c r="T682" t="s">
        <v>42</v>
      </c>
      <c r="U682" t="str">
        <f t="shared" si="312"/>
        <v>Odisha</v>
      </c>
      <c r="V682" t="s">
        <v>43</v>
      </c>
      <c r="W682" t="str">
        <f t="shared" si="313"/>
        <v>Bhubaneswar</v>
      </c>
      <c r="X682" t="str">
        <f t="shared" si="314"/>
        <v>Office Supplies</v>
      </c>
      <c r="Y682" t="s">
        <v>29</v>
      </c>
      <c r="Z682" t="s">
        <v>1881</v>
      </c>
      <c r="AA682" t="str">
        <f t="shared" si="315"/>
        <v>Storage</v>
      </c>
      <c r="AB682" t="s">
        <v>1882</v>
      </c>
      <c r="AC682" t="s">
        <v>47</v>
      </c>
      <c r="AD682" t="str">
        <f t="shared" si="335"/>
        <v>Same Day</v>
      </c>
      <c r="AE682" t="str">
        <f t="shared" si="322"/>
        <v>OK</v>
      </c>
      <c r="AF682">
        <v>1</v>
      </c>
      <c r="AG682">
        <v>2564.7399999999998</v>
      </c>
      <c r="AH682">
        <v>0</v>
      </c>
      <c r="AI682">
        <f t="shared" si="323"/>
        <v>0</v>
      </c>
      <c r="AJ682" t="str">
        <f t="shared" si="324"/>
        <v>OK</v>
      </c>
      <c r="AK682">
        <v>2564.7399999999998</v>
      </c>
      <c r="AL682">
        <v>1754.58</v>
      </c>
      <c r="AM682">
        <v>810.16</v>
      </c>
      <c r="AN682" t="s">
        <v>33</v>
      </c>
      <c r="AO682" t="str">
        <f t="shared" si="316"/>
        <v>PAID</v>
      </c>
      <c r="AP682" t="str">
        <f t="shared" si="325"/>
        <v>OK</v>
      </c>
      <c r="AQ682" t="s">
        <v>34</v>
      </c>
      <c r="AR682" t="str">
        <f t="shared" si="317"/>
        <v>COMPLETED</v>
      </c>
      <c r="AS682" t="str">
        <f t="shared" si="326"/>
        <v>OK</v>
      </c>
      <c r="AT682">
        <f t="shared" si="327"/>
        <v>2564.7399999999998</v>
      </c>
      <c r="AU682">
        <f t="shared" si="328"/>
        <v>810.15999999999985</v>
      </c>
      <c r="AV682" s="6">
        <f t="shared" si="329"/>
        <v>0.36937467345617897</v>
      </c>
      <c r="AW682" t="str">
        <f t="shared" si="330"/>
        <v>CLEAN</v>
      </c>
      <c r="AX682" s="10" t="str">
        <f t="shared" si="331"/>
        <v>MATCH</v>
      </c>
      <c r="AY682" t="str">
        <f t="shared" si="332"/>
        <v>MATCH</v>
      </c>
    </row>
    <row r="683" spans="1:51">
      <c r="A683" t="s">
        <v>1878</v>
      </c>
      <c r="B683">
        <f t="shared" si="308"/>
        <v>2</v>
      </c>
      <c r="C683" t="s">
        <v>1520</v>
      </c>
      <c r="D683" s="2">
        <v>45801</v>
      </c>
      <c r="E683" t="str">
        <f t="shared" si="309"/>
        <v>2025/05/24</v>
      </c>
      <c r="F683" t="str">
        <f t="shared" si="318"/>
        <v>May</v>
      </c>
      <c r="G683">
        <f t="shared" si="319"/>
        <v>2025</v>
      </c>
      <c r="H683" t="s">
        <v>1879</v>
      </c>
      <c r="I683" s="4">
        <v>45807</v>
      </c>
      <c r="J683" s="8">
        <f t="shared" si="310"/>
        <v>6</v>
      </c>
      <c r="K683" s="8" t="str">
        <f t="shared" si="320"/>
        <v>OK</v>
      </c>
      <c r="L683" t="s">
        <v>1880</v>
      </c>
      <c r="M683" t="s">
        <v>365</v>
      </c>
      <c r="N683" t="str">
        <f t="shared" si="311"/>
        <v>Kabir Singh</v>
      </c>
      <c r="O683" t="s">
        <v>40</v>
      </c>
      <c r="P683" t="str">
        <f t="shared" si="333"/>
        <v>Small Business</v>
      </c>
      <c r="Q683" t="s">
        <v>41</v>
      </c>
      <c r="R683" t="str">
        <f t="shared" si="334"/>
        <v>East</v>
      </c>
      <c r="S683" t="str">
        <f t="shared" si="321"/>
        <v>OK</v>
      </c>
      <c r="T683" t="s">
        <v>42</v>
      </c>
      <c r="U683" t="str">
        <f t="shared" si="312"/>
        <v>Odisha</v>
      </c>
      <c r="V683" t="s">
        <v>43</v>
      </c>
      <c r="W683" t="str">
        <f t="shared" si="313"/>
        <v>Bhubaneswar</v>
      </c>
      <c r="X683" t="str">
        <f t="shared" si="314"/>
        <v>Office Supplies</v>
      </c>
      <c r="Y683" t="s">
        <v>29</v>
      </c>
      <c r="Z683" t="s">
        <v>1881</v>
      </c>
      <c r="AA683" t="str">
        <f t="shared" si="315"/>
        <v>Storage</v>
      </c>
      <c r="AB683" t="s">
        <v>1882</v>
      </c>
      <c r="AC683" t="s">
        <v>47</v>
      </c>
      <c r="AD683" t="str">
        <f t="shared" si="335"/>
        <v>Same Day</v>
      </c>
      <c r="AE683" t="str">
        <f t="shared" si="322"/>
        <v>OK</v>
      </c>
      <c r="AF683">
        <v>1</v>
      </c>
      <c r="AG683">
        <v>2564.7399999999998</v>
      </c>
      <c r="AH683">
        <v>0</v>
      </c>
      <c r="AI683">
        <f t="shared" si="323"/>
        <v>0</v>
      </c>
      <c r="AJ683" t="str">
        <f t="shared" si="324"/>
        <v>OK</v>
      </c>
      <c r="AK683">
        <v>2564.7399999999998</v>
      </c>
      <c r="AL683">
        <v>1754.58</v>
      </c>
      <c r="AM683">
        <v>810.16</v>
      </c>
      <c r="AN683" t="s">
        <v>33</v>
      </c>
      <c r="AO683" t="str">
        <f t="shared" si="316"/>
        <v>PAID</v>
      </c>
      <c r="AP683" t="str">
        <f t="shared" si="325"/>
        <v>OK</v>
      </c>
      <c r="AQ683" t="s">
        <v>34</v>
      </c>
      <c r="AR683" t="str">
        <f t="shared" si="317"/>
        <v>COMPLETED</v>
      </c>
      <c r="AS683" t="str">
        <f t="shared" si="326"/>
        <v>OK</v>
      </c>
      <c r="AT683">
        <f t="shared" si="327"/>
        <v>2564.7399999999998</v>
      </c>
      <c r="AU683">
        <f t="shared" si="328"/>
        <v>810.15999999999985</v>
      </c>
      <c r="AV683" s="6">
        <f t="shared" si="329"/>
        <v>2.8652611960666587</v>
      </c>
      <c r="AW683" t="str">
        <f t="shared" si="330"/>
        <v>CLEAN</v>
      </c>
      <c r="AX683" s="10" t="str">
        <f t="shared" si="331"/>
        <v>MATCH</v>
      </c>
      <c r="AY683" t="str">
        <f t="shared" si="332"/>
        <v>MATCH</v>
      </c>
    </row>
    <row r="684" spans="1:51">
      <c r="A684" t="s">
        <v>1883</v>
      </c>
      <c r="B684">
        <f t="shared" si="308"/>
        <v>1</v>
      </c>
      <c r="C684" t="s">
        <v>1884</v>
      </c>
      <c r="D684" s="3">
        <v>45799</v>
      </c>
      <c r="E684" t="str">
        <f t="shared" si="309"/>
        <v>2025/05/22</v>
      </c>
      <c r="F684" t="str">
        <f t="shared" si="318"/>
        <v>May</v>
      </c>
      <c r="G684">
        <f t="shared" si="319"/>
        <v>2025</v>
      </c>
      <c r="H684" t="s">
        <v>1884</v>
      </c>
      <c r="I684" s="4">
        <v>45799</v>
      </c>
      <c r="J684" s="8">
        <f t="shared" si="310"/>
        <v>0</v>
      </c>
      <c r="K684" s="8" t="str">
        <f t="shared" si="320"/>
        <v>OK</v>
      </c>
      <c r="L684" t="s">
        <v>1885</v>
      </c>
      <c r="M684" t="s">
        <v>39</v>
      </c>
      <c r="N684" t="str">
        <f t="shared" si="311"/>
        <v>Mira Das</v>
      </c>
      <c r="O684" t="s">
        <v>25</v>
      </c>
      <c r="P684" t="str">
        <f t="shared" si="333"/>
        <v>Consumer</v>
      </c>
      <c r="Q684" t="s">
        <v>72</v>
      </c>
      <c r="R684" t="str">
        <f t="shared" si="334"/>
        <v>West</v>
      </c>
      <c r="S684" t="str">
        <f t="shared" si="321"/>
        <v>OK</v>
      </c>
      <c r="T684" t="s">
        <v>248</v>
      </c>
      <c r="U684" t="str">
        <f t="shared" si="312"/>
        <v>Goa</v>
      </c>
      <c r="V684" t="s">
        <v>249</v>
      </c>
      <c r="W684" t="str">
        <f t="shared" si="313"/>
        <v>Panaji</v>
      </c>
      <c r="X684" t="str">
        <f t="shared" si="314"/>
        <v>Technology</v>
      </c>
      <c r="Y684" t="s">
        <v>85</v>
      </c>
      <c r="Z684" t="s">
        <v>86</v>
      </c>
      <c r="AA684" t="str">
        <f t="shared" si="315"/>
        <v>Accessories</v>
      </c>
      <c r="AB684" t="s">
        <v>1886</v>
      </c>
      <c r="AC684" t="s">
        <v>66</v>
      </c>
      <c r="AD684" t="str">
        <f t="shared" si="335"/>
        <v>Standard Class</v>
      </c>
      <c r="AE684" t="str">
        <f t="shared" si="322"/>
        <v>OK</v>
      </c>
      <c r="AF684">
        <v>2</v>
      </c>
      <c r="AG684">
        <v>3910.61</v>
      </c>
      <c r="AH684">
        <v>0</v>
      </c>
      <c r="AI684">
        <f t="shared" si="323"/>
        <v>0</v>
      </c>
      <c r="AJ684" t="str">
        <f t="shared" si="324"/>
        <v>OK</v>
      </c>
      <c r="AK684">
        <v>7821.22</v>
      </c>
      <c r="AL684">
        <v>4994.46</v>
      </c>
      <c r="AM684">
        <v>2826.76</v>
      </c>
      <c r="AN684" t="s">
        <v>33</v>
      </c>
      <c r="AO684" t="str">
        <f t="shared" si="316"/>
        <v>PAID</v>
      </c>
      <c r="AP684" t="str">
        <f t="shared" si="325"/>
        <v>OK</v>
      </c>
      <c r="AQ684" t="s">
        <v>34</v>
      </c>
      <c r="AR684" t="str">
        <f t="shared" si="317"/>
        <v>COMPLETED</v>
      </c>
      <c r="AS684" t="str">
        <f t="shared" si="326"/>
        <v>OK</v>
      </c>
      <c r="AT684">
        <f t="shared" si="327"/>
        <v>7821.22</v>
      </c>
      <c r="AU684">
        <f t="shared" si="328"/>
        <v>2826.76</v>
      </c>
      <c r="AV684" s="6">
        <f t="shared" si="329"/>
        <v>5.9552985339883041E-2</v>
      </c>
      <c r="AW684" t="str">
        <f t="shared" si="330"/>
        <v>CLEAN</v>
      </c>
      <c r="AX684" s="10" t="str">
        <f t="shared" si="331"/>
        <v>MATCH</v>
      </c>
      <c r="AY684" t="str">
        <f t="shared" si="332"/>
        <v>MATCH</v>
      </c>
    </row>
    <row r="685" spans="1:51">
      <c r="A685" t="s">
        <v>1896</v>
      </c>
      <c r="B685">
        <f t="shared" si="308"/>
        <v>1</v>
      </c>
      <c r="C685" t="s">
        <v>1897</v>
      </c>
      <c r="D685" s="3">
        <v>45919</v>
      </c>
      <c r="E685" t="str">
        <f t="shared" si="309"/>
        <v>2025/09/19</v>
      </c>
      <c r="F685" t="str">
        <f t="shared" si="318"/>
        <v>September</v>
      </c>
      <c r="G685">
        <f t="shared" si="319"/>
        <v>2025</v>
      </c>
      <c r="H685" t="s">
        <v>1898</v>
      </c>
      <c r="I685" s="4">
        <v>45923</v>
      </c>
      <c r="J685" s="8">
        <f t="shared" si="310"/>
        <v>4</v>
      </c>
      <c r="K685" s="8" t="str">
        <f t="shared" si="320"/>
        <v>OK</v>
      </c>
      <c r="L685" t="s">
        <v>1899</v>
      </c>
      <c r="M685" t="s">
        <v>60</v>
      </c>
      <c r="N685" t="str">
        <f t="shared" si="311"/>
        <v>Arjun Bose</v>
      </c>
      <c r="O685" t="s">
        <v>1900</v>
      </c>
      <c r="P685" t="str">
        <f t="shared" si="333"/>
        <v>Home Office</v>
      </c>
      <c r="Q685" t="s">
        <v>26</v>
      </c>
      <c r="R685" t="str">
        <f t="shared" si="334"/>
        <v>North</v>
      </c>
      <c r="S685" t="str">
        <f t="shared" si="321"/>
        <v>OK</v>
      </c>
      <c r="T685" t="s">
        <v>505</v>
      </c>
      <c r="U685" t="str">
        <f t="shared" si="312"/>
        <v>Delhi</v>
      </c>
      <c r="V685" t="s">
        <v>506</v>
      </c>
      <c r="W685" t="str">
        <f t="shared" si="313"/>
        <v>New Delhi</v>
      </c>
      <c r="X685" t="str">
        <f t="shared" si="314"/>
        <v>Office Supplies</v>
      </c>
      <c r="Y685" t="s">
        <v>29</v>
      </c>
      <c r="Z685" t="s">
        <v>197</v>
      </c>
      <c r="AA685" t="str">
        <f t="shared" si="315"/>
        <v>Binders</v>
      </c>
      <c r="AB685" t="s">
        <v>1901</v>
      </c>
      <c r="AC685" t="s">
        <v>66</v>
      </c>
      <c r="AD685" t="str">
        <f t="shared" si="335"/>
        <v>Standard Class</v>
      </c>
      <c r="AE685" t="str">
        <f t="shared" si="322"/>
        <v>OK</v>
      </c>
      <c r="AF685">
        <v>4</v>
      </c>
      <c r="AG685">
        <v>4387.1499999999996</v>
      </c>
      <c r="AH685">
        <v>0.05</v>
      </c>
      <c r="AI685">
        <f t="shared" si="323"/>
        <v>0.05</v>
      </c>
      <c r="AJ685" t="str">
        <f t="shared" si="324"/>
        <v>OK</v>
      </c>
      <c r="AK685">
        <v>16671.169999999998</v>
      </c>
      <c r="AL685">
        <v>10833.19</v>
      </c>
      <c r="AM685">
        <v>5837.98</v>
      </c>
      <c r="AN685" t="s">
        <v>199</v>
      </c>
      <c r="AO685" t="str">
        <f t="shared" si="316"/>
        <v>FAILED</v>
      </c>
      <c r="AP685" t="str">
        <f t="shared" si="325"/>
        <v>EXCLUDE_FROM_SALES</v>
      </c>
      <c r="AQ685" t="s">
        <v>77</v>
      </c>
      <c r="AR685" t="str">
        <f t="shared" si="317"/>
        <v>CANCELLED</v>
      </c>
      <c r="AS685" t="str">
        <f t="shared" si="326"/>
        <v>EXCLUDE_FROM_SALES</v>
      </c>
      <c r="AT685">
        <f t="shared" si="327"/>
        <v>16671.169999999998</v>
      </c>
      <c r="AU685">
        <f t="shared" si="328"/>
        <v>5837.9799999999977</v>
      </c>
      <c r="AV685" s="6">
        <f t="shared" si="329"/>
        <v>4.168423691918445E-2</v>
      </c>
      <c r="AW685" t="str">
        <f t="shared" si="330"/>
        <v>CLEAN</v>
      </c>
      <c r="AX685" s="10" t="str">
        <f t="shared" si="331"/>
        <v>MATCH</v>
      </c>
      <c r="AY685" t="str">
        <f t="shared" si="332"/>
        <v>MATCH</v>
      </c>
    </row>
    <row r="686" spans="1:51">
      <c r="A686" t="s">
        <v>1902</v>
      </c>
      <c r="B686">
        <f t="shared" si="308"/>
        <v>1</v>
      </c>
      <c r="C686" t="s">
        <v>1903</v>
      </c>
      <c r="D686" s="2">
        <v>45750</v>
      </c>
      <c r="E686" t="str">
        <f t="shared" si="309"/>
        <v>2025/04/03</v>
      </c>
      <c r="F686" t="str">
        <f t="shared" si="318"/>
        <v>April</v>
      </c>
      <c r="G686">
        <f t="shared" si="319"/>
        <v>2025</v>
      </c>
      <c r="H686" t="s">
        <v>554</v>
      </c>
      <c r="I686" s="4">
        <v>45724</v>
      </c>
      <c r="J686" s="8">
        <f t="shared" si="310"/>
        <v>-26</v>
      </c>
      <c r="K686" s="8" t="str">
        <f t="shared" si="320"/>
        <v>INVAILD_SHIPPING</v>
      </c>
      <c r="L686" t="s">
        <v>202</v>
      </c>
      <c r="M686" t="s">
        <v>60</v>
      </c>
      <c r="N686" t="str">
        <f t="shared" si="311"/>
        <v>Arjun Bose</v>
      </c>
      <c r="O686" t="s">
        <v>40</v>
      </c>
      <c r="P686" t="str">
        <f t="shared" si="333"/>
        <v>Small Business</v>
      </c>
      <c r="Q686" t="s">
        <v>41</v>
      </c>
      <c r="R686" t="str">
        <f t="shared" si="334"/>
        <v>East</v>
      </c>
      <c r="S686" t="str">
        <f t="shared" si="321"/>
        <v>OK</v>
      </c>
      <c r="T686" t="s">
        <v>185</v>
      </c>
      <c r="U686" t="str">
        <f t="shared" si="312"/>
        <v>Bihar</v>
      </c>
      <c r="V686" t="s">
        <v>186</v>
      </c>
      <c r="W686" t="str">
        <f t="shared" si="313"/>
        <v>Patna</v>
      </c>
      <c r="X686" t="str">
        <f t="shared" si="314"/>
        <v>Technology</v>
      </c>
      <c r="Y686" t="s">
        <v>1904</v>
      </c>
      <c r="Z686" t="s">
        <v>222</v>
      </c>
      <c r="AA686" t="str">
        <f t="shared" si="315"/>
        <v>Phones</v>
      </c>
      <c r="AB686" t="s">
        <v>1905</v>
      </c>
      <c r="AC686" t="s">
        <v>55</v>
      </c>
      <c r="AD686" t="str">
        <f t="shared" si="335"/>
        <v>First Class</v>
      </c>
      <c r="AE686" t="str">
        <f t="shared" si="322"/>
        <v>OK</v>
      </c>
      <c r="AF686">
        <v>3</v>
      </c>
      <c r="AG686">
        <v>4361.8500000000004</v>
      </c>
      <c r="AH686">
        <v>0.2</v>
      </c>
      <c r="AI686">
        <f t="shared" si="323"/>
        <v>0.2</v>
      </c>
      <c r="AJ686" t="str">
        <f t="shared" si="324"/>
        <v>OK</v>
      </c>
      <c r="AK686">
        <v>10468.44</v>
      </c>
      <c r="AL686">
        <v>8399.8700000000008</v>
      </c>
      <c r="AM686">
        <v>2068.5700000000002</v>
      </c>
      <c r="AN686" t="s">
        <v>33</v>
      </c>
      <c r="AO686" t="str">
        <f t="shared" si="316"/>
        <v>PAID</v>
      </c>
      <c r="AP686" t="str">
        <f t="shared" si="325"/>
        <v>OK</v>
      </c>
      <c r="AQ686" t="s">
        <v>34</v>
      </c>
      <c r="AR686" t="str">
        <f t="shared" si="317"/>
        <v>COMPLETED</v>
      </c>
      <c r="AS686" t="str">
        <f t="shared" si="326"/>
        <v>OK</v>
      </c>
      <c r="AT686">
        <f t="shared" si="327"/>
        <v>10468.440000000002</v>
      </c>
      <c r="AU686">
        <f t="shared" si="328"/>
        <v>2068.5700000000015</v>
      </c>
      <c r="AV686" s="6">
        <f t="shared" si="329"/>
        <v>7.4735108573961387E-2</v>
      </c>
      <c r="AW686" t="str">
        <f t="shared" si="330"/>
        <v>CLEAN</v>
      </c>
      <c r="AX686" s="10" t="str">
        <f t="shared" si="331"/>
        <v>MATCH</v>
      </c>
      <c r="AY686" t="str">
        <f t="shared" si="332"/>
        <v>MATCH</v>
      </c>
    </row>
    <row r="687" spans="1:51">
      <c r="A687" t="s">
        <v>1906</v>
      </c>
      <c r="B687">
        <f t="shared" si="308"/>
        <v>1</v>
      </c>
      <c r="C687" t="s">
        <v>1516</v>
      </c>
      <c r="D687" s="2">
        <v>45836</v>
      </c>
      <c r="E687" t="str">
        <f t="shared" si="309"/>
        <v>2025/06/28</v>
      </c>
      <c r="F687" t="str">
        <f t="shared" si="318"/>
        <v>June</v>
      </c>
      <c r="G687">
        <f t="shared" si="319"/>
        <v>2025</v>
      </c>
      <c r="H687" t="s">
        <v>1074</v>
      </c>
      <c r="I687" s="4">
        <v>45843</v>
      </c>
      <c r="J687" s="8">
        <f t="shared" si="310"/>
        <v>7</v>
      </c>
      <c r="K687" s="8" t="str">
        <f t="shared" si="320"/>
        <v>OK</v>
      </c>
      <c r="L687" t="s">
        <v>1907</v>
      </c>
      <c r="M687" t="s">
        <v>82</v>
      </c>
      <c r="N687" t="str">
        <f t="shared" si="311"/>
        <v>Vikram Iyer</v>
      </c>
      <c r="O687" t="s">
        <v>107</v>
      </c>
      <c r="P687" t="str">
        <f t="shared" si="333"/>
        <v>Corporate</v>
      </c>
      <c r="Q687" t="s">
        <v>41</v>
      </c>
      <c r="R687" t="str">
        <f t="shared" si="334"/>
        <v>East</v>
      </c>
      <c r="S687" t="str">
        <f t="shared" si="321"/>
        <v>OK</v>
      </c>
      <c r="T687" t="s">
        <v>120</v>
      </c>
      <c r="U687" t="str">
        <f t="shared" si="312"/>
        <v>West Bengal</v>
      </c>
      <c r="V687" t="s">
        <v>121</v>
      </c>
      <c r="W687" t="str">
        <f t="shared" si="313"/>
        <v>Kolkata</v>
      </c>
      <c r="X687" t="str">
        <f t="shared" si="314"/>
        <v>Office Supplies</v>
      </c>
      <c r="Y687" t="s">
        <v>29</v>
      </c>
      <c r="Z687" t="s">
        <v>53</v>
      </c>
      <c r="AA687" t="str">
        <f t="shared" si="315"/>
        <v>Art</v>
      </c>
      <c r="AB687" t="s">
        <v>1908</v>
      </c>
      <c r="AC687" t="s">
        <v>55</v>
      </c>
      <c r="AD687" t="str">
        <f t="shared" si="335"/>
        <v>First Class</v>
      </c>
      <c r="AE687" t="str">
        <f t="shared" si="322"/>
        <v>OK</v>
      </c>
      <c r="AF687">
        <v>2</v>
      </c>
      <c r="AG687">
        <v>2242.75</v>
      </c>
      <c r="AH687">
        <v>0</v>
      </c>
      <c r="AI687">
        <f t="shared" si="323"/>
        <v>0</v>
      </c>
      <c r="AJ687" t="str">
        <f t="shared" si="324"/>
        <v>OK</v>
      </c>
      <c r="AK687">
        <v>4485.5</v>
      </c>
      <c r="AL687">
        <v>3131.86</v>
      </c>
      <c r="AM687">
        <v>1353.64</v>
      </c>
      <c r="AN687" t="s">
        <v>33</v>
      </c>
      <c r="AO687" t="str">
        <f t="shared" si="316"/>
        <v>PAID</v>
      </c>
      <c r="AP687" t="str">
        <f t="shared" si="325"/>
        <v>OK</v>
      </c>
      <c r="AQ687" t="s">
        <v>77</v>
      </c>
      <c r="AR687" t="str">
        <f t="shared" si="317"/>
        <v>CANCELLED</v>
      </c>
      <c r="AS687" t="str">
        <f t="shared" si="326"/>
        <v>EXCLUDE_FROM_SALES</v>
      </c>
      <c r="AT687">
        <f t="shared" si="327"/>
        <v>4485.5</v>
      </c>
      <c r="AU687">
        <f t="shared" si="328"/>
        <v>1353.6399999999999</v>
      </c>
      <c r="AV687" s="6">
        <f t="shared" si="329"/>
        <v>0.316708839594248</v>
      </c>
      <c r="AW687" t="str">
        <f t="shared" si="330"/>
        <v>CLEAN</v>
      </c>
      <c r="AX687" s="10" t="str">
        <f t="shared" si="331"/>
        <v>MATCH</v>
      </c>
      <c r="AY687" t="str">
        <f t="shared" si="332"/>
        <v>MATCH</v>
      </c>
    </row>
    <row r="688" spans="1:51">
      <c r="A688" t="s">
        <v>1914</v>
      </c>
      <c r="B688">
        <f t="shared" si="308"/>
        <v>1</v>
      </c>
      <c r="C688" t="s">
        <v>995</v>
      </c>
      <c r="D688" s="3">
        <v>45832</v>
      </c>
      <c r="E688" t="str">
        <f t="shared" si="309"/>
        <v>2025/06/24</v>
      </c>
      <c r="F688" t="str">
        <f t="shared" si="318"/>
        <v>June</v>
      </c>
      <c r="G688">
        <f t="shared" si="319"/>
        <v>2025</v>
      </c>
      <c r="H688" t="s">
        <v>1915</v>
      </c>
      <c r="I688" s="4">
        <v>45838</v>
      </c>
      <c r="J688" s="8">
        <f t="shared" si="310"/>
        <v>6</v>
      </c>
      <c r="K688" s="8" t="str">
        <f t="shared" si="320"/>
        <v>OK</v>
      </c>
      <c r="L688" t="s">
        <v>1916</v>
      </c>
      <c r="M688" t="s">
        <v>60</v>
      </c>
      <c r="N688" t="str">
        <f t="shared" si="311"/>
        <v>Arjun Bose</v>
      </c>
      <c r="O688" t="s">
        <v>25</v>
      </c>
      <c r="P688" t="str">
        <f t="shared" si="333"/>
        <v>Consumer</v>
      </c>
      <c r="Q688" t="s">
        <v>26</v>
      </c>
      <c r="R688" t="str">
        <f t="shared" si="334"/>
        <v>North</v>
      </c>
      <c r="S688" t="str">
        <f t="shared" si="321"/>
        <v>OK</v>
      </c>
      <c r="T688" t="s">
        <v>322</v>
      </c>
      <c r="U688" t="str">
        <f t="shared" si="312"/>
        <v>Haryana</v>
      </c>
      <c r="V688" t="s">
        <v>323</v>
      </c>
      <c r="W688" t="str">
        <f t="shared" si="313"/>
        <v>Gurugram</v>
      </c>
      <c r="X688" t="str">
        <f t="shared" si="314"/>
        <v>Office Supplies</v>
      </c>
      <c r="Y688" t="s">
        <v>29</v>
      </c>
      <c r="Z688" t="s">
        <v>108</v>
      </c>
      <c r="AA688" t="str">
        <f t="shared" si="315"/>
        <v>Labels</v>
      </c>
      <c r="AB688" t="s">
        <v>1917</v>
      </c>
      <c r="AC688" t="s">
        <v>66</v>
      </c>
      <c r="AD688" t="str">
        <f t="shared" si="335"/>
        <v>Standard Class</v>
      </c>
      <c r="AE688" t="str">
        <f t="shared" si="322"/>
        <v>OK</v>
      </c>
      <c r="AF688">
        <v>6</v>
      </c>
      <c r="AG688">
        <v>365.76</v>
      </c>
      <c r="AH688">
        <v>0.1</v>
      </c>
      <c r="AI688">
        <f t="shared" si="323"/>
        <v>0.1</v>
      </c>
      <c r="AJ688" t="str">
        <f t="shared" si="324"/>
        <v>OK</v>
      </c>
      <c r="AK688">
        <v>1975.1</v>
      </c>
      <c r="AL688">
        <v>1115.3499999999999</v>
      </c>
      <c r="AM688">
        <v>859.75</v>
      </c>
      <c r="AN688" t="s">
        <v>33</v>
      </c>
      <c r="AO688" t="str">
        <f t="shared" si="316"/>
        <v>PAID</v>
      </c>
      <c r="AP688" t="str">
        <f t="shared" si="325"/>
        <v>OK</v>
      </c>
      <c r="AQ688" t="s">
        <v>34</v>
      </c>
      <c r="AR688" t="str">
        <f t="shared" si="317"/>
        <v>COMPLETED</v>
      </c>
      <c r="AS688" t="str">
        <f t="shared" si="326"/>
        <v>OK</v>
      </c>
      <c r="AT688">
        <f t="shared" si="327"/>
        <v>1975.104</v>
      </c>
      <c r="AU688">
        <f t="shared" si="328"/>
        <v>859.75400000000013</v>
      </c>
      <c r="AV688" s="6">
        <f t="shared" si="329"/>
        <v>4.4679723194322927</v>
      </c>
      <c r="AW688" t="str">
        <f t="shared" si="330"/>
        <v>CLEAN</v>
      </c>
      <c r="AX688" s="10" t="str">
        <f t="shared" si="331"/>
        <v>MATCH</v>
      </c>
      <c r="AY688" t="str">
        <f t="shared" si="332"/>
        <v>MATCH</v>
      </c>
    </row>
    <row r="689" spans="1:51">
      <c r="A689" t="s">
        <v>1918</v>
      </c>
      <c r="B689">
        <f t="shared" si="308"/>
        <v>1</v>
      </c>
      <c r="C689" t="s">
        <v>1396</v>
      </c>
      <c r="D689" s="3">
        <v>45993</v>
      </c>
      <c r="E689" t="str">
        <f t="shared" si="309"/>
        <v>2025/12/02</v>
      </c>
      <c r="F689" t="str">
        <f t="shared" si="318"/>
        <v>December</v>
      </c>
      <c r="G689">
        <f t="shared" si="319"/>
        <v>2025</v>
      </c>
      <c r="H689" t="s">
        <v>1919</v>
      </c>
      <c r="I689" s="4">
        <v>45702</v>
      </c>
      <c r="J689" s="8">
        <f t="shared" si="310"/>
        <v>-291</v>
      </c>
      <c r="K689" s="8" t="str">
        <f t="shared" si="320"/>
        <v>INVAILD_SHIPPING</v>
      </c>
      <c r="L689" t="s">
        <v>1920</v>
      </c>
      <c r="M689" t="s">
        <v>167</v>
      </c>
      <c r="N689" t="str">
        <f t="shared" si="311"/>
        <v>Sneha Kapoor</v>
      </c>
      <c r="O689" t="s">
        <v>25</v>
      </c>
      <c r="P689" t="str">
        <f t="shared" si="333"/>
        <v>Consumer</v>
      </c>
      <c r="Q689" t="s">
        <v>72</v>
      </c>
      <c r="R689" t="str">
        <f t="shared" si="334"/>
        <v>West</v>
      </c>
      <c r="S689" t="str">
        <f t="shared" si="321"/>
        <v>OK</v>
      </c>
      <c r="T689" t="s">
        <v>73</v>
      </c>
      <c r="U689" t="str">
        <f t="shared" si="312"/>
        <v>Maharashtra</v>
      </c>
      <c r="V689" t="s">
        <v>74</v>
      </c>
      <c r="W689" t="str">
        <f t="shared" si="313"/>
        <v>Mumbai</v>
      </c>
      <c r="X689" t="str">
        <f t="shared" si="314"/>
        <v>Furniture</v>
      </c>
      <c r="Y689" t="s">
        <v>44</v>
      </c>
      <c r="Z689" t="s">
        <v>64</v>
      </c>
      <c r="AA689" t="str">
        <f t="shared" si="315"/>
        <v>Furnishings</v>
      </c>
      <c r="AB689" t="s">
        <v>1921</v>
      </c>
      <c r="AC689" t="s">
        <v>32</v>
      </c>
      <c r="AD689" t="str">
        <f t="shared" si="335"/>
        <v>Second Class</v>
      </c>
      <c r="AE689" t="str">
        <f t="shared" si="322"/>
        <v>OK</v>
      </c>
      <c r="AF689">
        <v>8</v>
      </c>
      <c r="AG689">
        <v>2786.66</v>
      </c>
      <c r="AH689">
        <v>0.1</v>
      </c>
      <c r="AI689">
        <f t="shared" si="323"/>
        <v>0.1</v>
      </c>
      <c r="AJ689" t="str">
        <f t="shared" si="324"/>
        <v>OK</v>
      </c>
      <c r="AK689">
        <v>20063.95</v>
      </c>
      <c r="AL689">
        <v>14363.38</v>
      </c>
      <c r="AM689">
        <v>5700.57</v>
      </c>
      <c r="AN689" t="s">
        <v>33</v>
      </c>
      <c r="AO689" t="str">
        <f t="shared" si="316"/>
        <v>PAID</v>
      </c>
      <c r="AP689" t="str">
        <f t="shared" si="325"/>
        <v>OK</v>
      </c>
      <c r="AQ689" t="s">
        <v>34</v>
      </c>
      <c r="AR689" t="str">
        <f t="shared" si="317"/>
        <v>COMPLETED</v>
      </c>
      <c r="AS689" t="str">
        <f t="shared" si="326"/>
        <v>OK</v>
      </c>
      <c r="AT689">
        <f t="shared" si="327"/>
        <v>20063.952000000001</v>
      </c>
      <c r="AU689">
        <f t="shared" si="328"/>
        <v>5700.5720000000019</v>
      </c>
      <c r="AV689" s="6">
        <f t="shared" si="329"/>
        <v>3.7513297479978017E-2</v>
      </c>
      <c r="AW689" t="str">
        <f t="shared" si="330"/>
        <v>CLEAN</v>
      </c>
      <c r="AX689" s="10" t="str">
        <f t="shared" si="331"/>
        <v>MATCH</v>
      </c>
      <c r="AY689" t="str">
        <f t="shared" si="332"/>
        <v>MATCH</v>
      </c>
    </row>
    <row r="690" spans="1:51">
      <c r="A690" t="s">
        <v>1922</v>
      </c>
      <c r="B690">
        <f t="shared" si="308"/>
        <v>1</v>
      </c>
      <c r="C690" t="s">
        <v>943</v>
      </c>
      <c r="D690" s="3">
        <v>45879</v>
      </c>
      <c r="E690" t="str">
        <f t="shared" si="309"/>
        <v>2025/08/10</v>
      </c>
      <c r="F690" t="str">
        <f t="shared" si="318"/>
        <v>August</v>
      </c>
      <c r="G690">
        <f t="shared" si="319"/>
        <v>2025</v>
      </c>
      <c r="H690" t="s">
        <v>1117</v>
      </c>
      <c r="I690" s="4">
        <v>45882</v>
      </c>
      <c r="J690" s="8">
        <f t="shared" si="310"/>
        <v>3</v>
      </c>
      <c r="K690" s="8" t="str">
        <f t="shared" si="320"/>
        <v>OK</v>
      </c>
      <c r="L690" t="s">
        <v>1923</v>
      </c>
      <c r="M690" t="s">
        <v>141</v>
      </c>
      <c r="N690" t="str">
        <f t="shared" si="311"/>
        <v>Priya Menon</v>
      </c>
      <c r="O690" t="s">
        <v>40</v>
      </c>
      <c r="P690" t="str">
        <f t="shared" si="333"/>
        <v>Small Business</v>
      </c>
      <c r="Q690" t="s">
        <v>72</v>
      </c>
      <c r="R690" t="str">
        <f t="shared" ref="R690:R708" si="336">PROPER(TRIM(SUBSTITUTE(Q690,CHAR(160)," ")))</f>
        <v>West</v>
      </c>
      <c r="S690" t="str">
        <f t="shared" si="321"/>
        <v>OK</v>
      </c>
      <c r="T690" t="s">
        <v>83</v>
      </c>
      <c r="U690" t="str">
        <f t="shared" si="312"/>
        <v>Madhya Pradesh</v>
      </c>
      <c r="V690" t="s">
        <v>84</v>
      </c>
      <c r="W690" t="str">
        <f t="shared" si="313"/>
        <v>Indore</v>
      </c>
      <c r="X690" t="str">
        <f t="shared" si="314"/>
        <v>Furniture</v>
      </c>
      <c r="Y690" t="s">
        <v>44</v>
      </c>
      <c r="Z690" t="s">
        <v>75</v>
      </c>
      <c r="AA690" t="str">
        <f t="shared" si="315"/>
        <v>Chairs</v>
      </c>
      <c r="AB690" t="s">
        <v>1924</v>
      </c>
      <c r="AC690" t="s">
        <v>66</v>
      </c>
      <c r="AD690" t="str">
        <f t="shared" si="335"/>
        <v>Standard Class</v>
      </c>
      <c r="AE690" t="str">
        <f t="shared" si="322"/>
        <v>OK</v>
      </c>
      <c r="AF690">
        <v>5</v>
      </c>
      <c r="AG690">
        <v>352.86</v>
      </c>
      <c r="AH690">
        <v>0</v>
      </c>
      <c r="AI690">
        <f t="shared" si="323"/>
        <v>0</v>
      </c>
      <c r="AJ690" t="str">
        <f t="shared" si="324"/>
        <v>OK</v>
      </c>
      <c r="AK690">
        <v>1764.3</v>
      </c>
      <c r="AL690">
        <v>1332.49</v>
      </c>
      <c r="AM690">
        <v>431.81</v>
      </c>
      <c r="AN690" t="s">
        <v>136</v>
      </c>
      <c r="AO690" t="str">
        <f t="shared" si="316"/>
        <v>PENDING</v>
      </c>
      <c r="AP690" t="str">
        <f t="shared" si="325"/>
        <v>OK</v>
      </c>
      <c r="AQ690" t="s">
        <v>77</v>
      </c>
      <c r="AR690" t="str">
        <f t="shared" si="317"/>
        <v>CANCELLED</v>
      </c>
      <c r="AS690" t="str">
        <f t="shared" si="326"/>
        <v>EXCLUDE_FROM_SALES</v>
      </c>
      <c r="AT690">
        <f t="shared" si="327"/>
        <v>1764.3000000000002</v>
      </c>
      <c r="AU690">
        <f t="shared" si="328"/>
        <v>431.81000000000017</v>
      </c>
      <c r="AV690" s="6">
        <f t="shared" si="329"/>
        <v>2.1629654820608732</v>
      </c>
      <c r="AW690" t="str">
        <f t="shared" si="330"/>
        <v>CLEAN</v>
      </c>
      <c r="AX690" s="10" t="str">
        <f t="shared" si="331"/>
        <v>MATCH</v>
      </c>
      <c r="AY690" t="str">
        <f t="shared" si="332"/>
        <v>MATCH</v>
      </c>
    </row>
    <row r="691" spans="1:51">
      <c r="A691" t="s">
        <v>1938</v>
      </c>
      <c r="B691">
        <f t="shared" si="308"/>
        <v>1</v>
      </c>
      <c r="C691" t="s">
        <v>1919</v>
      </c>
      <c r="D691" s="3">
        <v>45702</v>
      </c>
      <c r="E691" t="str">
        <f t="shared" si="309"/>
        <v>2025/02/14</v>
      </c>
      <c r="F691" t="str">
        <f t="shared" si="318"/>
        <v>February</v>
      </c>
      <c r="G691">
        <f t="shared" si="319"/>
        <v>2025</v>
      </c>
      <c r="H691" t="s">
        <v>1939</v>
      </c>
      <c r="I691" s="4">
        <v>45702</v>
      </c>
      <c r="J691" s="8">
        <f t="shared" si="310"/>
        <v>0</v>
      </c>
      <c r="K691" s="8" t="str">
        <f t="shared" si="320"/>
        <v>OK</v>
      </c>
      <c r="L691" t="s">
        <v>1940</v>
      </c>
      <c r="M691" t="s">
        <v>209</v>
      </c>
      <c r="N691" t="str">
        <f t="shared" si="311"/>
        <v>Diya Patel</v>
      </c>
      <c r="O691" t="s">
        <v>25</v>
      </c>
      <c r="P691" t="str">
        <f t="shared" si="333"/>
        <v>Consumer</v>
      </c>
      <c r="Q691" t="s">
        <v>61</v>
      </c>
      <c r="R691" t="str">
        <f t="shared" si="336"/>
        <v>South</v>
      </c>
      <c r="S691" t="str">
        <f t="shared" si="321"/>
        <v>OK</v>
      </c>
      <c r="T691" t="s">
        <v>228</v>
      </c>
      <c r="U691" t="str">
        <f t="shared" si="312"/>
        <v>Karnataka</v>
      </c>
      <c r="V691" t="s">
        <v>229</v>
      </c>
      <c r="W691" t="str">
        <f t="shared" si="313"/>
        <v>Bengaluru</v>
      </c>
      <c r="X691" t="str">
        <f t="shared" si="314"/>
        <v>Office Supplies</v>
      </c>
      <c r="Y691" t="s">
        <v>29</v>
      </c>
      <c r="Z691" t="s">
        <v>155</v>
      </c>
      <c r="AA691" t="str">
        <f t="shared" si="315"/>
        <v>Storage</v>
      </c>
      <c r="AB691" t="s">
        <v>1941</v>
      </c>
      <c r="AC691" t="s">
        <v>55</v>
      </c>
      <c r="AD691" t="str">
        <f t="shared" si="335"/>
        <v>First Class</v>
      </c>
      <c r="AE691" t="str">
        <f t="shared" si="322"/>
        <v>OK</v>
      </c>
      <c r="AF691">
        <v>1</v>
      </c>
      <c r="AG691">
        <v>714.43</v>
      </c>
      <c r="AH691">
        <v>0</v>
      </c>
      <c r="AI691">
        <f t="shared" si="323"/>
        <v>0</v>
      </c>
      <c r="AJ691" t="str">
        <f t="shared" si="324"/>
        <v>OK</v>
      </c>
      <c r="AK691">
        <v>714.43</v>
      </c>
      <c r="AL691">
        <v>565.44000000000005</v>
      </c>
      <c r="AM691">
        <v>148.99</v>
      </c>
      <c r="AN691" t="s">
        <v>33</v>
      </c>
      <c r="AO691" t="str">
        <f t="shared" si="316"/>
        <v>PAID</v>
      </c>
      <c r="AP691" t="str">
        <f t="shared" si="325"/>
        <v>OK</v>
      </c>
      <c r="AQ691" t="s">
        <v>34</v>
      </c>
      <c r="AR691" t="str">
        <f t="shared" si="317"/>
        <v>COMPLETED</v>
      </c>
      <c r="AS691" t="str">
        <f t="shared" si="326"/>
        <v>OK</v>
      </c>
      <c r="AT691">
        <f t="shared" si="327"/>
        <v>714.43</v>
      </c>
      <c r="AU691">
        <f t="shared" si="328"/>
        <v>148.9899999999999</v>
      </c>
      <c r="AV691" s="6">
        <f t="shared" si="329"/>
        <v>1.6733059921895772</v>
      </c>
      <c r="AW691" t="str">
        <f t="shared" si="330"/>
        <v>CLEAN</v>
      </c>
      <c r="AX691" s="10" t="str">
        <f t="shared" si="331"/>
        <v>MATCH</v>
      </c>
      <c r="AY691" t="str">
        <f t="shared" si="332"/>
        <v>MATCH</v>
      </c>
    </row>
    <row r="692" spans="1:51">
      <c r="A692" t="s">
        <v>1960</v>
      </c>
      <c r="B692">
        <f t="shared" si="308"/>
        <v>1</v>
      </c>
      <c r="C692" t="s">
        <v>1961</v>
      </c>
      <c r="D692" s="3">
        <v>45761</v>
      </c>
      <c r="E692" t="str">
        <f t="shared" si="309"/>
        <v>2025/04/14</v>
      </c>
      <c r="F692" t="str">
        <f t="shared" si="318"/>
        <v>April</v>
      </c>
      <c r="G692">
        <f t="shared" si="319"/>
        <v>2025</v>
      </c>
      <c r="H692" t="s">
        <v>1962</v>
      </c>
      <c r="I692" s="4">
        <v>45769</v>
      </c>
      <c r="J692" s="8">
        <f t="shared" si="310"/>
        <v>8</v>
      </c>
      <c r="K692" s="8" t="str">
        <f t="shared" si="320"/>
        <v>OK</v>
      </c>
      <c r="L692" t="s">
        <v>1963</v>
      </c>
      <c r="M692" t="s">
        <v>106</v>
      </c>
      <c r="N692" t="str">
        <f t="shared" si="311"/>
        <v>Aditi Sen</v>
      </c>
      <c r="O692" t="s">
        <v>40</v>
      </c>
      <c r="P692" t="str">
        <f t="shared" si="333"/>
        <v>Small Business</v>
      </c>
      <c r="Q692" t="s">
        <v>61</v>
      </c>
      <c r="R692" t="str">
        <f t="shared" si="336"/>
        <v>South</v>
      </c>
      <c r="S692" t="str">
        <f t="shared" si="321"/>
        <v>OK</v>
      </c>
      <c r="T692" t="s">
        <v>228</v>
      </c>
      <c r="U692" t="str">
        <f t="shared" si="312"/>
        <v>Karnataka</v>
      </c>
      <c r="V692" t="s">
        <v>229</v>
      </c>
      <c r="W692" t="str">
        <f t="shared" si="313"/>
        <v>Bengaluru</v>
      </c>
      <c r="X692" t="str">
        <f t="shared" si="314"/>
        <v>Technology</v>
      </c>
      <c r="Y692" t="s">
        <v>85</v>
      </c>
      <c r="Z692" t="s">
        <v>381</v>
      </c>
      <c r="AA692" t="str">
        <f t="shared" si="315"/>
        <v>Machines</v>
      </c>
      <c r="AB692" t="s">
        <v>1964</v>
      </c>
      <c r="AC692" t="s">
        <v>66</v>
      </c>
      <c r="AD692" t="str">
        <f t="shared" si="335"/>
        <v>Standard Class</v>
      </c>
      <c r="AE692" t="str">
        <f t="shared" si="322"/>
        <v>OK</v>
      </c>
      <c r="AF692">
        <v>2</v>
      </c>
      <c r="AG692">
        <v>638.73</v>
      </c>
      <c r="AH692">
        <v>0.05</v>
      </c>
      <c r="AI692">
        <f t="shared" si="323"/>
        <v>0.05</v>
      </c>
      <c r="AJ692" t="str">
        <f t="shared" si="324"/>
        <v>OK</v>
      </c>
      <c r="AK692">
        <v>1213.5899999999999</v>
      </c>
      <c r="AL692">
        <v>956.22</v>
      </c>
      <c r="AM692">
        <v>257.37</v>
      </c>
      <c r="AN692" t="s">
        <v>33</v>
      </c>
      <c r="AO692" t="str">
        <f t="shared" si="316"/>
        <v>PAID</v>
      </c>
      <c r="AP692" t="str">
        <f t="shared" si="325"/>
        <v>OK</v>
      </c>
      <c r="AQ692" t="s">
        <v>34</v>
      </c>
      <c r="AR692" t="str">
        <f t="shared" si="317"/>
        <v>COMPLETED</v>
      </c>
      <c r="AS692" t="str">
        <f t="shared" si="326"/>
        <v>OK</v>
      </c>
      <c r="AT692">
        <f t="shared" si="327"/>
        <v>1213.587</v>
      </c>
      <c r="AU692">
        <f t="shared" si="328"/>
        <v>257.36699999999996</v>
      </c>
      <c r="AV692" s="6">
        <f t="shared" si="329"/>
        <v>0.33589145236394252</v>
      </c>
      <c r="AW692" t="str">
        <f t="shared" si="330"/>
        <v>CLEAN</v>
      </c>
      <c r="AX692" s="10" t="str">
        <f t="shared" si="331"/>
        <v>MATCH</v>
      </c>
      <c r="AY692" t="str">
        <f t="shared" si="332"/>
        <v>MATCH</v>
      </c>
    </row>
    <row r="693" spans="1:51">
      <c r="A693" t="s">
        <v>1965</v>
      </c>
      <c r="B693">
        <f t="shared" si="308"/>
        <v>1</v>
      </c>
      <c r="C693" t="s">
        <v>1966</v>
      </c>
      <c r="D693" s="2">
        <v>45906</v>
      </c>
      <c r="E693" t="str">
        <f t="shared" si="309"/>
        <v>2025/09/06</v>
      </c>
      <c r="F693" t="str">
        <f t="shared" si="318"/>
        <v>September</v>
      </c>
      <c r="G693">
        <f t="shared" si="319"/>
        <v>2025</v>
      </c>
      <c r="H693" t="s">
        <v>1967</v>
      </c>
      <c r="I693" s="4">
        <v>45818</v>
      </c>
      <c r="J693" s="8">
        <f t="shared" si="310"/>
        <v>-88</v>
      </c>
      <c r="K693" s="8" t="str">
        <f t="shared" si="320"/>
        <v>INVAILD_SHIPPING</v>
      </c>
      <c r="L693" t="s">
        <v>1968</v>
      </c>
      <c r="M693" t="s">
        <v>167</v>
      </c>
      <c r="N693" t="str">
        <f t="shared" si="311"/>
        <v>Sneha Kapoor</v>
      </c>
      <c r="O693" t="s">
        <v>40</v>
      </c>
      <c r="P693" t="str">
        <f t="shared" si="333"/>
        <v>Small Business</v>
      </c>
      <c r="Q693" t="s">
        <v>26</v>
      </c>
      <c r="R693" t="str">
        <f t="shared" si="336"/>
        <v>North</v>
      </c>
      <c r="S693" t="str">
        <f t="shared" si="321"/>
        <v>OK</v>
      </c>
      <c r="T693" t="s">
        <v>173</v>
      </c>
      <c r="U693" t="str">
        <f t="shared" si="312"/>
        <v>Uttar Pradesh</v>
      </c>
      <c r="V693" t="s">
        <v>174</v>
      </c>
      <c r="W693" t="str">
        <f t="shared" si="313"/>
        <v>Noida</v>
      </c>
      <c r="X693" t="str">
        <f t="shared" si="314"/>
        <v>Furniture</v>
      </c>
      <c r="Y693" t="s">
        <v>44</v>
      </c>
      <c r="Z693" t="s">
        <v>45</v>
      </c>
      <c r="AA693" t="str">
        <f t="shared" si="315"/>
        <v>Tables</v>
      </c>
      <c r="AB693" t="s">
        <v>1969</v>
      </c>
      <c r="AC693" t="s">
        <v>32</v>
      </c>
      <c r="AD693" t="str">
        <f t="shared" si="335"/>
        <v>Second Class</v>
      </c>
      <c r="AE693" t="str">
        <f t="shared" si="322"/>
        <v>OK</v>
      </c>
      <c r="AF693">
        <v>2</v>
      </c>
      <c r="AG693">
        <v>1731.88</v>
      </c>
      <c r="AH693">
        <v>0</v>
      </c>
      <c r="AI693">
        <f t="shared" si="323"/>
        <v>0</v>
      </c>
      <c r="AJ693" t="str">
        <f t="shared" si="324"/>
        <v>OK</v>
      </c>
      <c r="AK693">
        <v>3463.76</v>
      </c>
      <c r="AL693">
        <v>2143.7399999999998</v>
      </c>
      <c r="AM693">
        <v>1320.02</v>
      </c>
      <c r="AN693" t="s">
        <v>33</v>
      </c>
      <c r="AO693" t="str">
        <f t="shared" si="316"/>
        <v>PAID</v>
      </c>
      <c r="AP693" t="str">
        <f t="shared" si="325"/>
        <v>OK</v>
      </c>
      <c r="AQ693" t="s">
        <v>34</v>
      </c>
      <c r="AR693" t="str">
        <f t="shared" si="317"/>
        <v>COMPLETED</v>
      </c>
      <c r="AS693" t="str">
        <f t="shared" si="326"/>
        <v>OK</v>
      </c>
      <c r="AT693">
        <f t="shared" si="327"/>
        <v>3463.76</v>
      </c>
      <c r="AU693">
        <f t="shared" si="328"/>
        <v>1320.0200000000004</v>
      </c>
      <c r="AV693" s="6">
        <f t="shared" si="329"/>
        <v>0.12978266392590704</v>
      </c>
      <c r="AW693" t="str">
        <f t="shared" si="330"/>
        <v>CLEAN</v>
      </c>
      <c r="AX693" s="10" t="str">
        <f t="shared" si="331"/>
        <v>MATCH</v>
      </c>
      <c r="AY693" t="str">
        <f t="shared" si="332"/>
        <v>MATCH</v>
      </c>
    </row>
    <row r="694" spans="1:51">
      <c r="A694" t="s">
        <v>1975</v>
      </c>
      <c r="B694">
        <f t="shared" si="308"/>
        <v>2</v>
      </c>
      <c r="C694" t="s">
        <v>1976</v>
      </c>
      <c r="D694" s="3">
        <v>45771</v>
      </c>
      <c r="E694" t="str">
        <f t="shared" si="309"/>
        <v>2025/04/24</v>
      </c>
      <c r="F694" t="str">
        <f t="shared" si="318"/>
        <v>April</v>
      </c>
      <c r="G694">
        <f t="shared" si="319"/>
        <v>2025</v>
      </c>
      <c r="H694" t="s">
        <v>1977</v>
      </c>
      <c r="I694" s="4">
        <v>45776</v>
      </c>
      <c r="J694" s="8">
        <f t="shared" si="310"/>
        <v>5</v>
      </c>
      <c r="K694" s="8" t="str">
        <f t="shared" si="320"/>
        <v>OK</v>
      </c>
      <c r="L694" t="s">
        <v>1978</v>
      </c>
      <c r="M694" t="s">
        <v>209</v>
      </c>
      <c r="N694" t="str">
        <f t="shared" si="311"/>
        <v>Diya Patel</v>
      </c>
      <c r="O694" t="s">
        <v>40</v>
      </c>
      <c r="P694" t="str">
        <f t="shared" si="333"/>
        <v>Small Business</v>
      </c>
      <c r="Q694" t="s">
        <v>61</v>
      </c>
      <c r="R694" t="str">
        <f t="shared" si="336"/>
        <v>South</v>
      </c>
      <c r="S694" t="str">
        <f t="shared" si="321"/>
        <v>OK</v>
      </c>
      <c r="T694" t="s">
        <v>99</v>
      </c>
      <c r="U694" t="str">
        <f t="shared" si="312"/>
        <v>Andhra Pradesh</v>
      </c>
      <c r="V694" t="s">
        <v>100</v>
      </c>
      <c r="W694" t="str">
        <f t="shared" si="313"/>
        <v>Vijayawada</v>
      </c>
      <c r="X694" t="str">
        <f t="shared" si="314"/>
        <v>Office Supplies</v>
      </c>
      <c r="Y694" t="s">
        <v>29</v>
      </c>
      <c r="Z694" t="s">
        <v>30</v>
      </c>
      <c r="AA694" t="str">
        <f t="shared" si="315"/>
        <v>Paper</v>
      </c>
      <c r="AB694" t="s">
        <v>1979</v>
      </c>
      <c r="AC694" t="s">
        <v>47</v>
      </c>
      <c r="AD694" t="str">
        <f t="shared" si="335"/>
        <v>Same Day</v>
      </c>
      <c r="AE694" t="str">
        <f t="shared" si="322"/>
        <v>OK</v>
      </c>
      <c r="AF694">
        <v>1</v>
      </c>
      <c r="AG694">
        <v>4358.5</v>
      </c>
      <c r="AH694">
        <v>0.25</v>
      </c>
      <c r="AI694">
        <f t="shared" si="323"/>
        <v>0.25</v>
      </c>
      <c r="AJ694" t="str">
        <f t="shared" si="324"/>
        <v>OK</v>
      </c>
      <c r="AK694">
        <v>3268.88</v>
      </c>
      <c r="AL694">
        <v>1993.74</v>
      </c>
      <c r="AM694">
        <v>1275.1400000000001</v>
      </c>
      <c r="AN694" t="s">
        <v>33</v>
      </c>
      <c r="AO694" t="str">
        <f t="shared" si="316"/>
        <v>PAID</v>
      </c>
      <c r="AP694" t="str">
        <f t="shared" si="325"/>
        <v>OK</v>
      </c>
      <c r="AQ694" t="s">
        <v>34</v>
      </c>
      <c r="AR694" t="str">
        <f t="shared" si="317"/>
        <v>COMPLETED</v>
      </c>
      <c r="AS694" t="str">
        <f t="shared" si="326"/>
        <v>OK</v>
      </c>
      <c r="AT694">
        <f t="shared" si="327"/>
        <v>3268.875</v>
      </c>
      <c r="AU694">
        <f t="shared" si="328"/>
        <v>1275.135</v>
      </c>
      <c r="AV694" s="6">
        <f t="shared" si="329"/>
        <v>0.19483461435509156</v>
      </c>
      <c r="AW694" t="str">
        <f t="shared" si="330"/>
        <v>CLEAN</v>
      </c>
      <c r="AX694" s="10" t="str">
        <f t="shared" si="331"/>
        <v>MATCH</v>
      </c>
      <c r="AY694" t="str">
        <f t="shared" si="332"/>
        <v>MATCH</v>
      </c>
    </row>
    <row r="695" spans="1:51">
      <c r="A695" t="s">
        <v>1975</v>
      </c>
      <c r="B695">
        <f t="shared" si="308"/>
        <v>2</v>
      </c>
      <c r="C695" t="s">
        <v>1976</v>
      </c>
      <c r="D695" s="3">
        <v>45771</v>
      </c>
      <c r="E695" t="str">
        <f t="shared" si="309"/>
        <v>2025/04/24</v>
      </c>
      <c r="F695" t="str">
        <f t="shared" si="318"/>
        <v>April</v>
      </c>
      <c r="G695">
        <f t="shared" si="319"/>
        <v>2025</v>
      </c>
      <c r="H695" t="s">
        <v>1977</v>
      </c>
      <c r="I695" s="4">
        <v>45776</v>
      </c>
      <c r="J695" s="8">
        <f t="shared" si="310"/>
        <v>5</v>
      </c>
      <c r="K695" s="8" t="str">
        <f t="shared" si="320"/>
        <v>OK</v>
      </c>
      <c r="L695" t="s">
        <v>1978</v>
      </c>
      <c r="M695" t="s">
        <v>209</v>
      </c>
      <c r="N695" t="str">
        <f t="shared" si="311"/>
        <v>Diya Patel</v>
      </c>
      <c r="O695" t="s">
        <v>40</v>
      </c>
      <c r="P695" t="str">
        <f t="shared" si="333"/>
        <v>Small Business</v>
      </c>
      <c r="Q695" t="s">
        <v>61</v>
      </c>
      <c r="R695" t="str">
        <f t="shared" si="336"/>
        <v>South</v>
      </c>
      <c r="S695" t="str">
        <f t="shared" si="321"/>
        <v>OK</v>
      </c>
      <c r="T695" t="s">
        <v>99</v>
      </c>
      <c r="U695" t="str">
        <f t="shared" si="312"/>
        <v>Andhra Pradesh</v>
      </c>
      <c r="V695" t="s">
        <v>100</v>
      </c>
      <c r="W695" t="str">
        <f t="shared" si="313"/>
        <v>Vijayawada</v>
      </c>
      <c r="X695" t="str">
        <f t="shared" si="314"/>
        <v>Office Supplies</v>
      </c>
      <c r="Y695" t="s">
        <v>29</v>
      </c>
      <c r="Z695" t="s">
        <v>30</v>
      </c>
      <c r="AA695" t="str">
        <f t="shared" si="315"/>
        <v>Paper</v>
      </c>
      <c r="AB695" t="s">
        <v>1979</v>
      </c>
      <c r="AC695" t="s">
        <v>47</v>
      </c>
      <c r="AD695" t="str">
        <f t="shared" si="335"/>
        <v>Same Day</v>
      </c>
      <c r="AE695" t="str">
        <f t="shared" si="322"/>
        <v>OK</v>
      </c>
      <c r="AF695">
        <v>1</v>
      </c>
      <c r="AG695">
        <v>4358.5</v>
      </c>
      <c r="AH695">
        <v>0.25</v>
      </c>
      <c r="AI695">
        <f t="shared" si="323"/>
        <v>0.25</v>
      </c>
      <c r="AJ695" t="str">
        <f t="shared" si="324"/>
        <v>OK</v>
      </c>
      <c r="AK695">
        <v>3268.88</v>
      </c>
      <c r="AL695">
        <v>1993.74</v>
      </c>
      <c r="AM695">
        <v>1275.1400000000001</v>
      </c>
      <c r="AN695" t="s">
        <v>33</v>
      </c>
      <c r="AO695" t="str">
        <f t="shared" si="316"/>
        <v>PAID</v>
      </c>
      <c r="AP695" t="str">
        <f t="shared" si="325"/>
        <v>OK</v>
      </c>
      <c r="AQ695" t="s">
        <v>34</v>
      </c>
      <c r="AR695" t="str">
        <f t="shared" si="317"/>
        <v>COMPLETED</v>
      </c>
      <c r="AS695" t="str">
        <f t="shared" si="326"/>
        <v>OK</v>
      </c>
      <c r="AT695">
        <f t="shared" si="327"/>
        <v>3268.875</v>
      </c>
      <c r="AU695">
        <f t="shared" si="328"/>
        <v>1275.135</v>
      </c>
      <c r="AV695" s="6">
        <f t="shared" si="329"/>
        <v>0.25181140300562121</v>
      </c>
      <c r="AW695" t="str">
        <f t="shared" si="330"/>
        <v>CLEAN</v>
      </c>
      <c r="AX695" s="10" t="str">
        <f t="shared" si="331"/>
        <v>MATCH</v>
      </c>
      <c r="AY695" t="str">
        <f t="shared" si="332"/>
        <v>MATCH</v>
      </c>
    </row>
    <row r="696" spans="1:51">
      <c r="A696" t="s">
        <v>1980</v>
      </c>
      <c r="B696">
        <f t="shared" si="308"/>
        <v>1</v>
      </c>
      <c r="C696" t="s">
        <v>1981</v>
      </c>
      <c r="D696" s="3">
        <v>45814</v>
      </c>
      <c r="E696" t="str">
        <f t="shared" si="309"/>
        <v>2025/06/06</v>
      </c>
      <c r="F696" t="str">
        <f t="shared" si="318"/>
        <v>June</v>
      </c>
      <c r="G696">
        <f t="shared" si="319"/>
        <v>2025</v>
      </c>
      <c r="H696" t="s">
        <v>1982</v>
      </c>
      <c r="I696" s="4">
        <v>45819</v>
      </c>
      <c r="J696" s="8">
        <f t="shared" si="310"/>
        <v>5</v>
      </c>
      <c r="K696" s="8" t="str">
        <f t="shared" si="320"/>
        <v>OK</v>
      </c>
      <c r="L696" t="s">
        <v>1983</v>
      </c>
      <c r="M696" t="s">
        <v>167</v>
      </c>
      <c r="N696" t="str">
        <f t="shared" si="311"/>
        <v>Sneha Kapoor</v>
      </c>
      <c r="O696" t="s">
        <v>40</v>
      </c>
      <c r="P696" t="str">
        <f t="shared" si="333"/>
        <v>Small Business</v>
      </c>
      <c r="Q696" t="s">
        <v>26</v>
      </c>
      <c r="R696" t="str">
        <f t="shared" si="336"/>
        <v>North</v>
      </c>
      <c r="S696" t="str">
        <f t="shared" si="321"/>
        <v>OK</v>
      </c>
      <c r="T696" t="s">
        <v>173</v>
      </c>
      <c r="U696" t="str">
        <f t="shared" si="312"/>
        <v>Uttar Pradesh</v>
      </c>
      <c r="V696" t="s">
        <v>174</v>
      </c>
      <c r="W696" t="str">
        <f t="shared" si="313"/>
        <v>Noida</v>
      </c>
      <c r="X696" t="str">
        <f t="shared" si="314"/>
        <v>Office Supplies</v>
      </c>
      <c r="Y696" t="s">
        <v>29</v>
      </c>
      <c r="Z696" t="s">
        <v>30</v>
      </c>
      <c r="AA696" t="str">
        <f t="shared" si="315"/>
        <v>Paper</v>
      </c>
      <c r="AB696" t="s">
        <v>1984</v>
      </c>
      <c r="AC696" t="s">
        <v>47</v>
      </c>
      <c r="AD696" t="str">
        <f t="shared" si="335"/>
        <v>Same Day</v>
      </c>
      <c r="AE696" t="str">
        <f t="shared" si="322"/>
        <v>OK</v>
      </c>
      <c r="AF696">
        <v>7</v>
      </c>
      <c r="AG696">
        <v>878.09</v>
      </c>
      <c r="AH696">
        <v>-0.1</v>
      </c>
      <c r="AI696">
        <f t="shared" si="323"/>
        <v>-0.1</v>
      </c>
      <c r="AJ696" t="str">
        <f t="shared" si="324"/>
        <v>Invalid Negative Discount</v>
      </c>
      <c r="AK696">
        <v>5839.3</v>
      </c>
      <c r="AL696">
        <v>4877.38</v>
      </c>
      <c r="AM696">
        <v>961.92</v>
      </c>
      <c r="AN696" t="s">
        <v>33</v>
      </c>
      <c r="AO696" t="str">
        <f t="shared" si="316"/>
        <v>PAID</v>
      </c>
      <c r="AP696" t="str">
        <f t="shared" si="325"/>
        <v>OK</v>
      </c>
      <c r="AQ696" t="s">
        <v>34</v>
      </c>
      <c r="AR696" t="str">
        <f t="shared" si="317"/>
        <v>COMPLETED</v>
      </c>
      <c r="AS696" t="str">
        <f t="shared" si="326"/>
        <v>OK</v>
      </c>
      <c r="AT696" t="str">
        <f t="shared" si="327"/>
        <v>INVAILD</v>
      </c>
      <c r="AU696" t="str">
        <f t="shared" si="328"/>
        <v>INVAILD</v>
      </c>
      <c r="AW696" t="str">
        <f t="shared" si="330"/>
        <v>INVALID</v>
      </c>
      <c r="AX696" s="10" t="s">
        <v>4116</v>
      </c>
      <c r="AY696" t="s">
        <v>4116</v>
      </c>
    </row>
    <row r="697" spans="1:51">
      <c r="A697" t="s">
        <v>1985</v>
      </c>
      <c r="B697">
        <f t="shared" si="308"/>
        <v>1</v>
      </c>
      <c r="C697" t="s">
        <v>1986</v>
      </c>
      <c r="D697" s="2">
        <v>45903</v>
      </c>
      <c r="E697" t="str">
        <f t="shared" si="309"/>
        <v>2025/09/03</v>
      </c>
      <c r="F697" t="str">
        <f t="shared" si="318"/>
        <v>September</v>
      </c>
      <c r="G697">
        <f t="shared" si="319"/>
        <v>2025</v>
      </c>
      <c r="H697" t="s">
        <v>1987</v>
      </c>
      <c r="I697" s="4">
        <v>45732</v>
      </c>
      <c r="J697" s="8">
        <f t="shared" si="310"/>
        <v>-171</v>
      </c>
      <c r="K697" s="8" t="str">
        <f t="shared" si="320"/>
        <v>INVAILD_SHIPPING</v>
      </c>
      <c r="L697" t="s">
        <v>1988</v>
      </c>
      <c r="M697" t="s">
        <v>60</v>
      </c>
      <c r="N697" t="str">
        <f t="shared" si="311"/>
        <v>Arjun Bose</v>
      </c>
      <c r="O697" t="s">
        <v>40</v>
      </c>
      <c r="P697" t="str">
        <f t="shared" si="333"/>
        <v>Small Business</v>
      </c>
      <c r="Q697" t="s">
        <v>41</v>
      </c>
      <c r="R697" t="str">
        <f t="shared" si="336"/>
        <v>East</v>
      </c>
      <c r="S697" t="str">
        <f t="shared" si="321"/>
        <v>OK</v>
      </c>
      <c r="T697" t="s">
        <v>310</v>
      </c>
      <c r="U697" t="str">
        <f t="shared" si="312"/>
        <v>Jharkhand</v>
      </c>
      <c r="V697" t="s">
        <v>311</v>
      </c>
      <c r="W697" t="str">
        <f t="shared" si="313"/>
        <v>Ranchi</v>
      </c>
      <c r="X697" t="str">
        <f t="shared" si="314"/>
        <v>Furniture</v>
      </c>
      <c r="Y697" t="s">
        <v>44</v>
      </c>
      <c r="Z697" t="s">
        <v>45</v>
      </c>
      <c r="AA697" t="str">
        <f t="shared" si="315"/>
        <v>Tables</v>
      </c>
      <c r="AB697" t="s">
        <v>1989</v>
      </c>
      <c r="AC697" t="s">
        <v>47</v>
      </c>
      <c r="AD697" t="str">
        <f t="shared" si="335"/>
        <v>Same Day</v>
      </c>
      <c r="AE697" t="str">
        <f t="shared" si="322"/>
        <v>OK</v>
      </c>
      <c r="AF697">
        <v>3</v>
      </c>
      <c r="AG697">
        <v>2625.85</v>
      </c>
      <c r="AH697">
        <v>0</v>
      </c>
      <c r="AI697">
        <f t="shared" si="323"/>
        <v>0</v>
      </c>
      <c r="AJ697" t="str">
        <f t="shared" si="324"/>
        <v>OK</v>
      </c>
      <c r="AK697">
        <v>7877.55</v>
      </c>
      <c r="AL697">
        <v>5562.77</v>
      </c>
      <c r="AM697">
        <v>2314.7800000000002</v>
      </c>
      <c r="AN697" t="s">
        <v>33</v>
      </c>
      <c r="AO697" t="str">
        <f t="shared" si="316"/>
        <v>PAID</v>
      </c>
      <c r="AP697" t="str">
        <f t="shared" si="325"/>
        <v>OK</v>
      </c>
      <c r="AQ697" t="s">
        <v>34</v>
      </c>
      <c r="AR697" t="str">
        <f t="shared" si="317"/>
        <v>COMPLETED</v>
      </c>
      <c r="AS697" t="str">
        <f t="shared" si="326"/>
        <v>OK</v>
      </c>
      <c r="AT697">
        <f t="shared" si="327"/>
        <v>7877.5499999999993</v>
      </c>
      <c r="AU697">
        <f t="shared" si="328"/>
        <v>2314.7799999999988</v>
      </c>
      <c r="AV697" s="6">
        <f t="shared" si="329"/>
        <v>1.2930276545372614</v>
      </c>
      <c r="AW697" t="str">
        <f t="shared" si="330"/>
        <v>CLEAN</v>
      </c>
      <c r="AX697" s="10" t="str">
        <f t="shared" si="331"/>
        <v>MATCH</v>
      </c>
      <c r="AY697" t="str">
        <f t="shared" si="332"/>
        <v>MATCH</v>
      </c>
    </row>
    <row r="698" spans="1:51">
      <c r="A698" t="s">
        <v>2011</v>
      </c>
      <c r="B698">
        <f t="shared" si="308"/>
        <v>1</v>
      </c>
      <c r="C698" t="s">
        <v>2012</v>
      </c>
      <c r="D698" s="2">
        <v>45713</v>
      </c>
      <c r="E698" t="str">
        <f t="shared" si="309"/>
        <v>2025/02/25</v>
      </c>
      <c r="F698" t="str">
        <f t="shared" si="318"/>
        <v>February</v>
      </c>
      <c r="G698">
        <f t="shared" si="319"/>
        <v>2025</v>
      </c>
      <c r="H698" t="s">
        <v>2012</v>
      </c>
      <c r="I698" s="4">
        <v>45713</v>
      </c>
      <c r="J698" s="8">
        <f t="shared" si="310"/>
        <v>0</v>
      </c>
      <c r="K698" s="8" t="str">
        <f t="shared" si="320"/>
        <v>OK</v>
      </c>
      <c r="L698" t="s">
        <v>2013</v>
      </c>
      <c r="M698" t="s">
        <v>365</v>
      </c>
      <c r="N698" t="str">
        <f t="shared" si="311"/>
        <v>Kabir Singh</v>
      </c>
      <c r="O698" t="s">
        <v>40</v>
      </c>
      <c r="P698" t="str">
        <f t="shared" si="333"/>
        <v>Small Business</v>
      </c>
      <c r="Q698" t="s">
        <v>72</v>
      </c>
      <c r="R698" t="str">
        <f t="shared" si="336"/>
        <v>West</v>
      </c>
      <c r="S698" t="str">
        <f t="shared" si="321"/>
        <v>OK</v>
      </c>
      <c r="T698" t="s">
        <v>248</v>
      </c>
      <c r="U698" t="str">
        <f t="shared" si="312"/>
        <v>Goa</v>
      </c>
      <c r="V698" t="s">
        <v>249</v>
      </c>
      <c r="W698" t="str">
        <f t="shared" si="313"/>
        <v>Panaji</v>
      </c>
      <c r="X698" t="str">
        <f t="shared" si="314"/>
        <v>Furniture</v>
      </c>
      <c r="Y698" t="s">
        <v>44</v>
      </c>
      <c r="Z698" t="s">
        <v>64</v>
      </c>
      <c r="AA698" t="str">
        <f t="shared" si="315"/>
        <v>Furnishings</v>
      </c>
      <c r="AB698" t="s">
        <v>2014</v>
      </c>
      <c r="AC698" t="s">
        <v>66</v>
      </c>
      <c r="AD698" t="str">
        <f t="shared" si="335"/>
        <v>Standard Class</v>
      </c>
      <c r="AE698" t="str">
        <f t="shared" si="322"/>
        <v>OK</v>
      </c>
      <c r="AF698">
        <v>2</v>
      </c>
      <c r="AG698">
        <v>3924.2</v>
      </c>
      <c r="AH698">
        <v>0.25</v>
      </c>
      <c r="AI698">
        <f t="shared" si="323"/>
        <v>0.25</v>
      </c>
      <c r="AJ698" t="str">
        <f t="shared" si="324"/>
        <v>OK</v>
      </c>
      <c r="AK698">
        <v>5886.3</v>
      </c>
      <c r="AL698">
        <v>3621.76</v>
      </c>
      <c r="AM698">
        <v>2264.54</v>
      </c>
      <c r="AN698" t="s">
        <v>136</v>
      </c>
      <c r="AO698" t="str">
        <f t="shared" si="316"/>
        <v>PENDING</v>
      </c>
      <c r="AP698" t="str">
        <f t="shared" si="325"/>
        <v>OK</v>
      </c>
      <c r="AQ698" t="s">
        <v>124</v>
      </c>
      <c r="AR698" t="str">
        <f t="shared" si="317"/>
        <v>RETURNED</v>
      </c>
      <c r="AS698" t="str">
        <f t="shared" si="326"/>
        <v>RETURNED_ORDER</v>
      </c>
      <c r="AT698">
        <f t="shared" si="327"/>
        <v>5886.2999999999993</v>
      </c>
      <c r="AU698">
        <f t="shared" si="328"/>
        <v>2264.5399999999991</v>
      </c>
      <c r="AV698" s="6">
        <f t="shared" si="329"/>
        <v>1.366371065015374</v>
      </c>
      <c r="AW698" t="str">
        <f t="shared" si="330"/>
        <v>CLEAN</v>
      </c>
      <c r="AX698" s="10" t="str">
        <f t="shared" si="331"/>
        <v>MATCH</v>
      </c>
      <c r="AY698" t="str">
        <f t="shared" si="332"/>
        <v>MATCH</v>
      </c>
    </row>
    <row r="699" spans="1:51">
      <c r="A699" t="s">
        <v>2020</v>
      </c>
      <c r="B699">
        <f t="shared" si="308"/>
        <v>1</v>
      </c>
      <c r="C699" t="s">
        <v>819</v>
      </c>
      <c r="D699" s="3">
        <v>45665</v>
      </c>
      <c r="E699" t="str">
        <f t="shared" si="309"/>
        <v>2025/01/08</v>
      </c>
      <c r="F699" t="str">
        <f t="shared" si="318"/>
        <v>January</v>
      </c>
      <c r="G699">
        <f t="shared" si="319"/>
        <v>2025</v>
      </c>
      <c r="H699" t="s">
        <v>1079</v>
      </c>
      <c r="I699" s="4">
        <v>45872</v>
      </c>
      <c r="J699" s="8">
        <f t="shared" si="310"/>
        <v>207</v>
      </c>
      <c r="K699" s="8" t="str">
        <f t="shared" si="320"/>
        <v>OK</v>
      </c>
      <c r="L699" t="s">
        <v>2021</v>
      </c>
      <c r="M699" t="s">
        <v>167</v>
      </c>
      <c r="N699" t="str">
        <f t="shared" si="311"/>
        <v>Sneha Kapoor</v>
      </c>
      <c r="O699" t="s">
        <v>25</v>
      </c>
      <c r="P699" t="str">
        <f t="shared" si="333"/>
        <v>Consumer</v>
      </c>
      <c r="Q699" t="s">
        <v>72</v>
      </c>
      <c r="R699" t="str">
        <f t="shared" si="336"/>
        <v>West</v>
      </c>
      <c r="S699" t="str">
        <f t="shared" si="321"/>
        <v>OK</v>
      </c>
      <c r="T699" t="s">
        <v>73</v>
      </c>
      <c r="U699" t="str">
        <f t="shared" si="312"/>
        <v>Maharashtra</v>
      </c>
      <c r="V699" t="s">
        <v>74</v>
      </c>
      <c r="W699" t="str">
        <f t="shared" si="313"/>
        <v>Mumbai</v>
      </c>
      <c r="X699" t="str">
        <f t="shared" si="314"/>
        <v>Furniture</v>
      </c>
      <c r="Y699" t="s">
        <v>44</v>
      </c>
      <c r="Z699" t="s">
        <v>75</v>
      </c>
      <c r="AA699" t="str">
        <f t="shared" si="315"/>
        <v>Chairs</v>
      </c>
      <c r="AB699" t="s">
        <v>2022</v>
      </c>
      <c r="AC699" t="s">
        <v>55</v>
      </c>
      <c r="AD699" t="str">
        <f t="shared" si="335"/>
        <v>First Class</v>
      </c>
      <c r="AE699" t="str">
        <f t="shared" si="322"/>
        <v>OK</v>
      </c>
      <c r="AF699">
        <v>4</v>
      </c>
      <c r="AG699">
        <v>1773.46</v>
      </c>
      <c r="AH699">
        <v>0</v>
      </c>
      <c r="AI699">
        <f t="shared" si="323"/>
        <v>0</v>
      </c>
      <c r="AJ699" t="str">
        <f t="shared" si="324"/>
        <v>OK</v>
      </c>
      <c r="AK699">
        <v>7093.84</v>
      </c>
      <c r="AL699">
        <v>4587.49</v>
      </c>
      <c r="AM699">
        <v>2506.35</v>
      </c>
      <c r="AN699" t="s">
        <v>199</v>
      </c>
      <c r="AO699" t="str">
        <f t="shared" si="316"/>
        <v>FAILED</v>
      </c>
      <c r="AP699" t="str">
        <f t="shared" si="325"/>
        <v>EXCLUDE_FROM_SALES</v>
      </c>
      <c r="AQ699" t="s">
        <v>124</v>
      </c>
      <c r="AR699" t="str">
        <f t="shared" si="317"/>
        <v>RETURNED</v>
      </c>
      <c r="AS699" t="str">
        <f t="shared" si="326"/>
        <v>RETURNED_ORDER</v>
      </c>
      <c r="AT699">
        <f t="shared" si="327"/>
        <v>7093.84</v>
      </c>
      <c r="AU699">
        <f t="shared" si="328"/>
        <v>2506.3500000000004</v>
      </c>
      <c r="AV699" s="6">
        <f t="shared" si="329"/>
        <v>0.77151126893191824</v>
      </c>
      <c r="AW699" t="str">
        <f t="shared" si="330"/>
        <v>CLEAN</v>
      </c>
      <c r="AX699" s="10" t="str">
        <f t="shared" si="331"/>
        <v>MATCH</v>
      </c>
      <c r="AY699" t="str">
        <f t="shared" si="332"/>
        <v>MATCH</v>
      </c>
    </row>
    <row r="700" spans="1:51">
      <c r="A700" t="s">
        <v>2023</v>
      </c>
      <c r="B700">
        <f t="shared" si="308"/>
        <v>1</v>
      </c>
      <c r="C700" t="s">
        <v>829</v>
      </c>
      <c r="D700" s="3">
        <v>45701</v>
      </c>
      <c r="E700" t="str">
        <f t="shared" si="309"/>
        <v>2025/02/13</v>
      </c>
      <c r="F700" t="str">
        <f t="shared" si="318"/>
        <v>February</v>
      </c>
      <c r="G700">
        <f t="shared" si="319"/>
        <v>2025</v>
      </c>
      <c r="H700" t="s">
        <v>770</v>
      </c>
      <c r="I700" s="4">
        <v>45703</v>
      </c>
      <c r="J700" s="8">
        <f t="shared" si="310"/>
        <v>2</v>
      </c>
      <c r="K700" s="8" t="str">
        <f t="shared" si="320"/>
        <v>OK</v>
      </c>
      <c r="L700" t="s">
        <v>2024</v>
      </c>
      <c r="M700" t="s">
        <v>24</v>
      </c>
      <c r="N700" t="str">
        <f t="shared" si="311"/>
        <v>Karan Malhotra</v>
      </c>
      <c r="O700" t="s">
        <v>25</v>
      </c>
      <c r="P700" t="str">
        <f t="shared" si="333"/>
        <v>Consumer</v>
      </c>
      <c r="Q700" t="s">
        <v>41</v>
      </c>
      <c r="R700" t="str">
        <f t="shared" si="336"/>
        <v>East</v>
      </c>
      <c r="S700" t="str">
        <f t="shared" si="321"/>
        <v>OK</v>
      </c>
      <c r="T700" t="s">
        <v>215</v>
      </c>
      <c r="U700" t="str">
        <f t="shared" si="312"/>
        <v>Assam</v>
      </c>
      <c r="V700" t="s">
        <v>216</v>
      </c>
      <c r="W700" t="str">
        <f t="shared" si="313"/>
        <v>Guwahati</v>
      </c>
      <c r="X700" t="str">
        <f t="shared" si="314"/>
        <v>Technology</v>
      </c>
      <c r="Y700" t="s">
        <v>85</v>
      </c>
      <c r="Z700" t="s">
        <v>86</v>
      </c>
      <c r="AA700" t="str">
        <f t="shared" si="315"/>
        <v>Accessories</v>
      </c>
      <c r="AB700" t="s">
        <v>2025</v>
      </c>
      <c r="AC700" t="s">
        <v>47</v>
      </c>
      <c r="AD700" t="str">
        <f t="shared" si="335"/>
        <v>Same Day</v>
      </c>
      <c r="AE700" t="str">
        <f t="shared" si="322"/>
        <v>OK</v>
      </c>
      <c r="AF700">
        <v>1</v>
      </c>
      <c r="AG700">
        <v>3025.46</v>
      </c>
      <c r="AH700">
        <v>0.25</v>
      </c>
      <c r="AI700">
        <f t="shared" si="323"/>
        <v>0.25</v>
      </c>
      <c r="AJ700" t="str">
        <f t="shared" si="324"/>
        <v>OK</v>
      </c>
      <c r="AK700">
        <v>2269.1</v>
      </c>
      <c r="AL700">
        <v>1593.59</v>
      </c>
      <c r="AM700">
        <v>675.51</v>
      </c>
      <c r="AN700" t="s">
        <v>123</v>
      </c>
      <c r="AO700" t="str">
        <f t="shared" si="316"/>
        <v>REFUNDED</v>
      </c>
      <c r="AP700" t="str">
        <f t="shared" si="325"/>
        <v>REFUNDED_PAYMENT</v>
      </c>
      <c r="AQ700" t="s">
        <v>124</v>
      </c>
      <c r="AR700" t="str">
        <f t="shared" si="317"/>
        <v>RETURNED</v>
      </c>
      <c r="AS700" t="str">
        <f t="shared" si="326"/>
        <v>RETURNED_ORDER</v>
      </c>
      <c r="AT700">
        <f t="shared" si="327"/>
        <v>2269.0950000000003</v>
      </c>
      <c r="AU700">
        <f t="shared" si="328"/>
        <v>675.50500000000034</v>
      </c>
      <c r="AV700" s="6">
        <f t="shared" si="329"/>
        <v>1.0848994863590993</v>
      </c>
      <c r="AW700" t="str">
        <f t="shared" si="330"/>
        <v>CLEAN</v>
      </c>
      <c r="AX700" s="10" t="str">
        <f t="shared" si="331"/>
        <v>MATCH</v>
      </c>
      <c r="AY700" t="str">
        <f t="shared" si="332"/>
        <v>MATCH</v>
      </c>
    </row>
    <row r="701" spans="1:51">
      <c r="A701" t="s">
        <v>2031</v>
      </c>
      <c r="B701">
        <f t="shared" si="308"/>
        <v>1</v>
      </c>
      <c r="C701" t="s">
        <v>2032</v>
      </c>
      <c r="D701" s="3">
        <v>45892</v>
      </c>
      <c r="E701" t="str">
        <f t="shared" si="309"/>
        <v>2025/08/23</v>
      </c>
      <c r="F701" t="str">
        <f t="shared" si="318"/>
        <v>August</v>
      </c>
      <c r="G701">
        <f t="shared" si="319"/>
        <v>2025</v>
      </c>
      <c r="H701" t="s">
        <v>2033</v>
      </c>
      <c r="I701" s="4">
        <v>45897</v>
      </c>
      <c r="J701" s="8">
        <f t="shared" si="310"/>
        <v>5</v>
      </c>
      <c r="K701" s="8" t="str">
        <f t="shared" si="320"/>
        <v>OK</v>
      </c>
      <c r="L701" t="s">
        <v>2034</v>
      </c>
      <c r="M701" t="s">
        <v>60</v>
      </c>
      <c r="N701" t="str">
        <f t="shared" si="311"/>
        <v>Arjun Bose</v>
      </c>
      <c r="O701" t="s">
        <v>114</v>
      </c>
      <c r="P701" t="str">
        <f t="shared" si="333"/>
        <v>Home Office</v>
      </c>
      <c r="Q701" t="s">
        <v>72</v>
      </c>
      <c r="R701" t="str">
        <f t="shared" si="336"/>
        <v>West</v>
      </c>
      <c r="S701" t="str">
        <f t="shared" si="321"/>
        <v>OK</v>
      </c>
      <c r="T701" t="s">
        <v>27</v>
      </c>
      <c r="U701" t="str">
        <f t="shared" si="312"/>
        <v>Rajasthan</v>
      </c>
      <c r="V701" t="s">
        <v>134</v>
      </c>
      <c r="W701" t="str">
        <f t="shared" si="313"/>
        <v>Udaipur</v>
      </c>
      <c r="X701" t="str">
        <f t="shared" si="314"/>
        <v>Furniture</v>
      </c>
      <c r="Y701" t="s">
        <v>44</v>
      </c>
      <c r="Z701" t="s">
        <v>45</v>
      </c>
      <c r="AA701" t="str">
        <f t="shared" si="315"/>
        <v>Tables</v>
      </c>
      <c r="AB701" t="s">
        <v>2035</v>
      </c>
      <c r="AC701" t="s">
        <v>55</v>
      </c>
      <c r="AD701" t="str">
        <f t="shared" ref="AD701:AD729" si="337">PROPER(TRIM(SUBSTITUTE(AC701,CHAR(160)," ")))</f>
        <v>First Class</v>
      </c>
      <c r="AE701" t="str">
        <f t="shared" si="322"/>
        <v>OK</v>
      </c>
      <c r="AF701">
        <v>1</v>
      </c>
      <c r="AG701">
        <v>4167.8100000000004</v>
      </c>
      <c r="AH701">
        <v>0.2</v>
      </c>
      <c r="AI701">
        <f t="shared" si="323"/>
        <v>0.2</v>
      </c>
      <c r="AJ701" t="str">
        <f t="shared" si="324"/>
        <v>OK</v>
      </c>
      <c r="AK701">
        <v>3334.25</v>
      </c>
      <c r="AL701">
        <v>2768.77</v>
      </c>
      <c r="AM701">
        <v>565.48</v>
      </c>
      <c r="AN701" t="s">
        <v>199</v>
      </c>
      <c r="AO701" t="str">
        <f t="shared" si="316"/>
        <v>FAILED</v>
      </c>
      <c r="AP701" t="str">
        <f t="shared" si="325"/>
        <v>EXCLUDE_FROM_SALES</v>
      </c>
      <c r="AQ701" t="s">
        <v>124</v>
      </c>
      <c r="AR701" t="str">
        <f t="shared" si="317"/>
        <v>RETURNED</v>
      </c>
      <c r="AS701" t="str">
        <f t="shared" si="326"/>
        <v>RETURNED_ORDER</v>
      </c>
      <c r="AT701">
        <f t="shared" si="327"/>
        <v>3334.2480000000005</v>
      </c>
      <c r="AU701">
        <f t="shared" si="328"/>
        <v>565.47800000000052</v>
      </c>
      <c r="AV701" s="6">
        <f t="shared" si="329"/>
        <v>1.5173646351441163</v>
      </c>
      <c r="AW701" t="str">
        <f t="shared" si="330"/>
        <v>CLEAN</v>
      </c>
      <c r="AX701" s="10" t="str">
        <f t="shared" si="331"/>
        <v>MATCH</v>
      </c>
      <c r="AY701" t="str">
        <f t="shared" si="332"/>
        <v>MATCH</v>
      </c>
    </row>
    <row r="702" spans="1:51">
      <c r="A702" t="s">
        <v>2040</v>
      </c>
      <c r="B702">
        <f t="shared" si="308"/>
        <v>1</v>
      </c>
      <c r="C702" t="s">
        <v>239</v>
      </c>
      <c r="D702" s="3">
        <v>45882</v>
      </c>
      <c r="E702" t="str">
        <f t="shared" si="309"/>
        <v>2025/08/13</v>
      </c>
      <c r="F702" t="str">
        <f t="shared" si="318"/>
        <v>August</v>
      </c>
      <c r="G702">
        <f t="shared" si="319"/>
        <v>2025</v>
      </c>
      <c r="H702" t="s">
        <v>2041</v>
      </c>
      <c r="I702" s="4">
        <v>45886</v>
      </c>
      <c r="J702" s="8">
        <f t="shared" si="310"/>
        <v>4</v>
      </c>
      <c r="K702" s="8" t="str">
        <f t="shared" si="320"/>
        <v>OK</v>
      </c>
      <c r="L702" t="s">
        <v>2042</v>
      </c>
      <c r="M702" t="s">
        <v>92</v>
      </c>
      <c r="N702" t="str">
        <f t="shared" si="311"/>
        <v>Neha Gupta</v>
      </c>
      <c r="O702" t="s">
        <v>114</v>
      </c>
      <c r="P702" t="str">
        <f t="shared" si="333"/>
        <v>Home Office</v>
      </c>
      <c r="Q702" t="s">
        <v>72</v>
      </c>
      <c r="R702" t="str">
        <f t="shared" si="336"/>
        <v>West</v>
      </c>
      <c r="S702" t="str">
        <f t="shared" si="321"/>
        <v>OK</v>
      </c>
      <c r="T702" t="s">
        <v>83</v>
      </c>
      <c r="U702" t="str">
        <f t="shared" si="312"/>
        <v>Madhya Pradesh</v>
      </c>
      <c r="V702" t="s">
        <v>84</v>
      </c>
      <c r="W702" t="str">
        <f t="shared" si="313"/>
        <v>Indore</v>
      </c>
      <c r="X702" t="str">
        <f t="shared" si="314"/>
        <v>Technology</v>
      </c>
      <c r="Y702" t="s">
        <v>85</v>
      </c>
      <c r="Z702" t="s">
        <v>86</v>
      </c>
      <c r="AA702" t="str">
        <f t="shared" si="315"/>
        <v>Accessories</v>
      </c>
      <c r="AB702" t="s">
        <v>2043</v>
      </c>
      <c r="AC702" t="s">
        <v>32</v>
      </c>
      <c r="AD702" t="str">
        <f t="shared" si="337"/>
        <v>Second Class</v>
      </c>
      <c r="AE702" t="str">
        <f t="shared" si="322"/>
        <v>OK</v>
      </c>
      <c r="AF702">
        <v>8</v>
      </c>
      <c r="AG702">
        <v>1918.23</v>
      </c>
      <c r="AH702">
        <v>0</v>
      </c>
      <c r="AI702">
        <f t="shared" si="323"/>
        <v>0</v>
      </c>
      <c r="AJ702" t="str">
        <f t="shared" si="324"/>
        <v>OK</v>
      </c>
      <c r="AK702">
        <v>15345.84</v>
      </c>
      <c r="AL702">
        <v>10735.33</v>
      </c>
      <c r="AM702">
        <v>4610.51</v>
      </c>
      <c r="AN702" t="s">
        <v>136</v>
      </c>
      <c r="AO702" t="str">
        <f t="shared" si="316"/>
        <v>PENDING</v>
      </c>
      <c r="AP702" t="str">
        <f t="shared" si="325"/>
        <v>OK</v>
      </c>
      <c r="AQ702" t="s">
        <v>77</v>
      </c>
      <c r="AR702" t="str">
        <f t="shared" si="317"/>
        <v>CANCELLED</v>
      </c>
      <c r="AS702" t="str">
        <f t="shared" si="326"/>
        <v>EXCLUDE_FROM_SALES</v>
      </c>
      <c r="AT702">
        <f t="shared" si="327"/>
        <v>15345.84</v>
      </c>
      <c r="AU702">
        <f t="shared" si="328"/>
        <v>4610.51</v>
      </c>
      <c r="AV702" s="6">
        <f t="shared" si="329"/>
        <v>0.275833971942885</v>
      </c>
      <c r="AW702" t="str">
        <f t="shared" si="330"/>
        <v>CLEAN</v>
      </c>
      <c r="AX702" s="10" t="str">
        <f t="shared" si="331"/>
        <v>MATCH</v>
      </c>
      <c r="AY702" t="str">
        <f t="shared" si="332"/>
        <v>MATCH</v>
      </c>
    </row>
    <row r="703" spans="1:51">
      <c r="A703" t="s">
        <v>2053</v>
      </c>
      <c r="B703">
        <f t="shared" si="308"/>
        <v>1</v>
      </c>
      <c r="C703" t="s">
        <v>2054</v>
      </c>
      <c r="D703" s="3">
        <v>45870</v>
      </c>
      <c r="E703" t="str">
        <f t="shared" si="309"/>
        <v>2025/08/01</v>
      </c>
      <c r="F703" t="str">
        <f t="shared" si="318"/>
        <v>August</v>
      </c>
      <c r="G703">
        <f t="shared" si="319"/>
        <v>2025</v>
      </c>
      <c r="H703" t="s">
        <v>2055</v>
      </c>
      <c r="I703" s="4">
        <v>45673</v>
      </c>
      <c r="J703" s="8">
        <f t="shared" si="310"/>
        <v>-197</v>
      </c>
      <c r="K703" s="8" t="str">
        <f t="shared" si="320"/>
        <v>INVAILD_SHIPPING</v>
      </c>
      <c r="L703" t="s">
        <v>2056</v>
      </c>
      <c r="M703" t="s">
        <v>92</v>
      </c>
      <c r="N703" t="str">
        <f t="shared" si="311"/>
        <v>Neha Gupta</v>
      </c>
      <c r="O703" t="s">
        <v>25</v>
      </c>
      <c r="P703" t="str">
        <f t="shared" si="333"/>
        <v>Consumer</v>
      </c>
      <c r="Q703" t="s">
        <v>61</v>
      </c>
      <c r="R703" t="str">
        <f t="shared" si="336"/>
        <v>South</v>
      </c>
      <c r="S703" t="str">
        <f t="shared" si="321"/>
        <v>OK</v>
      </c>
      <c r="T703" t="s">
        <v>62</v>
      </c>
      <c r="U703" t="str">
        <f t="shared" si="312"/>
        <v>Telangana</v>
      </c>
      <c r="V703" t="s">
        <v>63</v>
      </c>
      <c r="W703" t="str">
        <f t="shared" si="313"/>
        <v>Hyderabad</v>
      </c>
      <c r="X703" t="str">
        <f t="shared" si="314"/>
        <v>Furniture</v>
      </c>
      <c r="Y703" t="s">
        <v>44</v>
      </c>
      <c r="Z703" t="s">
        <v>64</v>
      </c>
      <c r="AA703" t="str">
        <f t="shared" si="315"/>
        <v>Furnishings</v>
      </c>
      <c r="AB703" t="s">
        <v>2057</v>
      </c>
      <c r="AC703" t="s">
        <v>55</v>
      </c>
      <c r="AD703" t="str">
        <f t="shared" si="337"/>
        <v>First Class</v>
      </c>
      <c r="AE703" t="str">
        <f t="shared" si="322"/>
        <v>OK</v>
      </c>
      <c r="AF703">
        <v>8</v>
      </c>
      <c r="AG703">
        <v>638.95000000000005</v>
      </c>
      <c r="AH703">
        <v>0.25</v>
      </c>
      <c r="AI703">
        <f t="shared" si="323"/>
        <v>0.25</v>
      </c>
      <c r="AJ703" t="str">
        <f t="shared" si="324"/>
        <v>OK</v>
      </c>
      <c r="AK703">
        <v>3833.7</v>
      </c>
      <c r="AL703">
        <v>2886.35</v>
      </c>
      <c r="AM703">
        <v>947.35</v>
      </c>
      <c r="AN703" t="s">
        <v>33</v>
      </c>
      <c r="AO703" t="str">
        <f t="shared" si="316"/>
        <v>PAID</v>
      </c>
      <c r="AP703" t="str">
        <f t="shared" si="325"/>
        <v>OK</v>
      </c>
      <c r="AQ703" t="s">
        <v>34</v>
      </c>
      <c r="AR703" t="str">
        <f t="shared" si="317"/>
        <v>COMPLETED</v>
      </c>
      <c r="AS703" t="str">
        <f t="shared" si="326"/>
        <v>OK</v>
      </c>
      <c r="AT703">
        <f t="shared" si="327"/>
        <v>3833.7000000000003</v>
      </c>
      <c r="AU703">
        <f t="shared" si="328"/>
        <v>947.35000000000036</v>
      </c>
      <c r="AV703" s="6">
        <f t="shared" si="329"/>
        <v>0.40749210945040071</v>
      </c>
      <c r="AW703" t="str">
        <f t="shared" si="330"/>
        <v>CLEAN</v>
      </c>
      <c r="AX703" s="10" t="str">
        <f t="shared" si="331"/>
        <v>MATCH</v>
      </c>
      <c r="AY703" t="str">
        <f t="shared" si="332"/>
        <v>MATCH</v>
      </c>
    </row>
    <row r="704" spans="1:51">
      <c r="A704" t="s">
        <v>2058</v>
      </c>
      <c r="B704">
        <f t="shared" si="308"/>
        <v>1</v>
      </c>
      <c r="C704" t="s">
        <v>1793</v>
      </c>
      <c r="D704" s="3">
        <v>45686</v>
      </c>
      <c r="E704" t="str">
        <f t="shared" si="309"/>
        <v>2025/01/29</v>
      </c>
      <c r="F704" t="str">
        <f t="shared" si="318"/>
        <v>January</v>
      </c>
      <c r="G704">
        <f t="shared" si="319"/>
        <v>2025</v>
      </c>
      <c r="H704" t="s">
        <v>2059</v>
      </c>
      <c r="I704" s="4">
        <v>45693</v>
      </c>
      <c r="J704" s="8">
        <f t="shared" si="310"/>
        <v>7</v>
      </c>
      <c r="K704" s="8" t="str">
        <f t="shared" si="320"/>
        <v>OK</v>
      </c>
      <c r="L704" t="s">
        <v>2060</v>
      </c>
      <c r="M704" t="s">
        <v>39</v>
      </c>
      <c r="N704" t="str">
        <f t="shared" si="311"/>
        <v>Mira Das</v>
      </c>
      <c r="O704" t="s">
        <v>25</v>
      </c>
      <c r="P704" t="str">
        <f t="shared" si="333"/>
        <v>Consumer</v>
      </c>
      <c r="Q704" t="s">
        <v>72</v>
      </c>
      <c r="R704" t="str">
        <f t="shared" si="336"/>
        <v>West</v>
      </c>
      <c r="S704" t="str">
        <f t="shared" si="321"/>
        <v>OK</v>
      </c>
      <c r="T704" t="s">
        <v>234</v>
      </c>
      <c r="U704" t="str">
        <f t="shared" si="312"/>
        <v>Gujarat</v>
      </c>
      <c r="V704" t="s">
        <v>235</v>
      </c>
      <c r="W704" t="str">
        <f t="shared" si="313"/>
        <v>Ahmedabad</v>
      </c>
      <c r="X704" t="str">
        <f t="shared" si="314"/>
        <v>Office Supplies</v>
      </c>
      <c r="Y704" t="s">
        <v>29</v>
      </c>
      <c r="Z704" t="s">
        <v>53</v>
      </c>
      <c r="AA704" t="str">
        <f t="shared" si="315"/>
        <v>Art</v>
      </c>
      <c r="AB704" t="s">
        <v>2061</v>
      </c>
      <c r="AC704" t="s">
        <v>55</v>
      </c>
      <c r="AD704" t="str">
        <f t="shared" si="337"/>
        <v>First Class</v>
      </c>
      <c r="AE704" t="str">
        <f t="shared" si="322"/>
        <v>OK</v>
      </c>
      <c r="AF704">
        <v>6</v>
      </c>
      <c r="AG704">
        <v>3863</v>
      </c>
      <c r="AH704">
        <v>0.2</v>
      </c>
      <c r="AI704">
        <f t="shared" si="323"/>
        <v>0.2</v>
      </c>
      <c r="AJ704" t="str">
        <f t="shared" si="324"/>
        <v>OK</v>
      </c>
      <c r="AK704">
        <v>18542.400000000001</v>
      </c>
      <c r="AL704">
        <v>11193.75</v>
      </c>
      <c r="AM704">
        <v>7348.65</v>
      </c>
      <c r="AN704" t="s">
        <v>33</v>
      </c>
      <c r="AO704" t="str">
        <f t="shared" si="316"/>
        <v>PAID</v>
      </c>
      <c r="AP704" t="str">
        <f t="shared" si="325"/>
        <v>OK</v>
      </c>
      <c r="AQ704" t="s">
        <v>34</v>
      </c>
      <c r="AR704" t="str">
        <f t="shared" si="317"/>
        <v>COMPLETED</v>
      </c>
      <c r="AS704" t="str">
        <f t="shared" si="326"/>
        <v>OK</v>
      </c>
      <c r="AT704">
        <f t="shared" si="327"/>
        <v>18542.400000000001</v>
      </c>
      <c r="AU704">
        <f t="shared" si="328"/>
        <v>7348.6500000000015</v>
      </c>
      <c r="AV704" s="6">
        <f t="shared" si="329"/>
        <v>3.8507960134610414E-2</v>
      </c>
      <c r="AW704" t="str">
        <f t="shared" si="330"/>
        <v>CLEAN</v>
      </c>
      <c r="AX704" s="10" t="str">
        <f t="shared" si="331"/>
        <v>MATCH</v>
      </c>
      <c r="AY704" t="str">
        <f t="shared" si="332"/>
        <v>MATCH</v>
      </c>
    </row>
    <row r="705" spans="1:51">
      <c r="A705" t="s">
        <v>2067</v>
      </c>
      <c r="B705">
        <f t="shared" si="308"/>
        <v>1</v>
      </c>
      <c r="C705" t="s">
        <v>2068</v>
      </c>
      <c r="D705" s="3">
        <v>45926</v>
      </c>
      <c r="E705" t="str">
        <f t="shared" si="309"/>
        <v>2025/09/26</v>
      </c>
      <c r="F705" t="str">
        <f t="shared" si="318"/>
        <v>September</v>
      </c>
      <c r="G705">
        <f t="shared" si="319"/>
        <v>2025</v>
      </c>
      <c r="H705" t="s">
        <v>2069</v>
      </c>
      <c r="I705" s="4">
        <v>45930</v>
      </c>
      <c r="J705" s="8">
        <f t="shared" si="310"/>
        <v>4</v>
      </c>
      <c r="K705" s="8" t="str">
        <f t="shared" si="320"/>
        <v>OK</v>
      </c>
      <c r="L705" t="s">
        <v>2070</v>
      </c>
      <c r="M705" t="s">
        <v>167</v>
      </c>
      <c r="N705" t="str">
        <f t="shared" si="311"/>
        <v>Sneha Kapoor</v>
      </c>
      <c r="O705" t="s">
        <v>114</v>
      </c>
      <c r="P705" t="str">
        <f t="shared" si="333"/>
        <v>Home Office</v>
      </c>
      <c r="Q705" t="s">
        <v>26</v>
      </c>
      <c r="R705" t="str">
        <f t="shared" si="336"/>
        <v>North</v>
      </c>
      <c r="S705" t="str">
        <f t="shared" si="321"/>
        <v>OK</v>
      </c>
      <c r="T705" t="s">
        <v>322</v>
      </c>
      <c r="U705" t="str">
        <f t="shared" si="312"/>
        <v>Haryana</v>
      </c>
      <c r="V705" t="s">
        <v>323</v>
      </c>
      <c r="W705" t="str">
        <f t="shared" si="313"/>
        <v>Gurugram</v>
      </c>
      <c r="X705" t="str">
        <f t="shared" si="314"/>
        <v>Technology</v>
      </c>
      <c r="Y705" t="s">
        <v>85</v>
      </c>
      <c r="Z705" t="s">
        <v>222</v>
      </c>
      <c r="AA705" t="str">
        <f t="shared" si="315"/>
        <v>Phones</v>
      </c>
      <c r="AB705" t="s">
        <v>2071</v>
      </c>
      <c r="AC705" t="s">
        <v>47</v>
      </c>
      <c r="AD705" t="str">
        <f t="shared" si="337"/>
        <v>Same Day</v>
      </c>
      <c r="AE705" t="str">
        <f t="shared" si="322"/>
        <v>OK</v>
      </c>
      <c r="AF705">
        <v>2</v>
      </c>
      <c r="AG705">
        <v>688.83</v>
      </c>
      <c r="AH705">
        <v>0.05</v>
      </c>
      <c r="AI705">
        <f t="shared" si="323"/>
        <v>0.05</v>
      </c>
      <c r="AJ705" t="str">
        <f t="shared" si="324"/>
        <v>OK</v>
      </c>
      <c r="AK705">
        <v>1308.78</v>
      </c>
      <c r="AL705">
        <v>843</v>
      </c>
      <c r="AM705">
        <v>465.78</v>
      </c>
      <c r="AN705" t="s">
        <v>33</v>
      </c>
      <c r="AO705" t="str">
        <f t="shared" si="316"/>
        <v>PAID</v>
      </c>
      <c r="AP705" t="str">
        <f t="shared" si="325"/>
        <v>OK</v>
      </c>
      <c r="AQ705" t="s">
        <v>34</v>
      </c>
      <c r="AR705" t="str">
        <f t="shared" si="317"/>
        <v>COMPLETED</v>
      </c>
      <c r="AS705" t="str">
        <f t="shared" si="326"/>
        <v>OK</v>
      </c>
      <c r="AT705">
        <f t="shared" si="327"/>
        <v>1308.777</v>
      </c>
      <c r="AU705">
        <f t="shared" si="328"/>
        <v>465.77700000000004</v>
      </c>
      <c r="AV705" s="6">
        <f t="shared" si="329"/>
        <v>2.4447006632909956</v>
      </c>
      <c r="AW705" t="str">
        <f t="shared" si="330"/>
        <v>CLEAN</v>
      </c>
      <c r="AX705" s="10" t="str">
        <f t="shared" si="331"/>
        <v>MATCH</v>
      </c>
      <c r="AY705" t="str">
        <f t="shared" si="332"/>
        <v>MATCH</v>
      </c>
    </row>
    <row r="706" spans="1:51">
      <c r="A706" t="s">
        <v>2072</v>
      </c>
      <c r="B706">
        <f t="shared" ref="B706:B769" si="338">COUNTIF($A:$A,A706)</f>
        <v>1</v>
      </c>
      <c r="C706" t="s">
        <v>962</v>
      </c>
      <c r="D706" s="3">
        <v>45734</v>
      </c>
      <c r="E706" t="str">
        <f t="shared" ref="E706:E769" si="339">IFERROR(
TEXT(
  IF(ISNUMBER(SEARCH("/",D706)),
     DATE(RIGHT(D706,4),LEFT(D706,FIND("/",D706)-1),
          MID(D706,FIND("/",D706)+1,FIND("/",D706,FIND("/",D706)+1)-FIND("/",D706)-1)),
     IF(ISNUMBER(SEARCH("-",D706)),
        DATEVALUE(SUBSTITUTE(D706,"-","/")),
        DATEVALUE(TEXT(D706,"dd mmm yyyy"))
     )
  ),
"yyyy/mm/dd"
),
"")</f>
        <v>2025/03/18</v>
      </c>
      <c r="F706" t="str">
        <f t="shared" si="318"/>
        <v>March</v>
      </c>
      <c r="G706">
        <f t="shared" si="319"/>
        <v>2025</v>
      </c>
      <c r="H706" t="s">
        <v>2073</v>
      </c>
      <c r="I706" s="4">
        <v>45735</v>
      </c>
      <c r="J706" s="8">
        <f t="shared" ref="J706:J769" si="340">I706-E706</f>
        <v>1</v>
      </c>
      <c r="K706" s="8" t="str">
        <f t="shared" si="320"/>
        <v>OK</v>
      </c>
      <c r="L706" t="s">
        <v>2074</v>
      </c>
      <c r="M706" t="s">
        <v>52</v>
      </c>
      <c r="N706" t="str">
        <f t="shared" ref="N706:N769" si="341">PROPER(TRIM(SUBSTITUTE(M706,CHAR(160)," ")))</f>
        <v>Isha Nair</v>
      </c>
      <c r="O706" t="s">
        <v>107</v>
      </c>
      <c r="P706" t="str">
        <f t="shared" si="333"/>
        <v>Corporate</v>
      </c>
      <c r="Q706" t="s">
        <v>61</v>
      </c>
      <c r="R706" t="str">
        <f t="shared" si="336"/>
        <v>South</v>
      </c>
      <c r="S706" t="str">
        <f t="shared" si="321"/>
        <v>OK</v>
      </c>
      <c r="T706" t="s">
        <v>338</v>
      </c>
      <c r="U706" t="str">
        <f t="shared" ref="U706:U769" si="342">PROPER(TRIM(SUBSTITUTE(T706,CHAR(160)," ")))</f>
        <v>Tamil Nadu</v>
      </c>
      <c r="V706" t="s">
        <v>339</v>
      </c>
      <c r="W706" t="str">
        <f t="shared" ref="W706:W769" si="343">PROPER(TRIM(SUBSTITUTE(V706,CHAR(160)," ")))</f>
        <v>Chennai</v>
      </c>
      <c r="X706" t="str">
        <f t="shared" ref="X706:X769" si="344">PROPER(TRIM(SUBSTITUTE(Y706,CHAR(160)," ")))</f>
        <v>Technology</v>
      </c>
      <c r="Y706" t="s">
        <v>85</v>
      </c>
      <c r="Z706" t="s">
        <v>381</v>
      </c>
      <c r="AA706" t="str">
        <f t="shared" ref="AA706:AA769" si="345">PROPER(TRIM(SUBSTITUTE(Z706,CHAR(160)," ")))</f>
        <v>Machines</v>
      </c>
      <c r="AB706" t="s">
        <v>2075</v>
      </c>
      <c r="AC706" t="s">
        <v>66</v>
      </c>
      <c r="AD706" t="str">
        <f t="shared" si="337"/>
        <v>Standard Class</v>
      </c>
      <c r="AE706" t="str">
        <f t="shared" si="322"/>
        <v>OK</v>
      </c>
      <c r="AF706">
        <v>2</v>
      </c>
      <c r="AG706">
        <v>1209.99</v>
      </c>
      <c r="AH706">
        <v>0.25</v>
      </c>
      <c r="AI706">
        <f t="shared" si="323"/>
        <v>0.25</v>
      </c>
      <c r="AJ706" t="str">
        <f t="shared" si="324"/>
        <v>OK</v>
      </c>
      <c r="AK706">
        <v>1814.99</v>
      </c>
      <c r="AL706">
        <v>1120.06</v>
      </c>
      <c r="AM706">
        <v>694.93</v>
      </c>
      <c r="AN706" t="s">
        <v>136</v>
      </c>
      <c r="AO706" t="str">
        <f t="shared" ref="AO706:AO769" si="346">UPPER(TRIM(SUBSTITUTE(AN706,CHAR(160)," ")))</f>
        <v>PENDING</v>
      </c>
      <c r="AP706" t="str">
        <f t="shared" si="325"/>
        <v>OK</v>
      </c>
      <c r="AQ706" t="s">
        <v>77</v>
      </c>
      <c r="AR706" t="str">
        <f t="shared" ref="AR706:AR769" si="347">UPPER(TRIM(SUBSTITUTE(AQ706,CHAR(160)," ")))</f>
        <v>CANCELLED</v>
      </c>
      <c r="AS706" t="str">
        <f t="shared" si="326"/>
        <v>EXCLUDE_FROM_SALES</v>
      </c>
      <c r="AT706">
        <f t="shared" si="327"/>
        <v>1814.9850000000001</v>
      </c>
      <c r="AU706">
        <f t="shared" si="328"/>
        <v>694.92500000000018</v>
      </c>
      <c r="AV706" s="6">
        <f t="shared" si="329"/>
        <v>0.63788405964787587</v>
      </c>
      <c r="AW706" t="str">
        <f t="shared" si="330"/>
        <v>CLEAN</v>
      </c>
      <c r="AX706" s="10" t="str">
        <f t="shared" si="331"/>
        <v>MATCH</v>
      </c>
      <c r="AY706" t="str">
        <f t="shared" si="332"/>
        <v>MATCH</v>
      </c>
    </row>
    <row r="707" spans="1:51">
      <c r="A707" t="s">
        <v>2076</v>
      </c>
      <c r="B707">
        <f t="shared" si="338"/>
        <v>1</v>
      </c>
      <c r="C707" t="s">
        <v>2077</v>
      </c>
      <c r="D707" s="3">
        <v>45822</v>
      </c>
      <c r="E707" t="str">
        <f t="shared" si="339"/>
        <v>2025/06/14</v>
      </c>
      <c r="F707" t="str">
        <f t="shared" ref="F707:F770" si="348">TEXT(E707,"MMMM")</f>
        <v>June</v>
      </c>
      <c r="G707">
        <f t="shared" ref="G707:G770" si="349">YEAR(E707)</f>
        <v>2025</v>
      </c>
      <c r="H707" t="s">
        <v>2078</v>
      </c>
      <c r="I707" s="4">
        <v>45827</v>
      </c>
      <c r="J707" s="8">
        <f t="shared" si="340"/>
        <v>5</v>
      </c>
      <c r="K707" s="8" t="str">
        <f t="shared" ref="K707:K770" si="350">IF(J707&lt;0,"INVAILD_SHIPPING","OK")</f>
        <v>OK</v>
      </c>
      <c r="L707" t="s">
        <v>2079</v>
      </c>
      <c r="M707" t="s">
        <v>179</v>
      </c>
      <c r="N707" t="str">
        <f t="shared" si="341"/>
        <v>Rohan Mehta</v>
      </c>
      <c r="O707" t="s">
        <v>40</v>
      </c>
      <c r="P707" t="str">
        <f t="shared" si="333"/>
        <v>Small Business</v>
      </c>
      <c r="Q707" t="s">
        <v>26</v>
      </c>
      <c r="R707" t="str">
        <f t="shared" si="336"/>
        <v>North</v>
      </c>
      <c r="S707" t="str">
        <f t="shared" ref="S707:S770" si="351">IF(R707="Unknown","MISSING_REGION","OK")</f>
        <v>OK</v>
      </c>
      <c r="T707" t="s">
        <v>505</v>
      </c>
      <c r="U707" t="str">
        <f t="shared" si="342"/>
        <v>Delhi</v>
      </c>
      <c r="V707" t="s">
        <v>506</v>
      </c>
      <c r="W707" t="str">
        <f t="shared" si="343"/>
        <v>New Delhi</v>
      </c>
      <c r="X707" t="str">
        <f t="shared" si="344"/>
        <v>Office Supplies</v>
      </c>
      <c r="Y707" t="s">
        <v>29</v>
      </c>
      <c r="Z707" t="s">
        <v>197</v>
      </c>
      <c r="AA707" t="str">
        <f t="shared" si="345"/>
        <v>Binders</v>
      </c>
      <c r="AB707" t="s">
        <v>2080</v>
      </c>
      <c r="AC707" t="s">
        <v>47</v>
      </c>
      <c r="AD707" t="str">
        <f t="shared" si="337"/>
        <v>Same Day</v>
      </c>
      <c r="AE707" t="str">
        <f t="shared" ref="AE707:AE770" si="352">IF(AD707="Unknown","MISSING_SHIP_MODE","OK")</f>
        <v>OK</v>
      </c>
      <c r="AF707">
        <v>3</v>
      </c>
      <c r="AG707">
        <v>1037.45</v>
      </c>
      <c r="AH707">
        <v>0.2</v>
      </c>
      <c r="AI707">
        <f t="shared" ref="AI707:AI770" si="353">IF(RIGHT(AH707,1)="%",VALUE(SUBSTITUTE(AH707,"%",""))/100,AH707)</f>
        <v>0.2</v>
      </c>
      <c r="AJ707" t="str">
        <f t="shared" ref="AJ707:AJ770" si="354">IF(AH707="","Missing Discount",
IF(AH707&lt;0,"Invalid Negative Discount",
"OK"))</f>
        <v>OK</v>
      </c>
      <c r="AK707">
        <v>2489.88</v>
      </c>
      <c r="AL707">
        <v>1707.52</v>
      </c>
      <c r="AM707">
        <v>782.36</v>
      </c>
      <c r="AN707" t="s">
        <v>136</v>
      </c>
      <c r="AO707" t="str">
        <f t="shared" si="346"/>
        <v>PENDING</v>
      </c>
      <c r="AP707" t="str">
        <f t="shared" ref="AP707:AP770" si="355">IF(AO707="Failed","EXCLUDE_FROM_SALES",
IF(AO707="Refunded","REFUNDED_PAYMENT",
"OK"))</f>
        <v>OK</v>
      </c>
      <c r="AQ707" t="s">
        <v>124</v>
      </c>
      <c r="AR707" t="str">
        <f t="shared" si="347"/>
        <v>RETURNED</v>
      </c>
      <c r="AS707" t="str">
        <f t="shared" ref="AS707:AS770" si="356">IF(AR707="Cancelled","EXCLUDE_FROM_SALES",
IF(AR707="Returned","RETURNED_ORDER",
"OK"))</f>
        <v>RETURNED_ORDER</v>
      </c>
      <c r="AT707">
        <f t="shared" ref="AT707:AT770" si="357">IF(AI707&lt;0,"INVAILD",AF707*AG707*(1-AI707))</f>
        <v>2489.8800000000006</v>
      </c>
      <c r="AU707">
        <f t="shared" ref="AU707:AU770" si="358">IF(AT707="INVAILD","INVAILD",AT707-AL707)</f>
        <v>782.36000000000058</v>
      </c>
      <c r="AV707" s="6">
        <f t="shared" ref="AV707:AV770" si="359">IF(OR(AT707="INVALID",AU707="INVALID"),"",AU728/AT707)</f>
        <v>1.7669686892541012</v>
      </c>
      <c r="AW707" t="str">
        <f t="shared" ref="AW707:AW770" si="360">IF(OR(AJ707&lt;&gt;"OK",K707="INVALID_SHIPPING"),
"INVALID",
IF(OR(S707&lt;&gt;"OK",AE707&lt;&gt;"OK"),
"WARNING",
"CLEAN"))</f>
        <v>CLEAN</v>
      </c>
      <c r="AX707" s="10" t="str">
        <f t="shared" ref="AX707:AX770" si="361">IF(AT707="INVALID","INVALID",
IF(ROUND(AK707,2)=ROUND(AT707,2),"MATCH","MISMATCH"))</f>
        <v>MATCH</v>
      </c>
      <c r="AY707" t="str">
        <f t="shared" ref="AY707:AY770" si="362">IF(AU707="INVALID","INVALID",IF(ROUND(AM707,2)=ROUND(AU707,2),"MATCH","MISMATCH"))</f>
        <v>MATCH</v>
      </c>
    </row>
    <row r="708" spans="1:51">
      <c r="A708" t="s">
        <v>2081</v>
      </c>
      <c r="B708">
        <f t="shared" si="338"/>
        <v>1</v>
      </c>
      <c r="C708" t="s">
        <v>2082</v>
      </c>
      <c r="D708" s="3">
        <v>45725</v>
      </c>
      <c r="E708" t="str">
        <f t="shared" si="339"/>
        <v>2025/03/09</v>
      </c>
      <c r="F708" t="str">
        <f t="shared" si="348"/>
        <v>March</v>
      </c>
      <c r="G708">
        <f t="shared" si="349"/>
        <v>2025</v>
      </c>
      <c r="H708" t="s">
        <v>2083</v>
      </c>
      <c r="I708" s="4">
        <v>45906</v>
      </c>
      <c r="J708" s="8">
        <f t="shared" si="340"/>
        <v>181</v>
      </c>
      <c r="K708" s="8" t="str">
        <f t="shared" si="350"/>
        <v>OK</v>
      </c>
      <c r="L708" t="s">
        <v>2084</v>
      </c>
      <c r="M708" t="s">
        <v>365</v>
      </c>
      <c r="N708" t="str">
        <f t="shared" si="341"/>
        <v>Kabir Singh</v>
      </c>
      <c r="O708" t="s">
        <v>25</v>
      </c>
      <c r="P708" t="str">
        <f t="shared" si="333"/>
        <v>Consumer</v>
      </c>
      <c r="Q708" t="s">
        <v>72</v>
      </c>
      <c r="R708" t="str">
        <f t="shared" si="336"/>
        <v>West</v>
      </c>
      <c r="S708" t="str">
        <f t="shared" si="351"/>
        <v>OK</v>
      </c>
      <c r="T708" t="s">
        <v>83</v>
      </c>
      <c r="U708" t="str">
        <f t="shared" si="342"/>
        <v>Madhya Pradesh</v>
      </c>
      <c r="V708" t="s">
        <v>84</v>
      </c>
      <c r="W708" t="str">
        <f t="shared" si="343"/>
        <v>Indore</v>
      </c>
      <c r="X708" t="str">
        <f t="shared" si="344"/>
        <v>Technology</v>
      </c>
      <c r="Y708" t="s">
        <v>85</v>
      </c>
      <c r="Z708" t="s">
        <v>93</v>
      </c>
      <c r="AA708" t="str">
        <f t="shared" si="345"/>
        <v>Copiers</v>
      </c>
      <c r="AB708" t="s">
        <v>2085</v>
      </c>
      <c r="AC708" t="s">
        <v>47</v>
      </c>
      <c r="AD708" t="str">
        <f t="shared" si="337"/>
        <v>Same Day</v>
      </c>
      <c r="AE708" t="str">
        <f t="shared" si="352"/>
        <v>OK</v>
      </c>
      <c r="AF708">
        <v>7</v>
      </c>
      <c r="AG708">
        <v>688.85</v>
      </c>
      <c r="AH708">
        <v>0.15</v>
      </c>
      <c r="AI708">
        <f t="shared" si="353"/>
        <v>0.15</v>
      </c>
      <c r="AJ708" t="str">
        <f t="shared" si="354"/>
        <v>OK</v>
      </c>
      <c r="AK708">
        <v>4098.66</v>
      </c>
      <c r="AL708">
        <v>2678.06</v>
      </c>
      <c r="AM708">
        <v>1420.6</v>
      </c>
      <c r="AN708" t="s">
        <v>33</v>
      </c>
      <c r="AO708" t="str">
        <f t="shared" si="346"/>
        <v>PAID</v>
      </c>
      <c r="AP708" t="str">
        <f t="shared" si="355"/>
        <v>OK</v>
      </c>
      <c r="AQ708" t="s">
        <v>34</v>
      </c>
      <c r="AR708" t="str">
        <f t="shared" si="347"/>
        <v>COMPLETED</v>
      </c>
      <c r="AS708" t="str">
        <f t="shared" si="356"/>
        <v>OK</v>
      </c>
      <c r="AT708">
        <f t="shared" si="357"/>
        <v>4098.6574999999993</v>
      </c>
      <c r="AU708">
        <f t="shared" si="358"/>
        <v>1420.5974999999994</v>
      </c>
      <c r="AV708" s="6">
        <f t="shared" si="359"/>
        <v>0.60667718637139167</v>
      </c>
      <c r="AW708" t="str">
        <f t="shared" si="360"/>
        <v>CLEAN</v>
      </c>
      <c r="AX708" s="10" t="str">
        <f t="shared" si="361"/>
        <v>MATCH</v>
      </c>
      <c r="AY708" t="str">
        <f t="shared" si="362"/>
        <v>MATCH</v>
      </c>
    </row>
    <row r="709" spans="1:51">
      <c r="A709" t="s">
        <v>2107</v>
      </c>
      <c r="B709">
        <f t="shared" si="338"/>
        <v>1</v>
      </c>
      <c r="C709" t="s">
        <v>2108</v>
      </c>
      <c r="D709" s="3">
        <v>45769</v>
      </c>
      <c r="E709" t="str">
        <f t="shared" si="339"/>
        <v>2025/04/22</v>
      </c>
      <c r="F709" t="str">
        <f t="shared" si="348"/>
        <v>April</v>
      </c>
      <c r="G709">
        <f t="shared" si="349"/>
        <v>2025</v>
      </c>
      <c r="H709" t="s">
        <v>2109</v>
      </c>
      <c r="I709" s="4">
        <v>45771</v>
      </c>
      <c r="J709" s="8">
        <f t="shared" si="340"/>
        <v>2</v>
      </c>
      <c r="K709" s="8" t="str">
        <f t="shared" si="350"/>
        <v>OK</v>
      </c>
      <c r="L709" t="s">
        <v>2110</v>
      </c>
      <c r="M709" t="s">
        <v>52</v>
      </c>
      <c r="N709" t="str">
        <f t="shared" si="341"/>
        <v>Isha Nair</v>
      </c>
      <c r="O709" t="s">
        <v>107</v>
      </c>
      <c r="P709" t="str">
        <f t="shared" si="333"/>
        <v>Corporate</v>
      </c>
      <c r="R709" t="s">
        <v>4109</v>
      </c>
      <c r="S709" t="str">
        <f t="shared" si="351"/>
        <v>MISSING_REGION</v>
      </c>
      <c r="T709" t="s">
        <v>310</v>
      </c>
      <c r="U709" t="str">
        <f t="shared" si="342"/>
        <v>Jharkhand</v>
      </c>
      <c r="V709" t="s">
        <v>311</v>
      </c>
      <c r="W709" t="str">
        <f t="shared" si="343"/>
        <v>Ranchi</v>
      </c>
      <c r="X709" t="str">
        <f t="shared" si="344"/>
        <v>Technology</v>
      </c>
      <c r="Y709" t="s">
        <v>85</v>
      </c>
      <c r="Z709" t="s">
        <v>86</v>
      </c>
      <c r="AA709" t="str">
        <f t="shared" si="345"/>
        <v>Accessories</v>
      </c>
      <c r="AB709" t="s">
        <v>2111</v>
      </c>
      <c r="AC709" t="s">
        <v>285</v>
      </c>
      <c r="AD709" t="str">
        <f t="shared" si="337"/>
        <v>Standard Class</v>
      </c>
      <c r="AE709" t="str">
        <f t="shared" si="352"/>
        <v>OK</v>
      </c>
      <c r="AF709">
        <v>9</v>
      </c>
      <c r="AG709">
        <v>2939.44</v>
      </c>
      <c r="AH709">
        <v>0</v>
      </c>
      <c r="AI709">
        <f t="shared" si="353"/>
        <v>0</v>
      </c>
      <c r="AJ709" t="str">
        <f t="shared" si="354"/>
        <v>OK</v>
      </c>
      <c r="AK709">
        <v>26454.959999999999</v>
      </c>
      <c r="AL709">
        <v>17630.25</v>
      </c>
      <c r="AM709">
        <v>8824.7099999999991</v>
      </c>
      <c r="AN709" t="s">
        <v>33</v>
      </c>
      <c r="AO709" t="str">
        <f t="shared" si="346"/>
        <v>PAID</v>
      </c>
      <c r="AP709" t="str">
        <f t="shared" si="355"/>
        <v>OK</v>
      </c>
      <c r="AQ709" t="s">
        <v>34</v>
      </c>
      <c r="AR709" t="str">
        <f t="shared" si="347"/>
        <v>COMPLETED</v>
      </c>
      <c r="AS709" t="str">
        <f t="shared" si="356"/>
        <v>OK</v>
      </c>
      <c r="AT709">
        <f t="shared" si="357"/>
        <v>26454.959999999999</v>
      </c>
      <c r="AU709">
        <f t="shared" si="358"/>
        <v>8824.7099999999991</v>
      </c>
      <c r="AV709" s="6">
        <f t="shared" si="359"/>
        <v>6.8466933988938175E-2</v>
      </c>
      <c r="AW709" t="str">
        <f t="shared" si="360"/>
        <v>WARNING</v>
      </c>
      <c r="AX709" s="10" t="str">
        <f t="shared" si="361"/>
        <v>MATCH</v>
      </c>
      <c r="AY709" t="str">
        <f t="shared" si="362"/>
        <v>MATCH</v>
      </c>
    </row>
    <row r="710" spans="1:51">
      <c r="A710" t="s">
        <v>2112</v>
      </c>
      <c r="B710">
        <f t="shared" si="338"/>
        <v>1</v>
      </c>
      <c r="C710" t="s">
        <v>2113</v>
      </c>
      <c r="D710" s="3">
        <v>45731</v>
      </c>
      <c r="E710" t="str">
        <f t="shared" si="339"/>
        <v>2025/03/15</v>
      </c>
      <c r="F710" t="str">
        <f t="shared" si="348"/>
        <v>March</v>
      </c>
      <c r="G710">
        <f t="shared" si="349"/>
        <v>2025</v>
      </c>
      <c r="H710" t="s">
        <v>2114</v>
      </c>
      <c r="I710" s="4">
        <v>45738</v>
      </c>
      <c r="J710" s="8">
        <f t="shared" si="340"/>
        <v>7</v>
      </c>
      <c r="K710" s="8" t="str">
        <f t="shared" si="350"/>
        <v>OK</v>
      </c>
      <c r="L710" t="s">
        <v>2115</v>
      </c>
      <c r="M710" t="s">
        <v>24</v>
      </c>
      <c r="N710" t="str">
        <f t="shared" si="341"/>
        <v>Karan Malhotra</v>
      </c>
      <c r="O710" t="s">
        <v>40</v>
      </c>
      <c r="P710" t="str">
        <f t="shared" si="333"/>
        <v>Small Business</v>
      </c>
      <c r="Q710" t="s">
        <v>41</v>
      </c>
      <c r="R710" t="str">
        <f t="shared" ref="R710:R722" si="363">PROPER(TRIM(SUBSTITUTE(Q710,CHAR(160)," ")))</f>
        <v>East</v>
      </c>
      <c r="S710" t="str">
        <f t="shared" si="351"/>
        <v>OK</v>
      </c>
      <c r="T710" t="s">
        <v>120</v>
      </c>
      <c r="U710" t="str">
        <f t="shared" si="342"/>
        <v>West Bengal</v>
      </c>
      <c r="V710" t="s">
        <v>121</v>
      </c>
      <c r="W710" t="str">
        <f t="shared" si="343"/>
        <v>Kolkata</v>
      </c>
      <c r="X710" t="str">
        <f t="shared" si="344"/>
        <v>Technology</v>
      </c>
      <c r="Y710" t="s">
        <v>85</v>
      </c>
      <c r="Z710" t="s">
        <v>222</v>
      </c>
      <c r="AA710" t="str">
        <f t="shared" si="345"/>
        <v>Phones</v>
      </c>
      <c r="AB710" t="s">
        <v>2116</v>
      </c>
      <c r="AC710" t="s">
        <v>47</v>
      </c>
      <c r="AD710" t="str">
        <f t="shared" si="337"/>
        <v>Same Day</v>
      </c>
      <c r="AE710" t="str">
        <f t="shared" si="352"/>
        <v>OK</v>
      </c>
      <c r="AF710">
        <v>2</v>
      </c>
      <c r="AG710">
        <v>1235.93</v>
      </c>
      <c r="AH710">
        <v>0.25</v>
      </c>
      <c r="AI710">
        <f t="shared" si="353"/>
        <v>0.25</v>
      </c>
      <c r="AJ710" t="str">
        <f t="shared" si="354"/>
        <v>OK</v>
      </c>
      <c r="AK710">
        <v>1853.89</v>
      </c>
      <c r="AL710">
        <v>1101.23</v>
      </c>
      <c r="AM710">
        <v>752.66</v>
      </c>
      <c r="AN710" t="s">
        <v>136</v>
      </c>
      <c r="AO710" t="str">
        <f t="shared" si="346"/>
        <v>PENDING</v>
      </c>
      <c r="AP710" t="str">
        <f t="shared" si="355"/>
        <v>OK</v>
      </c>
      <c r="AQ710" t="s">
        <v>77</v>
      </c>
      <c r="AR710" t="str">
        <f t="shared" si="347"/>
        <v>CANCELLED</v>
      </c>
      <c r="AS710" t="str">
        <f t="shared" si="356"/>
        <v>EXCLUDE_FROM_SALES</v>
      </c>
      <c r="AT710">
        <f t="shared" si="357"/>
        <v>1853.895</v>
      </c>
      <c r="AU710">
        <f t="shared" si="358"/>
        <v>752.66499999999996</v>
      </c>
      <c r="AV710" s="6">
        <f t="shared" si="359"/>
        <v>-2.5229379225900064</v>
      </c>
      <c r="AW710" t="str">
        <f t="shared" si="360"/>
        <v>CLEAN</v>
      </c>
      <c r="AX710" s="10" t="str">
        <f t="shared" si="361"/>
        <v>MISMATCH</v>
      </c>
      <c r="AY710" t="str">
        <f t="shared" si="362"/>
        <v>MISMATCH</v>
      </c>
    </row>
    <row r="711" spans="1:51">
      <c r="A711" t="s">
        <v>2117</v>
      </c>
      <c r="B711">
        <f t="shared" si="338"/>
        <v>1</v>
      </c>
      <c r="C711" t="s">
        <v>2118</v>
      </c>
      <c r="D711" s="2">
        <v>45660</v>
      </c>
      <c r="E711" t="str">
        <f t="shared" si="339"/>
        <v>2025/01/03</v>
      </c>
      <c r="F711" t="str">
        <f t="shared" si="348"/>
        <v>January</v>
      </c>
      <c r="G711">
        <f t="shared" si="349"/>
        <v>2025</v>
      </c>
      <c r="H711" t="s">
        <v>2119</v>
      </c>
      <c r="I711" s="4">
        <v>45872</v>
      </c>
      <c r="J711" s="8">
        <f t="shared" si="340"/>
        <v>212</v>
      </c>
      <c r="K711" s="8" t="str">
        <f t="shared" si="350"/>
        <v>OK</v>
      </c>
      <c r="L711" t="s">
        <v>2120</v>
      </c>
      <c r="M711" t="s">
        <v>92</v>
      </c>
      <c r="N711" t="str">
        <f t="shared" si="341"/>
        <v>Neha Gupta</v>
      </c>
      <c r="O711" t="s">
        <v>114</v>
      </c>
      <c r="P711" t="str">
        <f t="shared" si="333"/>
        <v>Home Office</v>
      </c>
      <c r="Q711" t="s">
        <v>26</v>
      </c>
      <c r="R711" t="str">
        <f t="shared" si="363"/>
        <v>North</v>
      </c>
      <c r="S711" t="str">
        <f t="shared" si="351"/>
        <v>OK</v>
      </c>
      <c r="T711" t="s">
        <v>27</v>
      </c>
      <c r="U711" t="str">
        <f t="shared" si="342"/>
        <v>Rajasthan</v>
      </c>
      <c r="V711" t="s">
        <v>28</v>
      </c>
      <c r="W711" t="str">
        <f t="shared" si="343"/>
        <v>Jaipur</v>
      </c>
      <c r="X711" t="str">
        <f t="shared" si="344"/>
        <v>Technology</v>
      </c>
      <c r="Y711" t="s">
        <v>85</v>
      </c>
      <c r="Z711" t="s">
        <v>93</v>
      </c>
      <c r="AA711" t="str">
        <f t="shared" si="345"/>
        <v>Copiers</v>
      </c>
      <c r="AB711" t="s">
        <v>2121</v>
      </c>
      <c r="AC711" t="s">
        <v>47</v>
      </c>
      <c r="AD711" t="str">
        <f t="shared" si="337"/>
        <v>Same Day</v>
      </c>
      <c r="AE711" t="str">
        <f t="shared" si="352"/>
        <v>OK</v>
      </c>
      <c r="AF711">
        <v>8</v>
      </c>
      <c r="AG711">
        <v>2943.1</v>
      </c>
      <c r="AH711">
        <v>0.25</v>
      </c>
      <c r="AI711">
        <f t="shared" si="353"/>
        <v>0.25</v>
      </c>
      <c r="AJ711" t="str">
        <f t="shared" si="354"/>
        <v>OK</v>
      </c>
      <c r="AK711">
        <v>17658.599999999999</v>
      </c>
      <c r="AL711">
        <v>13842.48</v>
      </c>
      <c r="AM711">
        <v>3816.12</v>
      </c>
      <c r="AN711" t="s">
        <v>33</v>
      </c>
      <c r="AO711" t="str">
        <f t="shared" si="346"/>
        <v>PAID</v>
      </c>
      <c r="AP711" t="str">
        <f t="shared" si="355"/>
        <v>OK</v>
      </c>
      <c r="AQ711" t="s">
        <v>34</v>
      </c>
      <c r="AR711" t="str">
        <f t="shared" si="347"/>
        <v>COMPLETED</v>
      </c>
      <c r="AS711" t="str">
        <f t="shared" si="356"/>
        <v>OK</v>
      </c>
      <c r="AT711">
        <f t="shared" si="357"/>
        <v>17658.599999999999</v>
      </c>
      <c r="AU711">
        <f t="shared" si="358"/>
        <v>3816.119999999999</v>
      </c>
      <c r="AV711" s="6">
        <f t="shared" si="359"/>
        <v>0.11722163704936968</v>
      </c>
      <c r="AW711" t="str">
        <f t="shared" si="360"/>
        <v>CLEAN</v>
      </c>
      <c r="AX711" s="10" t="str">
        <f t="shared" si="361"/>
        <v>MATCH</v>
      </c>
      <c r="AY711" t="str">
        <f t="shared" si="362"/>
        <v>MATCH</v>
      </c>
    </row>
    <row r="712" spans="1:51">
      <c r="A712" t="s">
        <v>2140</v>
      </c>
      <c r="B712">
        <f t="shared" si="338"/>
        <v>1</v>
      </c>
      <c r="C712" t="s">
        <v>2141</v>
      </c>
      <c r="D712" s="3">
        <v>45965</v>
      </c>
      <c r="E712" t="str">
        <f t="shared" si="339"/>
        <v>2025/11/04</v>
      </c>
      <c r="F712" t="str">
        <f t="shared" si="348"/>
        <v>November</v>
      </c>
      <c r="G712">
        <f t="shared" si="349"/>
        <v>2025</v>
      </c>
      <c r="H712" t="s">
        <v>2142</v>
      </c>
      <c r="I712" s="4">
        <v>45762</v>
      </c>
      <c r="J712" s="8">
        <f t="shared" si="340"/>
        <v>-203</v>
      </c>
      <c r="K712" s="8" t="str">
        <f t="shared" si="350"/>
        <v>INVAILD_SHIPPING</v>
      </c>
      <c r="L712" t="s">
        <v>2143</v>
      </c>
      <c r="M712" t="s">
        <v>39</v>
      </c>
      <c r="N712" t="str">
        <f t="shared" si="341"/>
        <v>Mira Das</v>
      </c>
      <c r="O712" t="s">
        <v>114</v>
      </c>
      <c r="P712" t="str">
        <f t="shared" si="333"/>
        <v>Home Office</v>
      </c>
      <c r="Q712" t="s">
        <v>26</v>
      </c>
      <c r="R712" t="str">
        <f t="shared" si="363"/>
        <v>North</v>
      </c>
      <c r="S712" t="str">
        <f t="shared" si="351"/>
        <v>OK</v>
      </c>
      <c r="T712" t="s">
        <v>173</v>
      </c>
      <c r="U712" t="str">
        <f t="shared" si="342"/>
        <v>Uttar Pradesh</v>
      </c>
      <c r="V712" t="s">
        <v>174</v>
      </c>
      <c r="W712" t="str">
        <f t="shared" si="343"/>
        <v>Noida</v>
      </c>
      <c r="X712" t="str">
        <f t="shared" si="344"/>
        <v>Technology</v>
      </c>
      <c r="Y712" t="s">
        <v>85</v>
      </c>
      <c r="Z712" t="s">
        <v>86</v>
      </c>
      <c r="AA712" t="str">
        <f t="shared" si="345"/>
        <v>Accessories</v>
      </c>
      <c r="AB712" t="s">
        <v>2144</v>
      </c>
      <c r="AC712" t="s">
        <v>32</v>
      </c>
      <c r="AD712" t="str">
        <f t="shared" si="337"/>
        <v>Second Class</v>
      </c>
      <c r="AE712" t="str">
        <f t="shared" si="352"/>
        <v>OK</v>
      </c>
      <c r="AF712">
        <v>5</v>
      </c>
      <c r="AG712">
        <v>652.78</v>
      </c>
      <c r="AH712">
        <v>0</v>
      </c>
      <c r="AI712">
        <f t="shared" si="353"/>
        <v>0</v>
      </c>
      <c r="AJ712" t="str">
        <f t="shared" si="354"/>
        <v>OK</v>
      </c>
      <c r="AK712">
        <v>3263.9</v>
      </c>
      <c r="AL712">
        <v>2068.44</v>
      </c>
      <c r="AM712">
        <v>1195.46</v>
      </c>
      <c r="AN712" t="s">
        <v>33</v>
      </c>
      <c r="AO712" t="str">
        <f t="shared" si="346"/>
        <v>PAID</v>
      </c>
      <c r="AP712" t="str">
        <f t="shared" si="355"/>
        <v>OK</v>
      </c>
      <c r="AQ712" t="s">
        <v>34</v>
      </c>
      <c r="AR712" t="str">
        <f t="shared" si="347"/>
        <v>COMPLETED</v>
      </c>
      <c r="AS712" t="str">
        <f t="shared" si="356"/>
        <v>OK</v>
      </c>
      <c r="AT712">
        <f t="shared" si="357"/>
        <v>3263.8999999999996</v>
      </c>
      <c r="AU712">
        <f t="shared" si="358"/>
        <v>1195.4599999999996</v>
      </c>
      <c r="AV712" s="6">
        <f t="shared" si="359"/>
        <v>0.46090321394650591</v>
      </c>
      <c r="AW712" t="str">
        <f t="shared" si="360"/>
        <v>CLEAN</v>
      </c>
      <c r="AX712" s="10" t="str">
        <f t="shared" si="361"/>
        <v>MATCH</v>
      </c>
      <c r="AY712" t="str">
        <f t="shared" si="362"/>
        <v>MATCH</v>
      </c>
    </row>
    <row r="713" spans="1:51">
      <c r="A713" t="s">
        <v>2145</v>
      </c>
      <c r="B713">
        <f t="shared" si="338"/>
        <v>1</v>
      </c>
      <c r="C713" t="s">
        <v>2146</v>
      </c>
      <c r="D713" s="3">
        <v>45995</v>
      </c>
      <c r="E713" t="str">
        <f t="shared" si="339"/>
        <v>2025/12/04</v>
      </c>
      <c r="F713" t="str">
        <f t="shared" si="348"/>
        <v>December</v>
      </c>
      <c r="G713">
        <f t="shared" si="349"/>
        <v>2025</v>
      </c>
      <c r="H713" t="s">
        <v>1027</v>
      </c>
      <c r="I713" s="4">
        <v>45767</v>
      </c>
      <c r="J713" s="8">
        <f t="shared" si="340"/>
        <v>-228</v>
      </c>
      <c r="K713" s="8" t="str">
        <f t="shared" si="350"/>
        <v>INVAILD_SHIPPING</v>
      </c>
      <c r="L713" t="s">
        <v>2147</v>
      </c>
      <c r="M713" t="s">
        <v>365</v>
      </c>
      <c r="N713" t="str">
        <f t="shared" si="341"/>
        <v>Kabir Singh</v>
      </c>
      <c r="O713" t="s">
        <v>114</v>
      </c>
      <c r="P713" t="str">
        <f t="shared" ref="P713:P776" si="364">PROPER(TRIM(SUBSTITUTE(O713,CHAR(160)," ")))</f>
        <v>Home Office</v>
      </c>
      <c r="Q713" t="s">
        <v>26</v>
      </c>
      <c r="R713" t="str">
        <f t="shared" si="363"/>
        <v>North</v>
      </c>
      <c r="S713" t="str">
        <f t="shared" si="351"/>
        <v>OK</v>
      </c>
      <c r="T713" t="s">
        <v>505</v>
      </c>
      <c r="U713" t="str">
        <f t="shared" si="342"/>
        <v>Delhi</v>
      </c>
      <c r="V713" t="s">
        <v>506</v>
      </c>
      <c r="W713" t="str">
        <f t="shared" si="343"/>
        <v>New Delhi</v>
      </c>
      <c r="X713" t="str">
        <f t="shared" si="344"/>
        <v>Technology</v>
      </c>
      <c r="Y713" t="s">
        <v>85</v>
      </c>
      <c r="Z713" t="s">
        <v>381</v>
      </c>
      <c r="AA713" t="str">
        <f t="shared" si="345"/>
        <v>Machines</v>
      </c>
      <c r="AB713" t="s">
        <v>2148</v>
      </c>
      <c r="AC713" t="s">
        <v>66</v>
      </c>
      <c r="AD713" t="str">
        <f t="shared" si="337"/>
        <v>Standard Class</v>
      </c>
      <c r="AE713" t="str">
        <f t="shared" si="352"/>
        <v>OK</v>
      </c>
      <c r="AF713">
        <v>1</v>
      </c>
      <c r="AG713">
        <v>2737.71</v>
      </c>
      <c r="AH713">
        <v>0.15</v>
      </c>
      <c r="AI713">
        <f t="shared" si="353"/>
        <v>0.15</v>
      </c>
      <c r="AJ713" t="str">
        <f t="shared" si="354"/>
        <v>OK</v>
      </c>
      <c r="AK713">
        <v>2327.0500000000002</v>
      </c>
      <c r="AL713">
        <v>1919.42</v>
      </c>
      <c r="AM713">
        <v>407.63</v>
      </c>
      <c r="AN713" t="s">
        <v>33</v>
      </c>
      <c r="AO713" t="str">
        <f t="shared" si="346"/>
        <v>PAID</v>
      </c>
      <c r="AP713" t="str">
        <f t="shared" si="355"/>
        <v>OK</v>
      </c>
      <c r="AQ713" t="s">
        <v>77</v>
      </c>
      <c r="AR713" t="str">
        <f t="shared" si="347"/>
        <v>CANCELLED</v>
      </c>
      <c r="AS713" t="str">
        <f t="shared" si="356"/>
        <v>EXCLUDE_FROM_SALES</v>
      </c>
      <c r="AT713">
        <f t="shared" si="357"/>
        <v>2327.0535</v>
      </c>
      <c r="AU713">
        <f t="shared" si="358"/>
        <v>407.63349999999991</v>
      </c>
      <c r="AV713" s="6">
        <f t="shared" si="359"/>
        <v>0.80505669508672661</v>
      </c>
      <c r="AW713" t="str">
        <f t="shared" si="360"/>
        <v>CLEAN</v>
      </c>
      <c r="AX713" s="10" t="str">
        <f t="shared" si="361"/>
        <v>MATCH</v>
      </c>
      <c r="AY713" t="str">
        <f t="shared" si="362"/>
        <v>MATCH</v>
      </c>
    </row>
    <row r="714" spans="1:51">
      <c r="A714" t="s">
        <v>2159</v>
      </c>
      <c r="B714">
        <f t="shared" si="338"/>
        <v>1</v>
      </c>
      <c r="C714" t="s">
        <v>1022</v>
      </c>
      <c r="D714" s="2">
        <v>45843</v>
      </c>
      <c r="E714" t="str">
        <f t="shared" si="339"/>
        <v>2025/07/05</v>
      </c>
      <c r="F714" t="str">
        <f t="shared" si="348"/>
        <v>July</v>
      </c>
      <c r="G714">
        <f t="shared" si="349"/>
        <v>2025</v>
      </c>
      <c r="H714" t="s">
        <v>2160</v>
      </c>
      <c r="I714" s="4">
        <v>45782</v>
      </c>
      <c r="J714" s="8">
        <f t="shared" si="340"/>
        <v>-61</v>
      </c>
      <c r="K714" s="8" t="str">
        <f t="shared" si="350"/>
        <v>INVAILD_SHIPPING</v>
      </c>
      <c r="L714" t="s">
        <v>2161</v>
      </c>
      <c r="M714" t="s">
        <v>92</v>
      </c>
      <c r="N714" t="str">
        <f t="shared" si="341"/>
        <v>Neha Gupta</v>
      </c>
      <c r="O714" t="s">
        <v>107</v>
      </c>
      <c r="P714" t="str">
        <f t="shared" si="364"/>
        <v>Corporate</v>
      </c>
      <c r="Q714" t="s">
        <v>41</v>
      </c>
      <c r="R714" t="str">
        <f t="shared" si="363"/>
        <v>East</v>
      </c>
      <c r="S714" t="str">
        <f t="shared" si="351"/>
        <v>OK</v>
      </c>
      <c r="T714" t="s">
        <v>310</v>
      </c>
      <c r="U714" t="str">
        <f t="shared" si="342"/>
        <v>Jharkhand</v>
      </c>
      <c r="V714" t="s">
        <v>311</v>
      </c>
      <c r="W714" t="str">
        <f t="shared" si="343"/>
        <v>Ranchi</v>
      </c>
      <c r="X714" t="str">
        <f t="shared" si="344"/>
        <v>Technology</v>
      </c>
      <c r="Y714" t="s">
        <v>85</v>
      </c>
      <c r="Z714" t="s">
        <v>222</v>
      </c>
      <c r="AA714" t="str">
        <f t="shared" si="345"/>
        <v>Phones</v>
      </c>
      <c r="AB714" t="s">
        <v>2162</v>
      </c>
      <c r="AC714" t="s">
        <v>66</v>
      </c>
      <c r="AD714" t="str">
        <f t="shared" si="337"/>
        <v>Standard Class</v>
      </c>
      <c r="AE714" t="str">
        <f t="shared" si="352"/>
        <v>OK</v>
      </c>
      <c r="AF714">
        <v>1</v>
      </c>
      <c r="AG714">
        <v>2266.4699999999998</v>
      </c>
      <c r="AH714">
        <v>0.2</v>
      </c>
      <c r="AI714">
        <f t="shared" si="353"/>
        <v>0.2</v>
      </c>
      <c r="AJ714" t="str">
        <f t="shared" si="354"/>
        <v>OK</v>
      </c>
      <c r="AK714">
        <v>1813.18</v>
      </c>
      <c r="AL714">
        <v>1363.64</v>
      </c>
      <c r="AM714">
        <v>449.54</v>
      </c>
      <c r="AN714" t="s">
        <v>33</v>
      </c>
      <c r="AO714" t="str">
        <f t="shared" si="346"/>
        <v>PAID</v>
      </c>
      <c r="AP714" t="str">
        <f t="shared" si="355"/>
        <v>OK</v>
      </c>
      <c r="AQ714" t="s">
        <v>34</v>
      </c>
      <c r="AR714" t="str">
        <f t="shared" si="347"/>
        <v>COMPLETED</v>
      </c>
      <c r="AS714" t="str">
        <f t="shared" si="356"/>
        <v>OK</v>
      </c>
      <c r="AT714">
        <f t="shared" si="357"/>
        <v>1813.1759999999999</v>
      </c>
      <c r="AU714">
        <f t="shared" si="358"/>
        <v>449.53599999999983</v>
      </c>
      <c r="AV714" s="6">
        <f t="shared" si="359"/>
        <v>0.40461378266643738</v>
      </c>
      <c r="AW714" t="str">
        <f t="shared" si="360"/>
        <v>CLEAN</v>
      </c>
      <c r="AX714" s="10" t="str">
        <f t="shared" si="361"/>
        <v>MATCH</v>
      </c>
      <c r="AY714" t="str">
        <f t="shared" si="362"/>
        <v>MATCH</v>
      </c>
    </row>
    <row r="715" spans="1:51">
      <c r="A715" t="s">
        <v>2163</v>
      </c>
      <c r="B715">
        <f t="shared" si="338"/>
        <v>1</v>
      </c>
      <c r="C715" t="s">
        <v>2164</v>
      </c>
      <c r="D715" s="3">
        <v>45838</v>
      </c>
      <c r="E715" t="str">
        <f t="shared" si="339"/>
        <v>2025/06/30</v>
      </c>
      <c r="F715" t="str">
        <f t="shared" si="348"/>
        <v>June</v>
      </c>
      <c r="G715">
        <f t="shared" si="349"/>
        <v>2025</v>
      </c>
      <c r="H715" t="s">
        <v>2165</v>
      </c>
      <c r="I715" s="4">
        <v>45841</v>
      </c>
      <c r="J715" s="8">
        <f t="shared" si="340"/>
        <v>3</v>
      </c>
      <c r="K715" s="8" t="str">
        <f t="shared" si="350"/>
        <v>OK</v>
      </c>
      <c r="L715" t="s">
        <v>2166</v>
      </c>
      <c r="M715" t="s">
        <v>161</v>
      </c>
      <c r="N715" t="str">
        <f t="shared" si="341"/>
        <v>Aarav Sharma</v>
      </c>
      <c r="O715" t="s">
        <v>114</v>
      </c>
      <c r="P715" t="str">
        <f t="shared" si="364"/>
        <v>Home Office</v>
      </c>
      <c r="Q715" t="s">
        <v>72</v>
      </c>
      <c r="R715" t="str">
        <f t="shared" si="363"/>
        <v>West</v>
      </c>
      <c r="S715" t="str">
        <f t="shared" si="351"/>
        <v>OK</v>
      </c>
      <c r="T715" t="s">
        <v>248</v>
      </c>
      <c r="U715" t="str">
        <f t="shared" si="342"/>
        <v>Goa</v>
      </c>
      <c r="V715" t="s">
        <v>249</v>
      </c>
      <c r="W715" t="str">
        <f t="shared" si="343"/>
        <v>Panaji</v>
      </c>
      <c r="X715" t="str">
        <f t="shared" si="344"/>
        <v>Office Supplies</v>
      </c>
      <c r="Y715" t="s">
        <v>29</v>
      </c>
      <c r="Z715" t="s">
        <v>155</v>
      </c>
      <c r="AA715" t="str">
        <f t="shared" si="345"/>
        <v>Storage</v>
      </c>
      <c r="AB715" t="s">
        <v>2167</v>
      </c>
      <c r="AC715" t="s">
        <v>47</v>
      </c>
      <c r="AD715" t="str">
        <f t="shared" si="337"/>
        <v>Same Day</v>
      </c>
      <c r="AE715" t="str">
        <f t="shared" si="352"/>
        <v>OK</v>
      </c>
      <c r="AF715">
        <v>5</v>
      </c>
      <c r="AG715">
        <v>665.25</v>
      </c>
      <c r="AH715">
        <v>0</v>
      </c>
      <c r="AI715">
        <f t="shared" si="353"/>
        <v>0</v>
      </c>
      <c r="AJ715" t="str">
        <f t="shared" si="354"/>
        <v>OK</v>
      </c>
      <c r="AK715">
        <v>3326.25</v>
      </c>
      <c r="AL715">
        <v>2689.36</v>
      </c>
      <c r="AM715">
        <v>636.89</v>
      </c>
      <c r="AN715" t="s">
        <v>123</v>
      </c>
      <c r="AO715" t="str">
        <f t="shared" si="346"/>
        <v>REFUNDED</v>
      </c>
      <c r="AP715" t="str">
        <f t="shared" si="355"/>
        <v>REFUNDED_PAYMENT</v>
      </c>
      <c r="AQ715" t="s">
        <v>124</v>
      </c>
      <c r="AR715" t="str">
        <f t="shared" si="347"/>
        <v>RETURNED</v>
      </c>
      <c r="AS715" t="str">
        <f t="shared" si="356"/>
        <v>RETURNED_ORDER</v>
      </c>
      <c r="AT715">
        <f t="shared" si="357"/>
        <v>3326.25</v>
      </c>
      <c r="AU715">
        <f t="shared" si="358"/>
        <v>636.88999999999987</v>
      </c>
      <c r="AV715" s="6">
        <f t="shared" si="359"/>
        <v>0.26530777903043967</v>
      </c>
      <c r="AW715" t="str">
        <f t="shared" si="360"/>
        <v>CLEAN</v>
      </c>
      <c r="AX715" s="10" t="str">
        <f t="shared" si="361"/>
        <v>MATCH</v>
      </c>
      <c r="AY715" t="str">
        <f t="shared" si="362"/>
        <v>MATCH</v>
      </c>
    </row>
    <row r="716" spans="1:51">
      <c r="A716" t="s">
        <v>2176</v>
      </c>
      <c r="B716">
        <f t="shared" si="338"/>
        <v>1</v>
      </c>
      <c r="C716" t="s">
        <v>2177</v>
      </c>
      <c r="D716" s="2">
        <v>45992</v>
      </c>
      <c r="E716" t="str">
        <f t="shared" si="339"/>
        <v>2025/12/01</v>
      </c>
      <c r="F716" t="str">
        <f t="shared" si="348"/>
        <v>December</v>
      </c>
      <c r="G716">
        <f t="shared" si="349"/>
        <v>2025</v>
      </c>
      <c r="H716" t="s">
        <v>2178</v>
      </c>
      <c r="I716" s="4">
        <v>45676</v>
      </c>
      <c r="J716" s="8">
        <f t="shared" si="340"/>
        <v>-316</v>
      </c>
      <c r="K716" s="8" t="str">
        <f t="shared" si="350"/>
        <v>INVAILD_SHIPPING</v>
      </c>
      <c r="L716" t="s">
        <v>2179</v>
      </c>
      <c r="M716" t="s">
        <v>161</v>
      </c>
      <c r="N716" t="str">
        <f t="shared" si="341"/>
        <v>Aarav Sharma</v>
      </c>
      <c r="O716" t="s">
        <v>25</v>
      </c>
      <c r="P716" t="str">
        <f t="shared" si="364"/>
        <v>Consumer</v>
      </c>
      <c r="Q716" t="s">
        <v>41</v>
      </c>
      <c r="R716" t="str">
        <f t="shared" si="363"/>
        <v>East</v>
      </c>
      <c r="S716" t="str">
        <f t="shared" si="351"/>
        <v>OK</v>
      </c>
      <c r="T716" t="s">
        <v>310</v>
      </c>
      <c r="U716" t="str">
        <f t="shared" si="342"/>
        <v>Jharkhand</v>
      </c>
      <c r="V716" t="s">
        <v>311</v>
      </c>
      <c r="W716" t="str">
        <f t="shared" si="343"/>
        <v>Ranchi</v>
      </c>
      <c r="X716" t="str">
        <f t="shared" si="344"/>
        <v>Furniture</v>
      </c>
      <c r="Y716" t="s">
        <v>44</v>
      </c>
      <c r="Z716" t="s">
        <v>45</v>
      </c>
      <c r="AA716" t="str">
        <f t="shared" si="345"/>
        <v>Tables</v>
      </c>
      <c r="AB716" t="s">
        <v>2180</v>
      </c>
      <c r="AC716" t="s">
        <v>55</v>
      </c>
      <c r="AD716" t="str">
        <f t="shared" si="337"/>
        <v>First Class</v>
      </c>
      <c r="AE716" t="str">
        <f t="shared" si="352"/>
        <v>OK</v>
      </c>
      <c r="AF716">
        <v>1</v>
      </c>
      <c r="AG716">
        <v>1842.31</v>
      </c>
      <c r="AH716">
        <v>0</v>
      </c>
      <c r="AI716">
        <f t="shared" si="353"/>
        <v>0</v>
      </c>
      <c r="AJ716" t="str">
        <f t="shared" si="354"/>
        <v>OK</v>
      </c>
      <c r="AK716">
        <v>1842.31</v>
      </c>
      <c r="AL716">
        <v>1019.17</v>
      </c>
      <c r="AM716">
        <v>823.14</v>
      </c>
      <c r="AN716" t="s">
        <v>33</v>
      </c>
      <c r="AO716" t="str">
        <f t="shared" si="346"/>
        <v>PAID</v>
      </c>
      <c r="AP716" t="str">
        <f t="shared" si="355"/>
        <v>OK</v>
      </c>
      <c r="AQ716" t="s">
        <v>34</v>
      </c>
      <c r="AR716" t="str">
        <f t="shared" si="347"/>
        <v>COMPLETED</v>
      </c>
      <c r="AS716" t="str">
        <f t="shared" si="356"/>
        <v>OK</v>
      </c>
      <c r="AT716">
        <f t="shared" si="357"/>
        <v>1842.31</v>
      </c>
      <c r="AU716">
        <f t="shared" si="358"/>
        <v>823.14</v>
      </c>
      <c r="AV716" s="6">
        <f t="shared" si="359"/>
        <v>2.2712219984693109</v>
      </c>
      <c r="AW716" t="str">
        <f t="shared" si="360"/>
        <v>CLEAN</v>
      </c>
      <c r="AX716" s="10" t="str">
        <f t="shared" si="361"/>
        <v>MATCH</v>
      </c>
      <c r="AY716" t="str">
        <f t="shared" si="362"/>
        <v>MATCH</v>
      </c>
    </row>
    <row r="717" spans="1:51">
      <c r="A717" t="s">
        <v>2185</v>
      </c>
      <c r="B717">
        <f t="shared" si="338"/>
        <v>1</v>
      </c>
      <c r="C717" t="s">
        <v>2186</v>
      </c>
      <c r="D717" s="2">
        <v>45999</v>
      </c>
      <c r="E717" t="str">
        <f t="shared" si="339"/>
        <v>2025/12/08</v>
      </c>
      <c r="F717" t="str">
        <f t="shared" si="348"/>
        <v>December</v>
      </c>
      <c r="G717">
        <f t="shared" si="349"/>
        <v>2025</v>
      </c>
      <c r="H717" t="s">
        <v>1858</v>
      </c>
      <c r="I717" s="4">
        <v>45885</v>
      </c>
      <c r="J717" s="8">
        <f t="shared" si="340"/>
        <v>-114</v>
      </c>
      <c r="K717" s="8" t="str">
        <f t="shared" si="350"/>
        <v>INVAILD_SHIPPING</v>
      </c>
      <c r="L717" t="s">
        <v>2187</v>
      </c>
      <c r="M717" t="s">
        <v>71</v>
      </c>
      <c r="N717" t="str">
        <f t="shared" si="341"/>
        <v>Ananya Rao</v>
      </c>
      <c r="O717" t="s">
        <v>25</v>
      </c>
      <c r="P717" t="str">
        <f t="shared" si="364"/>
        <v>Consumer</v>
      </c>
      <c r="Q717" t="s">
        <v>41</v>
      </c>
      <c r="R717" t="str">
        <f t="shared" si="363"/>
        <v>East</v>
      </c>
      <c r="S717" t="str">
        <f t="shared" si="351"/>
        <v>OK</v>
      </c>
      <c r="T717" t="s">
        <v>215</v>
      </c>
      <c r="U717" t="str">
        <f t="shared" si="342"/>
        <v>Assam</v>
      </c>
      <c r="V717" t="s">
        <v>216</v>
      </c>
      <c r="W717" t="str">
        <f t="shared" si="343"/>
        <v>Guwahati</v>
      </c>
      <c r="X717" t="str">
        <f t="shared" si="344"/>
        <v>Technology</v>
      </c>
      <c r="Y717" t="s">
        <v>85</v>
      </c>
      <c r="Z717" t="s">
        <v>86</v>
      </c>
      <c r="AA717" t="str">
        <f t="shared" si="345"/>
        <v>Accessories</v>
      </c>
      <c r="AB717" t="s">
        <v>2188</v>
      </c>
      <c r="AC717" t="s">
        <v>47</v>
      </c>
      <c r="AD717" t="str">
        <f t="shared" si="337"/>
        <v>Same Day</v>
      </c>
      <c r="AE717" t="str">
        <f t="shared" si="352"/>
        <v>OK</v>
      </c>
      <c r="AF717">
        <v>9</v>
      </c>
      <c r="AG717">
        <v>2379.2399999999998</v>
      </c>
      <c r="AH717">
        <v>0.05</v>
      </c>
      <c r="AI717">
        <f t="shared" si="353"/>
        <v>0.05</v>
      </c>
      <c r="AJ717" t="str">
        <f t="shared" si="354"/>
        <v>OK</v>
      </c>
      <c r="AK717">
        <v>20342.5</v>
      </c>
      <c r="AL717">
        <v>12407.51</v>
      </c>
      <c r="AM717">
        <v>7934.99</v>
      </c>
      <c r="AN717" t="s">
        <v>33</v>
      </c>
      <c r="AO717" t="str">
        <f t="shared" si="346"/>
        <v>PAID</v>
      </c>
      <c r="AP717" t="str">
        <f t="shared" si="355"/>
        <v>OK</v>
      </c>
      <c r="AQ717" t="s">
        <v>34</v>
      </c>
      <c r="AR717" t="str">
        <f t="shared" si="347"/>
        <v>COMPLETED</v>
      </c>
      <c r="AS717" t="str">
        <f t="shared" si="356"/>
        <v>OK</v>
      </c>
      <c r="AT717">
        <f t="shared" si="357"/>
        <v>20342.501999999997</v>
      </c>
      <c r="AU717">
        <f t="shared" si="358"/>
        <v>7934.9919999999966</v>
      </c>
      <c r="AV717" s="6">
        <f t="shared" si="359"/>
        <v>0.14662139396618967</v>
      </c>
      <c r="AW717" t="str">
        <f t="shared" si="360"/>
        <v>CLEAN</v>
      </c>
      <c r="AX717" s="10" t="str">
        <f t="shared" si="361"/>
        <v>MATCH</v>
      </c>
      <c r="AY717" t="str">
        <f t="shared" si="362"/>
        <v>MATCH</v>
      </c>
    </row>
    <row r="718" spans="1:51">
      <c r="A718" t="s">
        <v>2194</v>
      </c>
      <c r="B718">
        <f t="shared" si="338"/>
        <v>1</v>
      </c>
      <c r="C718" t="s">
        <v>2195</v>
      </c>
      <c r="D718" s="3">
        <v>45918</v>
      </c>
      <c r="E718" t="str">
        <f t="shared" si="339"/>
        <v>2025/09/18</v>
      </c>
      <c r="F718" t="str">
        <f t="shared" si="348"/>
        <v>September</v>
      </c>
      <c r="G718">
        <f t="shared" si="349"/>
        <v>2025</v>
      </c>
      <c r="H718" t="s">
        <v>2196</v>
      </c>
      <c r="I718" s="4">
        <v>45919</v>
      </c>
      <c r="J718" s="8">
        <f t="shared" si="340"/>
        <v>1</v>
      </c>
      <c r="K718" s="8" t="str">
        <f t="shared" si="350"/>
        <v>OK</v>
      </c>
      <c r="L718" t="s">
        <v>2197</v>
      </c>
      <c r="M718" t="s">
        <v>167</v>
      </c>
      <c r="N718" t="str">
        <f t="shared" si="341"/>
        <v>Sneha Kapoor</v>
      </c>
      <c r="O718" t="s">
        <v>114</v>
      </c>
      <c r="P718" t="str">
        <f t="shared" si="364"/>
        <v>Home Office</v>
      </c>
      <c r="Q718" t="s">
        <v>61</v>
      </c>
      <c r="R718" t="str">
        <f t="shared" si="363"/>
        <v>South</v>
      </c>
      <c r="S718" t="str">
        <f t="shared" si="351"/>
        <v>OK</v>
      </c>
      <c r="T718" t="s">
        <v>99</v>
      </c>
      <c r="U718" t="str">
        <f t="shared" si="342"/>
        <v>Andhra Pradesh</v>
      </c>
      <c r="V718" t="s">
        <v>100</v>
      </c>
      <c r="W718" t="str">
        <f t="shared" si="343"/>
        <v>Vijayawada</v>
      </c>
      <c r="X718" t="str">
        <f t="shared" si="344"/>
        <v>Office Supplies</v>
      </c>
      <c r="Y718" t="s">
        <v>29</v>
      </c>
      <c r="Z718" t="s">
        <v>155</v>
      </c>
      <c r="AA718" t="str">
        <f t="shared" si="345"/>
        <v>Storage</v>
      </c>
      <c r="AB718" t="s">
        <v>2198</v>
      </c>
      <c r="AC718" t="s">
        <v>47</v>
      </c>
      <c r="AD718" t="str">
        <f t="shared" si="337"/>
        <v>Same Day</v>
      </c>
      <c r="AE718" t="str">
        <f t="shared" si="352"/>
        <v>OK</v>
      </c>
      <c r="AF718">
        <v>8</v>
      </c>
      <c r="AG718">
        <v>4242.51</v>
      </c>
      <c r="AH718">
        <v>0</v>
      </c>
      <c r="AI718">
        <f t="shared" si="353"/>
        <v>0</v>
      </c>
      <c r="AJ718" t="str">
        <f t="shared" si="354"/>
        <v>OK</v>
      </c>
      <c r="AK718">
        <v>33940.080000000002</v>
      </c>
      <c r="AL718">
        <v>23754.19</v>
      </c>
      <c r="AM718">
        <v>10185.89</v>
      </c>
      <c r="AN718" t="s">
        <v>33</v>
      </c>
      <c r="AO718" t="str">
        <f t="shared" si="346"/>
        <v>PAID</v>
      </c>
      <c r="AP718" t="str">
        <f t="shared" si="355"/>
        <v>OK</v>
      </c>
      <c r="AQ718" t="s">
        <v>34</v>
      </c>
      <c r="AR718" t="str">
        <f t="shared" si="347"/>
        <v>COMPLETED</v>
      </c>
      <c r="AS718" t="str">
        <f t="shared" si="356"/>
        <v>OK</v>
      </c>
      <c r="AT718">
        <f t="shared" si="357"/>
        <v>33940.080000000002</v>
      </c>
      <c r="AU718">
        <f t="shared" si="358"/>
        <v>10185.890000000003</v>
      </c>
      <c r="AV718" s="6">
        <f t="shared" si="359"/>
        <v>7.3472130884782829E-3</v>
      </c>
      <c r="AW718" t="str">
        <f t="shared" si="360"/>
        <v>CLEAN</v>
      </c>
      <c r="AX718" s="10" t="str">
        <f t="shared" si="361"/>
        <v>MATCH</v>
      </c>
      <c r="AY718" t="str">
        <f t="shared" si="362"/>
        <v>MATCH</v>
      </c>
    </row>
    <row r="719" spans="1:51">
      <c r="A719" t="s">
        <v>2199</v>
      </c>
      <c r="B719">
        <f t="shared" si="338"/>
        <v>1</v>
      </c>
      <c r="C719" t="s">
        <v>943</v>
      </c>
      <c r="D719" s="3">
        <v>45879</v>
      </c>
      <c r="E719" t="str">
        <f t="shared" si="339"/>
        <v>2025/08/10</v>
      </c>
      <c r="F719" t="str">
        <f t="shared" si="348"/>
        <v>August</v>
      </c>
      <c r="G719">
        <f t="shared" si="349"/>
        <v>2025</v>
      </c>
      <c r="H719" t="s">
        <v>2200</v>
      </c>
      <c r="I719" s="4">
        <v>45879</v>
      </c>
      <c r="J719" s="8">
        <f t="shared" si="340"/>
        <v>0</v>
      </c>
      <c r="K719" s="8" t="str">
        <f t="shared" si="350"/>
        <v>OK</v>
      </c>
      <c r="L719" t="s">
        <v>2201</v>
      </c>
      <c r="M719" t="s">
        <v>179</v>
      </c>
      <c r="N719" t="str">
        <f t="shared" si="341"/>
        <v>Rohan Mehta</v>
      </c>
      <c r="O719" t="s">
        <v>114</v>
      </c>
      <c r="P719" t="str">
        <f t="shared" si="364"/>
        <v>Home Office</v>
      </c>
      <c r="Q719" t="s">
        <v>61</v>
      </c>
      <c r="R719" t="str">
        <f t="shared" si="363"/>
        <v>South</v>
      </c>
      <c r="S719" t="str">
        <f t="shared" si="351"/>
        <v>OK</v>
      </c>
      <c r="T719" t="s">
        <v>62</v>
      </c>
      <c r="U719" t="str">
        <f t="shared" si="342"/>
        <v>Telangana</v>
      </c>
      <c r="V719" t="s">
        <v>63</v>
      </c>
      <c r="W719" t="str">
        <f t="shared" si="343"/>
        <v>Hyderabad</v>
      </c>
      <c r="X719" t="str">
        <f t="shared" si="344"/>
        <v>Furniture</v>
      </c>
      <c r="Y719" t="s">
        <v>44</v>
      </c>
      <c r="Z719" t="s">
        <v>203</v>
      </c>
      <c r="AA719" t="str">
        <f t="shared" si="345"/>
        <v>Bookcases</v>
      </c>
      <c r="AB719" t="s">
        <v>2202</v>
      </c>
      <c r="AC719" t="s">
        <v>66</v>
      </c>
      <c r="AD719" t="str">
        <f t="shared" si="337"/>
        <v>Standard Class</v>
      </c>
      <c r="AE719" t="str">
        <f t="shared" si="352"/>
        <v>OK</v>
      </c>
      <c r="AF719">
        <v>6</v>
      </c>
      <c r="AG719">
        <v>4288.7</v>
      </c>
      <c r="AH719">
        <v>0.15</v>
      </c>
      <c r="AI719">
        <f t="shared" si="353"/>
        <v>0.15</v>
      </c>
      <c r="AJ719" t="str">
        <f t="shared" si="354"/>
        <v>OK</v>
      </c>
      <c r="AK719">
        <v>21872.37</v>
      </c>
      <c r="AL719">
        <v>13829.5</v>
      </c>
      <c r="AM719">
        <v>8042.87</v>
      </c>
      <c r="AN719" t="s">
        <v>136</v>
      </c>
      <c r="AO719" t="str">
        <f t="shared" si="346"/>
        <v>PENDING</v>
      </c>
      <c r="AP719" t="str">
        <f t="shared" si="355"/>
        <v>OK</v>
      </c>
      <c r="AQ719" t="s">
        <v>124</v>
      </c>
      <c r="AR719" t="str">
        <f t="shared" si="347"/>
        <v>RETURNED</v>
      </c>
      <c r="AS719" t="str">
        <f t="shared" si="356"/>
        <v>RETURNED_ORDER</v>
      </c>
      <c r="AT719">
        <f t="shared" si="357"/>
        <v>21872.369999999995</v>
      </c>
      <c r="AU719">
        <f t="shared" si="358"/>
        <v>8042.8699999999953</v>
      </c>
      <c r="AV719" s="6">
        <f t="shared" si="359"/>
        <v>0.13205061911443527</v>
      </c>
      <c r="AW719" t="str">
        <f t="shared" si="360"/>
        <v>CLEAN</v>
      </c>
      <c r="AX719" s="10" t="str">
        <f t="shared" si="361"/>
        <v>MATCH</v>
      </c>
      <c r="AY719" t="str">
        <f t="shared" si="362"/>
        <v>MATCH</v>
      </c>
    </row>
    <row r="720" spans="1:51">
      <c r="A720" t="s">
        <v>2211</v>
      </c>
      <c r="B720">
        <f t="shared" si="338"/>
        <v>1</v>
      </c>
      <c r="C720" t="s">
        <v>2212</v>
      </c>
      <c r="D720" s="3">
        <v>45997</v>
      </c>
      <c r="E720" t="str">
        <f t="shared" si="339"/>
        <v>2025/12/06</v>
      </c>
      <c r="F720" t="str">
        <f t="shared" si="348"/>
        <v>December</v>
      </c>
      <c r="G720">
        <f t="shared" si="349"/>
        <v>2025</v>
      </c>
      <c r="H720" t="s">
        <v>1576</v>
      </c>
      <c r="I720" s="4">
        <v>45827</v>
      </c>
      <c r="J720" s="8">
        <f t="shared" si="340"/>
        <v>-170</v>
      </c>
      <c r="K720" s="8" t="str">
        <f t="shared" si="350"/>
        <v>INVAILD_SHIPPING</v>
      </c>
      <c r="L720" t="s">
        <v>2213</v>
      </c>
      <c r="M720" t="s">
        <v>71</v>
      </c>
      <c r="N720" t="str">
        <f t="shared" si="341"/>
        <v>Ananya Rao</v>
      </c>
      <c r="O720" t="s">
        <v>107</v>
      </c>
      <c r="P720" t="str">
        <f t="shared" si="364"/>
        <v>Corporate</v>
      </c>
      <c r="Q720" t="s">
        <v>26</v>
      </c>
      <c r="R720" t="str">
        <f t="shared" si="363"/>
        <v>North</v>
      </c>
      <c r="S720" t="str">
        <f t="shared" si="351"/>
        <v>OK</v>
      </c>
      <c r="T720" t="s">
        <v>505</v>
      </c>
      <c r="U720" t="str">
        <f t="shared" si="342"/>
        <v>Delhi</v>
      </c>
      <c r="V720" t="s">
        <v>506</v>
      </c>
      <c r="W720" t="str">
        <f t="shared" si="343"/>
        <v>New Delhi</v>
      </c>
      <c r="X720" t="str">
        <f t="shared" si="344"/>
        <v>Furniture</v>
      </c>
      <c r="Y720" t="s">
        <v>44</v>
      </c>
      <c r="Z720" t="s">
        <v>75</v>
      </c>
      <c r="AA720" t="str">
        <f t="shared" si="345"/>
        <v>Chairs</v>
      </c>
      <c r="AB720" t="s">
        <v>2214</v>
      </c>
      <c r="AC720" t="s">
        <v>66</v>
      </c>
      <c r="AD720" t="str">
        <f t="shared" si="337"/>
        <v>Standard Class</v>
      </c>
      <c r="AE720" t="str">
        <f t="shared" si="352"/>
        <v>OK</v>
      </c>
      <c r="AF720">
        <v>9</v>
      </c>
      <c r="AG720">
        <v>2278.5700000000002</v>
      </c>
      <c r="AH720">
        <v>0.25</v>
      </c>
      <c r="AI720">
        <f t="shared" si="353"/>
        <v>0.25</v>
      </c>
      <c r="AJ720" t="str">
        <f t="shared" si="354"/>
        <v>OK</v>
      </c>
      <c r="AK720">
        <v>15380.35</v>
      </c>
      <c r="AL720">
        <v>9907.3700000000008</v>
      </c>
      <c r="AM720">
        <v>5472.98</v>
      </c>
      <c r="AN720" t="s">
        <v>33</v>
      </c>
      <c r="AO720" t="str">
        <f t="shared" si="346"/>
        <v>PAID</v>
      </c>
      <c r="AP720" t="str">
        <f t="shared" si="355"/>
        <v>OK</v>
      </c>
      <c r="AQ720" t="s">
        <v>34</v>
      </c>
      <c r="AR720" t="str">
        <f t="shared" si="347"/>
        <v>COMPLETED</v>
      </c>
      <c r="AS720" t="str">
        <f t="shared" si="356"/>
        <v>OK</v>
      </c>
      <c r="AT720">
        <f t="shared" si="357"/>
        <v>15380.3475</v>
      </c>
      <c r="AU720">
        <f t="shared" si="358"/>
        <v>5472.9774999999991</v>
      </c>
      <c r="AV720" s="6">
        <f t="shared" si="359"/>
        <v>0.14023805378909676</v>
      </c>
      <c r="AW720" t="str">
        <f t="shared" si="360"/>
        <v>CLEAN</v>
      </c>
      <c r="AX720" s="10" t="str">
        <f t="shared" si="361"/>
        <v>MATCH</v>
      </c>
      <c r="AY720" t="str">
        <f t="shared" si="362"/>
        <v>MATCH</v>
      </c>
    </row>
    <row r="721" spans="1:51">
      <c r="A721" t="s">
        <v>2224</v>
      </c>
      <c r="B721">
        <f t="shared" si="338"/>
        <v>1</v>
      </c>
      <c r="C721" t="s">
        <v>2225</v>
      </c>
      <c r="D721" s="3">
        <v>45721</v>
      </c>
      <c r="E721" t="str">
        <f t="shared" si="339"/>
        <v>2025/03/05</v>
      </c>
      <c r="F721" t="str">
        <f t="shared" si="348"/>
        <v>March</v>
      </c>
      <c r="G721">
        <f t="shared" si="349"/>
        <v>2025</v>
      </c>
      <c r="H721" t="s">
        <v>2226</v>
      </c>
      <c r="I721" s="4">
        <v>45788</v>
      </c>
      <c r="J721" s="8">
        <f t="shared" si="340"/>
        <v>67</v>
      </c>
      <c r="K721" s="8" t="str">
        <f t="shared" si="350"/>
        <v>OK</v>
      </c>
      <c r="L721" t="s">
        <v>2227</v>
      </c>
      <c r="M721" t="s">
        <v>179</v>
      </c>
      <c r="N721" t="str">
        <f t="shared" si="341"/>
        <v>Rohan Mehta</v>
      </c>
      <c r="O721" t="s">
        <v>40</v>
      </c>
      <c r="P721" t="str">
        <f t="shared" si="364"/>
        <v>Small Business</v>
      </c>
      <c r="Q721" t="s">
        <v>72</v>
      </c>
      <c r="R721" t="str">
        <f t="shared" si="363"/>
        <v>West</v>
      </c>
      <c r="S721" t="str">
        <f t="shared" si="351"/>
        <v>OK</v>
      </c>
      <c r="T721" t="s">
        <v>83</v>
      </c>
      <c r="U721" t="str">
        <f t="shared" si="342"/>
        <v>Madhya Pradesh</v>
      </c>
      <c r="V721" t="s">
        <v>84</v>
      </c>
      <c r="W721" t="str">
        <f t="shared" si="343"/>
        <v>Indore</v>
      </c>
      <c r="X721" t="str">
        <f t="shared" si="344"/>
        <v>Office Supplies</v>
      </c>
      <c r="Y721" t="s">
        <v>29</v>
      </c>
      <c r="Z721" t="s">
        <v>108</v>
      </c>
      <c r="AA721" t="str">
        <f t="shared" si="345"/>
        <v>Labels</v>
      </c>
      <c r="AB721" t="s">
        <v>2228</v>
      </c>
      <c r="AC721" t="s">
        <v>47</v>
      </c>
      <c r="AD721" t="str">
        <f t="shared" si="337"/>
        <v>Same Day</v>
      </c>
      <c r="AE721" t="str">
        <f t="shared" si="352"/>
        <v>OK</v>
      </c>
      <c r="AF721">
        <v>5</v>
      </c>
      <c r="AG721">
        <v>1483.52</v>
      </c>
      <c r="AH721">
        <v>0</v>
      </c>
      <c r="AI721">
        <f t="shared" si="353"/>
        <v>0</v>
      </c>
      <c r="AJ721" t="str">
        <f t="shared" si="354"/>
        <v>OK</v>
      </c>
      <c r="AK721">
        <v>7417.6</v>
      </c>
      <c r="AL721">
        <v>4955.8599999999997</v>
      </c>
      <c r="AM721">
        <v>2461.7399999999998</v>
      </c>
      <c r="AN721" t="s">
        <v>33</v>
      </c>
      <c r="AO721" t="str">
        <f t="shared" si="346"/>
        <v>PAID</v>
      </c>
      <c r="AP721" t="str">
        <f t="shared" si="355"/>
        <v>OK</v>
      </c>
      <c r="AQ721" t="s">
        <v>34</v>
      </c>
      <c r="AR721" t="str">
        <f t="shared" si="347"/>
        <v>COMPLETED</v>
      </c>
      <c r="AS721" t="str">
        <f t="shared" si="356"/>
        <v>OK</v>
      </c>
      <c r="AT721">
        <f t="shared" si="357"/>
        <v>7417.6</v>
      </c>
      <c r="AU721">
        <f t="shared" si="358"/>
        <v>2461.7400000000007</v>
      </c>
      <c r="AV721" s="6">
        <f t="shared" si="359"/>
        <v>0.81162586281276949</v>
      </c>
      <c r="AW721" t="str">
        <f t="shared" si="360"/>
        <v>CLEAN</v>
      </c>
      <c r="AX721" s="10" t="str">
        <f t="shared" si="361"/>
        <v>MATCH</v>
      </c>
      <c r="AY721" t="str">
        <f t="shared" si="362"/>
        <v>MATCH</v>
      </c>
    </row>
    <row r="722" spans="1:51">
      <c r="A722" t="s">
        <v>2229</v>
      </c>
      <c r="B722">
        <f t="shared" si="338"/>
        <v>1</v>
      </c>
      <c r="C722" t="s">
        <v>2230</v>
      </c>
      <c r="D722" s="3">
        <v>45739</v>
      </c>
      <c r="E722" t="str">
        <f t="shared" si="339"/>
        <v>2025/03/23</v>
      </c>
      <c r="F722" t="str">
        <f t="shared" si="348"/>
        <v>March</v>
      </c>
      <c r="G722">
        <f t="shared" si="349"/>
        <v>2025</v>
      </c>
      <c r="H722" t="s">
        <v>2231</v>
      </c>
      <c r="I722" s="4">
        <v>45744</v>
      </c>
      <c r="J722" s="8">
        <f t="shared" si="340"/>
        <v>5</v>
      </c>
      <c r="K722" s="8" t="str">
        <f t="shared" si="350"/>
        <v>OK</v>
      </c>
      <c r="L722" t="s">
        <v>2232</v>
      </c>
      <c r="M722" t="s">
        <v>82</v>
      </c>
      <c r="N722" t="str">
        <f t="shared" si="341"/>
        <v>Vikram Iyer</v>
      </c>
      <c r="O722" t="s">
        <v>40</v>
      </c>
      <c r="P722" t="str">
        <f t="shared" si="364"/>
        <v>Small Business</v>
      </c>
      <c r="Q722" t="s">
        <v>26</v>
      </c>
      <c r="R722" t="str">
        <f t="shared" si="363"/>
        <v>North</v>
      </c>
      <c r="S722" t="str">
        <f t="shared" si="351"/>
        <v>OK</v>
      </c>
      <c r="T722" t="s">
        <v>27</v>
      </c>
      <c r="U722" t="str">
        <f t="shared" si="342"/>
        <v>Rajasthan</v>
      </c>
      <c r="V722" t="s">
        <v>28</v>
      </c>
      <c r="W722" t="str">
        <f t="shared" si="343"/>
        <v>Jaipur</v>
      </c>
      <c r="X722" t="str">
        <f t="shared" si="344"/>
        <v>Furniture</v>
      </c>
      <c r="Y722" t="s">
        <v>44</v>
      </c>
      <c r="Z722" t="s">
        <v>64</v>
      </c>
      <c r="AA722" t="str">
        <f t="shared" si="345"/>
        <v>Furnishings</v>
      </c>
      <c r="AB722" t="s">
        <v>2233</v>
      </c>
      <c r="AC722" t="s">
        <v>66</v>
      </c>
      <c r="AD722" t="str">
        <f t="shared" si="337"/>
        <v>Standard Class</v>
      </c>
      <c r="AE722" t="str">
        <f t="shared" si="352"/>
        <v>OK</v>
      </c>
      <c r="AF722">
        <v>9</v>
      </c>
      <c r="AG722">
        <v>3298</v>
      </c>
      <c r="AH722">
        <v>0.15</v>
      </c>
      <c r="AI722">
        <f t="shared" si="353"/>
        <v>0.15</v>
      </c>
      <c r="AJ722" t="str">
        <f t="shared" si="354"/>
        <v>OK</v>
      </c>
      <c r="AK722">
        <v>25229.7</v>
      </c>
      <c r="AL722">
        <v>20170.43</v>
      </c>
      <c r="AM722">
        <v>5059.2700000000004</v>
      </c>
      <c r="AN722" t="s">
        <v>33</v>
      </c>
      <c r="AO722" t="str">
        <f t="shared" si="346"/>
        <v>PAID</v>
      </c>
      <c r="AP722" t="str">
        <f t="shared" si="355"/>
        <v>OK</v>
      </c>
      <c r="AQ722" t="s">
        <v>34</v>
      </c>
      <c r="AR722" t="str">
        <f t="shared" si="347"/>
        <v>COMPLETED</v>
      </c>
      <c r="AS722" t="str">
        <f t="shared" si="356"/>
        <v>OK</v>
      </c>
      <c r="AT722">
        <f t="shared" si="357"/>
        <v>25229.7</v>
      </c>
      <c r="AU722">
        <f t="shared" si="358"/>
        <v>5059.2700000000004</v>
      </c>
      <c r="AV722" s="6">
        <f t="shared" si="359"/>
        <v>0.10616000190251962</v>
      </c>
      <c r="AW722" t="str">
        <f t="shared" si="360"/>
        <v>CLEAN</v>
      </c>
      <c r="AX722" s="10" t="str">
        <f t="shared" si="361"/>
        <v>MATCH</v>
      </c>
      <c r="AY722" t="str">
        <f t="shared" si="362"/>
        <v>MATCH</v>
      </c>
    </row>
    <row r="723" spans="1:51">
      <c r="A723" t="s">
        <v>2255</v>
      </c>
      <c r="B723">
        <f t="shared" si="338"/>
        <v>1</v>
      </c>
      <c r="C723" t="s">
        <v>2256</v>
      </c>
      <c r="D723" s="2">
        <v>45930</v>
      </c>
      <c r="E723" t="str">
        <f t="shared" si="339"/>
        <v>2025/09/30</v>
      </c>
      <c r="F723" t="str">
        <f t="shared" si="348"/>
        <v>September</v>
      </c>
      <c r="G723">
        <f t="shared" si="349"/>
        <v>2025</v>
      </c>
      <c r="H723" t="s">
        <v>2257</v>
      </c>
      <c r="I723" s="4">
        <v>45936</v>
      </c>
      <c r="J723" s="8">
        <f t="shared" si="340"/>
        <v>6</v>
      </c>
      <c r="K723" s="8" t="str">
        <f t="shared" si="350"/>
        <v>OK</v>
      </c>
      <c r="L723" t="s">
        <v>2258</v>
      </c>
      <c r="M723" t="s">
        <v>161</v>
      </c>
      <c r="N723" t="str">
        <f t="shared" si="341"/>
        <v>Aarav Sharma</v>
      </c>
      <c r="O723" t="s">
        <v>107</v>
      </c>
      <c r="P723" t="str">
        <f t="shared" si="364"/>
        <v>Corporate</v>
      </c>
      <c r="R723" t="s">
        <v>4109</v>
      </c>
      <c r="S723" t="str">
        <f t="shared" si="351"/>
        <v>MISSING_REGION</v>
      </c>
      <c r="T723" t="s">
        <v>27</v>
      </c>
      <c r="U723" t="str">
        <f t="shared" si="342"/>
        <v>Rajasthan</v>
      </c>
      <c r="V723" t="s">
        <v>28</v>
      </c>
      <c r="W723" t="str">
        <f t="shared" si="343"/>
        <v>Jaipur</v>
      </c>
      <c r="X723" t="str">
        <f t="shared" si="344"/>
        <v>Technology</v>
      </c>
      <c r="Y723" t="s">
        <v>85</v>
      </c>
      <c r="Z723" t="s">
        <v>93</v>
      </c>
      <c r="AA723" t="str">
        <f t="shared" si="345"/>
        <v>Copiers</v>
      </c>
      <c r="AB723" t="s">
        <v>2259</v>
      </c>
      <c r="AC723" t="s">
        <v>32</v>
      </c>
      <c r="AD723" t="str">
        <f t="shared" si="337"/>
        <v>Second Class</v>
      </c>
      <c r="AE723" t="str">
        <f t="shared" si="352"/>
        <v>OK</v>
      </c>
      <c r="AF723">
        <v>9</v>
      </c>
      <c r="AG723">
        <v>1359.88</v>
      </c>
      <c r="AH723">
        <v>0.05</v>
      </c>
      <c r="AI723">
        <f t="shared" si="353"/>
        <v>0.05</v>
      </c>
      <c r="AJ723" t="str">
        <f t="shared" si="354"/>
        <v>OK</v>
      </c>
      <c r="AK723">
        <v>11626.97</v>
      </c>
      <c r="AL723">
        <v>7394.07</v>
      </c>
      <c r="AM723">
        <v>4232.8999999999996</v>
      </c>
      <c r="AN723" t="s">
        <v>33</v>
      </c>
      <c r="AO723" t="str">
        <f t="shared" si="346"/>
        <v>PAID</v>
      </c>
      <c r="AP723" t="str">
        <f t="shared" si="355"/>
        <v>OK</v>
      </c>
      <c r="AQ723" t="s">
        <v>34</v>
      </c>
      <c r="AR723" t="str">
        <f t="shared" si="347"/>
        <v>COMPLETED</v>
      </c>
      <c r="AS723" t="str">
        <f t="shared" si="356"/>
        <v>OK</v>
      </c>
      <c r="AT723">
        <f t="shared" si="357"/>
        <v>11626.974000000002</v>
      </c>
      <c r="AU723">
        <f t="shared" si="358"/>
        <v>4232.9040000000023</v>
      </c>
      <c r="AV723" s="6">
        <f t="shared" si="359"/>
        <v>0.1590083541943072</v>
      </c>
      <c r="AW723" t="str">
        <f t="shared" si="360"/>
        <v>WARNING</v>
      </c>
      <c r="AX723" s="10" t="str">
        <f t="shared" si="361"/>
        <v>MATCH</v>
      </c>
      <c r="AY723" t="str">
        <f t="shared" si="362"/>
        <v>MATCH</v>
      </c>
    </row>
    <row r="724" spans="1:51">
      <c r="A724" t="s">
        <v>2260</v>
      </c>
      <c r="B724">
        <f t="shared" si="338"/>
        <v>1</v>
      </c>
      <c r="C724" t="s">
        <v>2261</v>
      </c>
      <c r="D724" s="3">
        <v>45802</v>
      </c>
      <c r="E724" t="str">
        <f t="shared" si="339"/>
        <v>2025/05/25</v>
      </c>
      <c r="F724" t="str">
        <f t="shared" si="348"/>
        <v>May</v>
      </c>
      <c r="G724">
        <f t="shared" si="349"/>
        <v>2025</v>
      </c>
      <c r="H724" t="s">
        <v>1521</v>
      </c>
      <c r="I724" s="4">
        <v>45803</v>
      </c>
      <c r="J724" s="8">
        <f t="shared" si="340"/>
        <v>1</v>
      </c>
      <c r="K724" s="8" t="str">
        <f t="shared" si="350"/>
        <v>OK</v>
      </c>
      <c r="L724" t="s">
        <v>2262</v>
      </c>
      <c r="M724" t="s">
        <v>92</v>
      </c>
      <c r="N724" t="str">
        <f t="shared" si="341"/>
        <v>Neha Gupta</v>
      </c>
      <c r="O724" t="s">
        <v>107</v>
      </c>
      <c r="P724" t="str">
        <f t="shared" si="364"/>
        <v>Corporate</v>
      </c>
      <c r="Q724" t="s">
        <v>61</v>
      </c>
      <c r="R724" t="str">
        <f t="shared" ref="R724:R755" si="365">PROPER(TRIM(SUBSTITUTE(Q724,CHAR(160)," ")))</f>
        <v>South</v>
      </c>
      <c r="S724" t="str">
        <f t="shared" si="351"/>
        <v>OK</v>
      </c>
      <c r="T724" t="s">
        <v>99</v>
      </c>
      <c r="U724" t="str">
        <f t="shared" si="342"/>
        <v>Andhra Pradesh</v>
      </c>
      <c r="V724" t="s">
        <v>100</v>
      </c>
      <c r="W724" t="str">
        <f t="shared" si="343"/>
        <v>Vijayawada</v>
      </c>
      <c r="X724" t="str">
        <f t="shared" si="344"/>
        <v>Office Supplies</v>
      </c>
      <c r="Y724" t="s">
        <v>29</v>
      </c>
      <c r="Z724" t="s">
        <v>30</v>
      </c>
      <c r="AA724" t="str">
        <f t="shared" si="345"/>
        <v>Paper</v>
      </c>
      <c r="AB724" t="s">
        <v>2263</v>
      </c>
      <c r="AC724" t="s">
        <v>66</v>
      </c>
      <c r="AD724" t="str">
        <f t="shared" si="337"/>
        <v>Standard Class</v>
      </c>
      <c r="AE724" t="str">
        <f t="shared" si="352"/>
        <v>OK</v>
      </c>
      <c r="AF724">
        <v>3</v>
      </c>
      <c r="AG724">
        <v>3378.15</v>
      </c>
      <c r="AH724">
        <v>0.15</v>
      </c>
      <c r="AI724">
        <f t="shared" si="353"/>
        <v>0.15</v>
      </c>
      <c r="AJ724" t="str">
        <f t="shared" si="354"/>
        <v>OK</v>
      </c>
      <c r="AK724">
        <v>8614.2800000000007</v>
      </c>
      <c r="AL724">
        <v>7052.08</v>
      </c>
      <c r="AM724">
        <v>1562.2</v>
      </c>
      <c r="AN724" t="s">
        <v>33</v>
      </c>
      <c r="AO724" t="str">
        <f t="shared" si="346"/>
        <v>PAID</v>
      </c>
      <c r="AP724" t="str">
        <f t="shared" si="355"/>
        <v>OK</v>
      </c>
      <c r="AQ724" t="s">
        <v>34</v>
      </c>
      <c r="AR724" t="str">
        <f t="shared" si="347"/>
        <v>COMPLETED</v>
      </c>
      <c r="AS724" t="str">
        <f t="shared" si="356"/>
        <v>OK</v>
      </c>
      <c r="AT724">
        <f t="shared" si="357"/>
        <v>8614.2825000000012</v>
      </c>
      <c r="AU724">
        <f t="shared" si="358"/>
        <v>1562.2025000000012</v>
      </c>
      <c r="AW724" t="str">
        <f t="shared" si="360"/>
        <v>CLEAN</v>
      </c>
      <c r="AX724" s="10" t="str">
        <f t="shared" si="361"/>
        <v>MATCH</v>
      </c>
      <c r="AY724" t="str">
        <f t="shared" si="362"/>
        <v>MATCH</v>
      </c>
    </row>
    <row r="725" spans="1:51">
      <c r="A725" t="s">
        <v>2268</v>
      </c>
      <c r="B725">
        <f t="shared" si="338"/>
        <v>1</v>
      </c>
      <c r="C725" t="s">
        <v>440</v>
      </c>
      <c r="D725" s="3">
        <v>45695</v>
      </c>
      <c r="E725" t="str">
        <f t="shared" si="339"/>
        <v>2025/02/07</v>
      </c>
      <c r="F725" t="str">
        <f t="shared" si="348"/>
        <v>February</v>
      </c>
      <c r="G725">
        <f t="shared" si="349"/>
        <v>2025</v>
      </c>
      <c r="H725" t="s">
        <v>2269</v>
      </c>
      <c r="I725" s="4">
        <v>45696</v>
      </c>
      <c r="J725" s="8">
        <f t="shared" si="340"/>
        <v>1</v>
      </c>
      <c r="K725" s="8" t="str">
        <f t="shared" si="350"/>
        <v>OK</v>
      </c>
      <c r="L725" t="s">
        <v>2270</v>
      </c>
      <c r="M725" t="s">
        <v>60</v>
      </c>
      <c r="N725" t="str">
        <f t="shared" si="341"/>
        <v>Arjun Bose</v>
      </c>
      <c r="O725" t="s">
        <v>107</v>
      </c>
      <c r="P725" t="str">
        <f t="shared" si="364"/>
        <v>Corporate</v>
      </c>
      <c r="Q725" t="s">
        <v>72</v>
      </c>
      <c r="R725" t="str">
        <f t="shared" si="365"/>
        <v>West</v>
      </c>
      <c r="S725" t="str">
        <f t="shared" si="351"/>
        <v>OK</v>
      </c>
      <c r="T725" t="s">
        <v>83</v>
      </c>
      <c r="U725" t="str">
        <f t="shared" si="342"/>
        <v>Madhya Pradesh</v>
      </c>
      <c r="V725" t="s">
        <v>84</v>
      </c>
      <c r="W725" t="str">
        <f t="shared" si="343"/>
        <v>Indore</v>
      </c>
      <c r="X725" t="str">
        <f t="shared" si="344"/>
        <v>Technology</v>
      </c>
      <c r="Y725" t="s">
        <v>85</v>
      </c>
      <c r="Z725" t="s">
        <v>222</v>
      </c>
      <c r="AA725" t="str">
        <f t="shared" si="345"/>
        <v>Phones</v>
      </c>
      <c r="AB725" t="s">
        <v>2271</v>
      </c>
      <c r="AC725" t="s">
        <v>66</v>
      </c>
      <c r="AD725" t="str">
        <f t="shared" si="337"/>
        <v>Standard Class</v>
      </c>
      <c r="AE725" t="str">
        <f t="shared" si="352"/>
        <v>OK</v>
      </c>
      <c r="AF725">
        <v>4</v>
      </c>
      <c r="AG725">
        <v>889.5</v>
      </c>
      <c r="AH725">
        <v>0.2</v>
      </c>
      <c r="AI725">
        <f t="shared" si="353"/>
        <v>0.2</v>
      </c>
      <c r="AJ725" t="str">
        <f t="shared" si="354"/>
        <v>OK</v>
      </c>
      <c r="AK725">
        <v>2846.4</v>
      </c>
      <c r="AL725">
        <v>2132.37</v>
      </c>
      <c r="AM725">
        <v>714.03</v>
      </c>
      <c r="AN725" t="s">
        <v>33</v>
      </c>
      <c r="AO725" t="str">
        <f t="shared" si="346"/>
        <v>PAID</v>
      </c>
      <c r="AP725" t="str">
        <f t="shared" si="355"/>
        <v>OK</v>
      </c>
      <c r="AQ725" t="s">
        <v>34</v>
      </c>
      <c r="AR725" t="str">
        <f t="shared" si="347"/>
        <v>COMPLETED</v>
      </c>
      <c r="AS725" t="str">
        <f t="shared" si="356"/>
        <v>OK</v>
      </c>
      <c r="AT725">
        <f t="shared" si="357"/>
        <v>2846.4</v>
      </c>
      <c r="AU725">
        <f t="shared" si="358"/>
        <v>714.0300000000002</v>
      </c>
      <c r="AV725" s="6">
        <f t="shared" si="359"/>
        <v>0.93305157391793192</v>
      </c>
      <c r="AW725" t="str">
        <f t="shared" si="360"/>
        <v>CLEAN</v>
      </c>
      <c r="AX725" s="10" t="str">
        <f t="shared" si="361"/>
        <v>MATCH</v>
      </c>
      <c r="AY725" t="str">
        <f t="shared" si="362"/>
        <v>MATCH</v>
      </c>
    </row>
    <row r="726" spans="1:51">
      <c r="A726" t="s">
        <v>2272</v>
      </c>
      <c r="B726">
        <f t="shared" si="338"/>
        <v>1</v>
      </c>
      <c r="C726" t="s">
        <v>2273</v>
      </c>
      <c r="D726" s="3">
        <v>45727</v>
      </c>
      <c r="E726" t="str">
        <f t="shared" si="339"/>
        <v>2025/03/11</v>
      </c>
      <c r="F726" t="str">
        <f t="shared" si="348"/>
        <v>March</v>
      </c>
      <c r="G726">
        <f t="shared" si="349"/>
        <v>2025</v>
      </c>
      <c r="H726" t="s">
        <v>2274</v>
      </c>
      <c r="I726" s="4">
        <v>45731</v>
      </c>
      <c r="J726" s="8">
        <f t="shared" si="340"/>
        <v>4</v>
      </c>
      <c r="K726" s="8" t="str">
        <f t="shared" si="350"/>
        <v>OK</v>
      </c>
      <c r="L726" t="s">
        <v>2275</v>
      </c>
      <c r="M726" t="s">
        <v>60</v>
      </c>
      <c r="N726" t="str">
        <f t="shared" si="341"/>
        <v>Arjun Bose</v>
      </c>
      <c r="O726" t="s">
        <v>107</v>
      </c>
      <c r="P726" t="str">
        <f t="shared" si="364"/>
        <v>Corporate</v>
      </c>
      <c r="Q726" t="s">
        <v>41</v>
      </c>
      <c r="R726" t="str">
        <f t="shared" si="365"/>
        <v>East</v>
      </c>
      <c r="S726" t="str">
        <f t="shared" si="351"/>
        <v>OK</v>
      </c>
      <c r="T726" t="s">
        <v>185</v>
      </c>
      <c r="U726" t="str">
        <f t="shared" si="342"/>
        <v>Bihar</v>
      </c>
      <c r="V726" t="s">
        <v>186</v>
      </c>
      <c r="W726" t="str">
        <f t="shared" si="343"/>
        <v>Patna</v>
      </c>
      <c r="X726" t="str">
        <f t="shared" si="344"/>
        <v>Office Supplies</v>
      </c>
      <c r="Y726" t="s">
        <v>29</v>
      </c>
      <c r="Z726" t="s">
        <v>30</v>
      </c>
      <c r="AA726" t="str">
        <f t="shared" si="345"/>
        <v>Paper</v>
      </c>
      <c r="AB726" t="s">
        <v>2276</v>
      </c>
      <c r="AC726" t="s">
        <v>47</v>
      </c>
      <c r="AD726" t="str">
        <f t="shared" si="337"/>
        <v>Same Day</v>
      </c>
      <c r="AE726" t="str">
        <f t="shared" si="352"/>
        <v>OK</v>
      </c>
      <c r="AF726">
        <v>3</v>
      </c>
      <c r="AG726">
        <v>3625.08</v>
      </c>
      <c r="AH726">
        <v>0.05</v>
      </c>
      <c r="AI726">
        <f t="shared" si="353"/>
        <v>0.05</v>
      </c>
      <c r="AJ726" t="str">
        <f t="shared" si="354"/>
        <v>OK</v>
      </c>
      <c r="AK726">
        <v>10331.48</v>
      </c>
      <c r="AL726">
        <v>7131.91</v>
      </c>
      <c r="AM726">
        <v>3199.57</v>
      </c>
      <c r="AN726" t="s">
        <v>136</v>
      </c>
      <c r="AO726" t="str">
        <f t="shared" si="346"/>
        <v>PENDING</v>
      </c>
      <c r="AP726" t="str">
        <f t="shared" si="355"/>
        <v>OK</v>
      </c>
      <c r="AQ726" t="s">
        <v>77</v>
      </c>
      <c r="AR726" t="str">
        <f t="shared" si="347"/>
        <v>CANCELLED</v>
      </c>
      <c r="AS726" t="str">
        <f t="shared" si="356"/>
        <v>EXCLUDE_FROM_SALES</v>
      </c>
      <c r="AT726">
        <f t="shared" si="357"/>
        <v>10331.477999999999</v>
      </c>
      <c r="AU726">
        <f t="shared" si="358"/>
        <v>3199.5679999999993</v>
      </c>
      <c r="AV726" s="6">
        <f t="shared" si="359"/>
        <v>0.18266626517522458</v>
      </c>
      <c r="AW726" t="str">
        <f t="shared" si="360"/>
        <v>CLEAN</v>
      </c>
      <c r="AX726" s="10" t="str">
        <f t="shared" si="361"/>
        <v>MATCH</v>
      </c>
      <c r="AY726" t="str">
        <f t="shared" si="362"/>
        <v>MATCH</v>
      </c>
    </row>
    <row r="727" spans="1:51">
      <c r="A727" t="s">
        <v>2291</v>
      </c>
      <c r="B727">
        <f t="shared" si="338"/>
        <v>1</v>
      </c>
      <c r="C727" t="s">
        <v>2292</v>
      </c>
      <c r="D727" s="2">
        <v>45901</v>
      </c>
      <c r="E727" t="str">
        <f t="shared" si="339"/>
        <v>2025/09/01</v>
      </c>
      <c r="F727" t="str">
        <f t="shared" si="348"/>
        <v>September</v>
      </c>
      <c r="G727">
        <f t="shared" si="349"/>
        <v>2025</v>
      </c>
      <c r="H727" t="s">
        <v>2293</v>
      </c>
      <c r="I727" s="4">
        <v>45664</v>
      </c>
      <c r="J727" s="8">
        <f t="shared" si="340"/>
        <v>-237</v>
      </c>
      <c r="K727" s="8" t="str">
        <f t="shared" si="350"/>
        <v>INVAILD_SHIPPING</v>
      </c>
      <c r="L727" t="s">
        <v>2294</v>
      </c>
      <c r="M727" t="s">
        <v>161</v>
      </c>
      <c r="N727" t="str">
        <f t="shared" si="341"/>
        <v>Aarav Sharma</v>
      </c>
      <c r="O727" t="s">
        <v>114</v>
      </c>
      <c r="P727" t="str">
        <f t="shared" si="364"/>
        <v>Home Office</v>
      </c>
      <c r="Q727" t="s">
        <v>41</v>
      </c>
      <c r="R727" t="str">
        <f t="shared" si="365"/>
        <v>East</v>
      </c>
      <c r="S727" t="str">
        <f t="shared" si="351"/>
        <v>OK</v>
      </c>
      <c r="T727" t="s">
        <v>120</v>
      </c>
      <c r="U727" t="str">
        <f t="shared" si="342"/>
        <v>West Bengal</v>
      </c>
      <c r="V727" t="s">
        <v>121</v>
      </c>
      <c r="W727" t="str">
        <f t="shared" si="343"/>
        <v>Kolkata</v>
      </c>
      <c r="X727" t="str">
        <f t="shared" si="344"/>
        <v>Office Supplies</v>
      </c>
      <c r="Y727" t="s">
        <v>29</v>
      </c>
      <c r="Z727" t="s">
        <v>197</v>
      </c>
      <c r="AA727" t="str">
        <f t="shared" si="345"/>
        <v>Binders</v>
      </c>
      <c r="AB727" t="s">
        <v>2295</v>
      </c>
      <c r="AC727" t="s">
        <v>32</v>
      </c>
      <c r="AD727" t="str">
        <f t="shared" si="337"/>
        <v>Second Class</v>
      </c>
      <c r="AE727" t="str">
        <f t="shared" si="352"/>
        <v>OK</v>
      </c>
      <c r="AF727">
        <v>3</v>
      </c>
      <c r="AG727">
        <v>2188.33</v>
      </c>
      <c r="AH727">
        <v>0</v>
      </c>
      <c r="AI727">
        <f t="shared" si="353"/>
        <v>0</v>
      </c>
      <c r="AJ727" t="str">
        <f t="shared" si="354"/>
        <v>OK</v>
      </c>
      <c r="AK727">
        <v>6564.99</v>
      </c>
      <c r="AL727">
        <v>5407.24</v>
      </c>
      <c r="AM727">
        <v>1157.75</v>
      </c>
      <c r="AN727" t="s">
        <v>33</v>
      </c>
      <c r="AO727" t="str">
        <f t="shared" si="346"/>
        <v>PAID</v>
      </c>
      <c r="AP727" t="str">
        <f t="shared" si="355"/>
        <v>OK</v>
      </c>
      <c r="AQ727" t="s">
        <v>34</v>
      </c>
      <c r="AR727" t="str">
        <f t="shared" si="347"/>
        <v>COMPLETED</v>
      </c>
      <c r="AS727" t="str">
        <f t="shared" si="356"/>
        <v>OK</v>
      </c>
      <c r="AT727">
        <f t="shared" si="357"/>
        <v>6564.99</v>
      </c>
      <c r="AU727">
        <f t="shared" si="358"/>
        <v>1157.75</v>
      </c>
      <c r="AV727" s="6">
        <f t="shared" si="359"/>
        <v>0.77853766723178564</v>
      </c>
      <c r="AW727" t="str">
        <f t="shared" si="360"/>
        <v>CLEAN</v>
      </c>
      <c r="AX727" s="10" t="str">
        <f t="shared" si="361"/>
        <v>MATCH</v>
      </c>
      <c r="AY727" t="str">
        <f t="shared" si="362"/>
        <v>MATCH</v>
      </c>
    </row>
    <row r="728" spans="1:51">
      <c r="A728" t="s">
        <v>2321</v>
      </c>
      <c r="B728">
        <f t="shared" si="338"/>
        <v>1</v>
      </c>
      <c r="C728" t="s">
        <v>2322</v>
      </c>
      <c r="D728" s="3">
        <v>45660</v>
      </c>
      <c r="E728" t="str">
        <f t="shared" si="339"/>
        <v>2025/01/03</v>
      </c>
      <c r="F728" t="str">
        <f t="shared" si="348"/>
        <v>January</v>
      </c>
      <c r="G728">
        <f t="shared" si="349"/>
        <v>2025</v>
      </c>
      <c r="H728" t="s">
        <v>2323</v>
      </c>
      <c r="I728" s="4">
        <v>45724</v>
      </c>
      <c r="J728" s="8">
        <f t="shared" si="340"/>
        <v>64</v>
      </c>
      <c r="K728" s="8" t="str">
        <f t="shared" si="350"/>
        <v>OK</v>
      </c>
      <c r="L728" t="s">
        <v>2324</v>
      </c>
      <c r="M728" t="s">
        <v>82</v>
      </c>
      <c r="N728" t="str">
        <f t="shared" si="341"/>
        <v>Vikram Iyer</v>
      </c>
      <c r="O728" t="s">
        <v>25</v>
      </c>
      <c r="P728" t="str">
        <f t="shared" si="364"/>
        <v>Consumer</v>
      </c>
      <c r="Q728" t="s">
        <v>41</v>
      </c>
      <c r="R728" t="str">
        <f t="shared" si="365"/>
        <v>East</v>
      </c>
      <c r="S728" t="str">
        <f t="shared" si="351"/>
        <v>OK</v>
      </c>
      <c r="T728" t="s">
        <v>120</v>
      </c>
      <c r="U728" t="str">
        <f t="shared" si="342"/>
        <v>West Bengal</v>
      </c>
      <c r="V728" t="s">
        <v>121</v>
      </c>
      <c r="W728" t="str">
        <f t="shared" si="343"/>
        <v>Kolkata</v>
      </c>
      <c r="X728" t="str">
        <f t="shared" si="344"/>
        <v>Furniture</v>
      </c>
      <c r="Y728" t="s">
        <v>44</v>
      </c>
      <c r="Z728" t="s">
        <v>75</v>
      </c>
      <c r="AA728" t="str">
        <f t="shared" si="345"/>
        <v>Chairs</v>
      </c>
      <c r="AB728" t="s">
        <v>2325</v>
      </c>
      <c r="AC728" t="s">
        <v>47</v>
      </c>
      <c r="AD728" t="str">
        <f t="shared" si="337"/>
        <v>Same Day</v>
      </c>
      <c r="AE728" t="str">
        <f t="shared" si="352"/>
        <v>OK</v>
      </c>
      <c r="AF728">
        <v>8</v>
      </c>
      <c r="AG728">
        <v>3378.82</v>
      </c>
      <c r="AH728">
        <v>0.25</v>
      </c>
      <c r="AI728">
        <f t="shared" si="353"/>
        <v>0.25</v>
      </c>
      <c r="AJ728" t="str">
        <f t="shared" si="354"/>
        <v>OK</v>
      </c>
      <c r="AK728">
        <v>20272.919999999998</v>
      </c>
      <c r="AL728">
        <v>15873.38</v>
      </c>
      <c r="AM728">
        <v>4399.54</v>
      </c>
      <c r="AN728" t="s">
        <v>136</v>
      </c>
      <c r="AO728" t="str">
        <f t="shared" si="346"/>
        <v>PENDING</v>
      </c>
      <c r="AP728" t="str">
        <f t="shared" si="355"/>
        <v>OK</v>
      </c>
      <c r="AQ728" t="s">
        <v>124</v>
      </c>
      <c r="AR728" t="str">
        <f t="shared" si="347"/>
        <v>RETURNED</v>
      </c>
      <c r="AS728" t="str">
        <f t="shared" si="356"/>
        <v>RETURNED_ORDER</v>
      </c>
      <c r="AT728">
        <f t="shared" si="357"/>
        <v>20272.920000000002</v>
      </c>
      <c r="AU728">
        <f t="shared" si="358"/>
        <v>4399.5400000000027</v>
      </c>
      <c r="AV728" s="6">
        <f t="shared" si="359"/>
        <v>0.16329699914960447</v>
      </c>
      <c r="AW728" t="str">
        <f t="shared" si="360"/>
        <v>CLEAN</v>
      </c>
      <c r="AX728" s="10" t="str">
        <f t="shared" si="361"/>
        <v>MATCH</v>
      </c>
      <c r="AY728" t="str">
        <f t="shared" si="362"/>
        <v>MATCH</v>
      </c>
    </row>
    <row r="729" spans="1:51">
      <c r="A729" t="s">
        <v>2331</v>
      </c>
      <c r="B729">
        <f t="shared" si="338"/>
        <v>1</v>
      </c>
      <c r="C729" t="s">
        <v>2332</v>
      </c>
      <c r="D729" s="3">
        <v>45892</v>
      </c>
      <c r="E729" t="str">
        <f t="shared" si="339"/>
        <v>2025/08/23</v>
      </c>
      <c r="F729" t="str">
        <f t="shared" si="348"/>
        <v>August</v>
      </c>
      <c r="G729">
        <f t="shared" si="349"/>
        <v>2025</v>
      </c>
      <c r="H729" t="s">
        <v>2333</v>
      </c>
      <c r="I729" s="4">
        <v>45897</v>
      </c>
      <c r="J729" s="8">
        <f t="shared" si="340"/>
        <v>5</v>
      </c>
      <c r="K729" s="8" t="str">
        <f t="shared" si="350"/>
        <v>OK</v>
      </c>
      <c r="L729" t="s">
        <v>2334</v>
      </c>
      <c r="M729" t="s">
        <v>82</v>
      </c>
      <c r="N729" t="str">
        <f t="shared" si="341"/>
        <v>Vikram Iyer</v>
      </c>
      <c r="O729" t="s">
        <v>107</v>
      </c>
      <c r="P729" t="str">
        <f t="shared" si="364"/>
        <v>Corporate</v>
      </c>
      <c r="Q729" t="s">
        <v>72</v>
      </c>
      <c r="R729" t="str">
        <f t="shared" si="365"/>
        <v>West</v>
      </c>
      <c r="S729" t="str">
        <f t="shared" si="351"/>
        <v>OK</v>
      </c>
      <c r="T729" t="s">
        <v>234</v>
      </c>
      <c r="U729" t="str">
        <f t="shared" si="342"/>
        <v>Gujarat</v>
      </c>
      <c r="V729" t="s">
        <v>235</v>
      </c>
      <c r="W729" t="str">
        <f t="shared" si="343"/>
        <v>Ahmedabad</v>
      </c>
      <c r="X729" t="str">
        <f t="shared" si="344"/>
        <v>Furniture</v>
      </c>
      <c r="Y729" t="s">
        <v>44</v>
      </c>
      <c r="Z729" t="s">
        <v>75</v>
      </c>
      <c r="AA729" t="str">
        <f t="shared" si="345"/>
        <v>Chairs</v>
      </c>
      <c r="AB729" t="s">
        <v>2335</v>
      </c>
      <c r="AC729" t="s">
        <v>66</v>
      </c>
      <c r="AD729" t="str">
        <f t="shared" si="337"/>
        <v>Standard Class</v>
      </c>
      <c r="AE729" t="str">
        <f t="shared" si="352"/>
        <v>OK</v>
      </c>
      <c r="AF729">
        <v>6</v>
      </c>
      <c r="AG729">
        <v>2193.23</v>
      </c>
      <c r="AH729">
        <v>0.1</v>
      </c>
      <c r="AI729">
        <f t="shared" si="353"/>
        <v>0.1</v>
      </c>
      <c r="AJ729" t="str">
        <f t="shared" si="354"/>
        <v>OK</v>
      </c>
      <c r="AK729">
        <v>11843.44</v>
      </c>
      <c r="AL729">
        <v>9356.8799999999992</v>
      </c>
      <c r="AM729">
        <v>2486.56</v>
      </c>
      <c r="AN729" t="s">
        <v>33</v>
      </c>
      <c r="AO729" t="str">
        <f t="shared" si="346"/>
        <v>PAID</v>
      </c>
      <c r="AP729" t="str">
        <f t="shared" si="355"/>
        <v>OK</v>
      </c>
      <c r="AQ729" t="s">
        <v>77</v>
      </c>
      <c r="AR729" t="str">
        <f t="shared" si="347"/>
        <v>CANCELLED</v>
      </c>
      <c r="AS729" t="str">
        <f t="shared" si="356"/>
        <v>EXCLUDE_FROM_SALES</v>
      </c>
      <c r="AT729">
        <f t="shared" si="357"/>
        <v>11843.442000000001</v>
      </c>
      <c r="AU729">
        <f t="shared" si="358"/>
        <v>2486.5620000000017</v>
      </c>
      <c r="AV729" s="6">
        <f t="shared" si="359"/>
        <v>0.71727712264728427</v>
      </c>
      <c r="AW729" t="str">
        <f t="shared" si="360"/>
        <v>CLEAN</v>
      </c>
      <c r="AX729" s="10" t="str">
        <f t="shared" si="361"/>
        <v>MATCH</v>
      </c>
      <c r="AY729" t="str">
        <f t="shared" si="362"/>
        <v>MATCH</v>
      </c>
    </row>
    <row r="730" spans="1:51">
      <c r="A730" t="s">
        <v>2345</v>
      </c>
      <c r="B730">
        <f t="shared" si="338"/>
        <v>1</v>
      </c>
      <c r="C730" t="s">
        <v>384</v>
      </c>
      <c r="D730" s="3">
        <v>45778</v>
      </c>
      <c r="E730" t="str">
        <f t="shared" si="339"/>
        <v>2025/05/01</v>
      </c>
      <c r="F730" t="str">
        <f t="shared" si="348"/>
        <v>May</v>
      </c>
      <c r="G730">
        <f t="shared" si="349"/>
        <v>2025</v>
      </c>
      <c r="H730" t="s">
        <v>2292</v>
      </c>
      <c r="I730" s="4">
        <v>45666</v>
      </c>
      <c r="J730" s="8">
        <f t="shared" si="340"/>
        <v>-112</v>
      </c>
      <c r="K730" s="8" t="str">
        <f t="shared" si="350"/>
        <v>INVAILD_SHIPPING</v>
      </c>
      <c r="L730" t="s">
        <v>2346</v>
      </c>
      <c r="M730" t="s">
        <v>92</v>
      </c>
      <c r="N730" t="str">
        <f t="shared" si="341"/>
        <v>Neha Gupta</v>
      </c>
      <c r="O730" t="s">
        <v>40</v>
      </c>
      <c r="P730" t="str">
        <f t="shared" si="364"/>
        <v>Small Business</v>
      </c>
      <c r="Q730" t="s">
        <v>61</v>
      </c>
      <c r="R730" t="str">
        <f t="shared" si="365"/>
        <v>South</v>
      </c>
      <c r="S730" t="str">
        <f t="shared" si="351"/>
        <v>OK</v>
      </c>
      <c r="T730" t="s">
        <v>338</v>
      </c>
      <c r="U730" t="str">
        <f t="shared" si="342"/>
        <v>Tamil Nadu</v>
      </c>
      <c r="V730" t="s">
        <v>339</v>
      </c>
      <c r="W730" t="str">
        <f t="shared" si="343"/>
        <v>Chennai</v>
      </c>
      <c r="X730" t="str">
        <f t="shared" si="344"/>
        <v>Office Supplies</v>
      </c>
      <c r="Y730" t="s">
        <v>29</v>
      </c>
      <c r="Z730" t="s">
        <v>155</v>
      </c>
      <c r="AA730" t="str">
        <f t="shared" si="345"/>
        <v>Storage</v>
      </c>
      <c r="AB730" t="s">
        <v>2347</v>
      </c>
      <c r="AD730" t="s">
        <v>4109</v>
      </c>
      <c r="AE730" t="str">
        <f t="shared" si="352"/>
        <v>MISSING_SHIP_MODE</v>
      </c>
      <c r="AF730">
        <v>5</v>
      </c>
      <c r="AG730">
        <v>905.16</v>
      </c>
      <c r="AH730">
        <v>0</v>
      </c>
      <c r="AI730">
        <f t="shared" si="353"/>
        <v>0</v>
      </c>
      <c r="AJ730" t="str">
        <f t="shared" si="354"/>
        <v>OK</v>
      </c>
      <c r="AK730">
        <v>4525.8</v>
      </c>
      <c r="AL730">
        <v>2714.51</v>
      </c>
      <c r="AM730">
        <v>1811.29</v>
      </c>
      <c r="AN730" t="s">
        <v>33</v>
      </c>
      <c r="AO730" t="str">
        <f t="shared" si="346"/>
        <v>PAID</v>
      </c>
      <c r="AP730" t="str">
        <f t="shared" si="355"/>
        <v>OK</v>
      </c>
      <c r="AQ730" t="s">
        <v>34</v>
      </c>
      <c r="AR730" t="str">
        <f t="shared" si="347"/>
        <v>COMPLETED</v>
      </c>
      <c r="AS730" t="str">
        <f t="shared" si="356"/>
        <v>OK</v>
      </c>
      <c r="AT730">
        <f t="shared" si="357"/>
        <v>4525.8</v>
      </c>
      <c r="AU730">
        <f t="shared" si="358"/>
        <v>1811.29</v>
      </c>
      <c r="AV730" s="6">
        <f t="shared" si="359"/>
        <v>0.12463652834857926</v>
      </c>
      <c r="AW730" t="str">
        <f t="shared" si="360"/>
        <v>WARNING</v>
      </c>
      <c r="AX730" s="10" t="str">
        <f t="shared" si="361"/>
        <v>MATCH</v>
      </c>
      <c r="AY730" t="str">
        <f t="shared" si="362"/>
        <v>MATCH</v>
      </c>
    </row>
    <row r="731" spans="1:51">
      <c r="A731" t="s">
        <v>2348</v>
      </c>
      <c r="B731">
        <f t="shared" si="338"/>
        <v>1</v>
      </c>
      <c r="C731" t="s">
        <v>2349</v>
      </c>
      <c r="D731" s="3">
        <v>45783</v>
      </c>
      <c r="E731" t="str">
        <f t="shared" si="339"/>
        <v>2025/05/06</v>
      </c>
      <c r="F731" t="str">
        <f t="shared" si="348"/>
        <v>May</v>
      </c>
      <c r="G731">
        <f t="shared" si="349"/>
        <v>2025</v>
      </c>
      <c r="H731" t="s">
        <v>2350</v>
      </c>
      <c r="I731" s="4">
        <v>45821</v>
      </c>
      <c r="J731" s="8">
        <f t="shared" si="340"/>
        <v>38</v>
      </c>
      <c r="K731" s="8" t="str">
        <f t="shared" si="350"/>
        <v>OK</v>
      </c>
      <c r="L731" t="s">
        <v>2351</v>
      </c>
      <c r="M731" t="s">
        <v>52</v>
      </c>
      <c r="N731" t="str">
        <f t="shared" si="341"/>
        <v>Isha Nair</v>
      </c>
      <c r="O731" t="s">
        <v>25</v>
      </c>
      <c r="P731" t="str">
        <f t="shared" si="364"/>
        <v>Consumer</v>
      </c>
      <c r="Q731" t="s">
        <v>26</v>
      </c>
      <c r="R731" t="str">
        <f t="shared" si="365"/>
        <v>North</v>
      </c>
      <c r="S731" t="str">
        <f t="shared" si="351"/>
        <v>OK</v>
      </c>
      <c r="T731" t="s">
        <v>173</v>
      </c>
      <c r="U731" t="str">
        <f t="shared" si="342"/>
        <v>Uttar Pradesh</v>
      </c>
      <c r="V731" t="s">
        <v>174</v>
      </c>
      <c r="W731" t="str">
        <f t="shared" si="343"/>
        <v>Noida</v>
      </c>
      <c r="X731" t="str">
        <f t="shared" si="344"/>
        <v>Technology</v>
      </c>
      <c r="Y731" t="s">
        <v>85</v>
      </c>
      <c r="Z731" t="s">
        <v>381</v>
      </c>
      <c r="AA731" t="str">
        <f t="shared" si="345"/>
        <v>Machines</v>
      </c>
      <c r="AB731" t="s">
        <v>2352</v>
      </c>
      <c r="AC731" t="s">
        <v>47</v>
      </c>
      <c r="AD731" t="str">
        <f t="shared" ref="AD731:AD771" si="366">PROPER(TRIM(SUBSTITUTE(AC731,CHAR(160)," ")))</f>
        <v>Same Day</v>
      </c>
      <c r="AE731" t="str">
        <f t="shared" si="352"/>
        <v>OK</v>
      </c>
      <c r="AF731">
        <v>4</v>
      </c>
      <c r="AG731">
        <v>2793.88</v>
      </c>
      <c r="AH731" t="s">
        <v>1169</v>
      </c>
      <c r="AI731">
        <f t="shared" si="353"/>
        <v>0.85</v>
      </c>
      <c r="AJ731" t="str">
        <f t="shared" si="354"/>
        <v>OK</v>
      </c>
      <c r="AK731">
        <v>10616.74</v>
      </c>
      <c r="AL731">
        <v>6353.59</v>
      </c>
      <c r="AM731">
        <v>4263.1499999999996</v>
      </c>
      <c r="AN731" t="s">
        <v>33</v>
      </c>
      <c r="AO731" t="str">
        <f t="shared" si="346"/>
        <v>PAID</v>
      </c>
      <c r="AP731" t="str">
        <f t="shared" si="355"/>
        <v>OK</v>
      </c>
      <c r="AQ731" t="s">
        <v>34</v>
      </c>
      <c r="AR731" t="str">
        <f t="shared" si="347"/>
        <v>COMPLETED</v>
      </c>
      <c r="AS731" t="str">
        <f t="shared" si="356"/>
        <v>OK</v>
      </c>
      <c r="AT731">
        <f t="shared" si="357"/>
        <v>1676.3280000000002</v>
      </c>
      <c r="AU731">
        <f t="shared" si="358"/>
        <v>-4677.2619999999997</v>
      </c>
      <c r="AV731" s="6">
        <f t="shared" si="359"/>
        <v>2.2228346719735033</v>
      </c>
      <c r="AW731" t="str">
        <f t="shared" si="360"/>
        <v>CLEAN</v>
      </c>
      <c r="AX731" s="10" t="str">
        <f t="shared" si="361"/>
        <v>MISMATCH</v>
      </c>
      <c r="AY731" t="str">
        <f t="shared" si="362"/>
        <v>MISMATCH</v>
      </c>
    </row>
    <row r="732" spans="1:51">
      <c r="A732" t="s">
        <v>2365</v>
      </c>
      <c r="B732">
        <f t="shared" si="338"/>
        <v>1</v>
      </c>
      <c r="C732" t="s">
        <v>1836</v>
      </c>
      <c r="D732" s="3">
        <v>45679</v>
      </c>
      <c r="E732" t="str">
        <f t="shared" si="339"/>
        <v>2025/01/22</v>
      </c>
      <c r="F732" t="str">
        <f t="shared" si="348"/>
        <v>January</v>
      </c>
      <c r="G732">
        <f t="shared" si="349"/>
        <v>2025</v>
      </c>
      <c r="H732" t="s">
        <v>183</v>
      </c>
      <c r="I732" s="4">
        <v>45680</v>
      </c>
      <c r="J732" s="8">
        <f t="shared" si="340"/>
        <v>1</v>
      </c>
      <c r="K732" s="8" t="str">
        <f t="shared" si="350"/>
        <v>OK</v>
      </c>
      <c r="L732" t="s">
        <v>2366</v>
      </c>
      <c r="M732" t="s">
        <v>147</v>
      </c>
      <c r="N732" t="str">
        <f t="shared" si="341"/>
        <v>Rahul Verma</v>
      </c>
      <c r="O732" t="s">
        <v>107</v>
      </c>
      <c r="P732" t="str">
        <f t="shared" si="364"/>
        <v>Corporate</v>
      </c>
      <c r="Q732" t="s">
        <v>72</v>
      </c>
      <c r="R732" t="str">
        <f t="shared" si="365"/>
        <v>West</v>
      </c>
      <c r="S732" t="str">
        <f t="shared" si="351"/>
        <v>OK</v>
      </c>
      <c r="T732" t="s">
        <v>248</v>
      </c>
      <c r="U732" t="str">
        <f t="shared" si="342"/>
        <v>Goa</v>
      </c>
      <c r="V732" t="s">
        <v>249</v>
      </c>
      <c r="W732" t="str">
        <f t="shared" si="343"/>
        <v>Panaji</v>
      </c>
      <c r="X732" t="str">
        <f t="shared" si="344"/>
        <v>Furniture</v>
      </c>
      <c r="Y732" t="s">
        <v>44</v>
      </c>
      <c r="Z732" t="s">
        <v>203</v>
      </c>
      <c r="AA732" t="str">
        <f t="shared" si="345"/>
        <v>Bookcases</v>
      </c>
      <c r="AB732" t="s">
        <v>2367</v>
      </c>
      <c r="AC732" t="s">
        <v>66</v>
      </c>
      <c r="AD732" t="str">
        <f t="shared" si="366"/>
        <v>Standard Class</v>
      </c>
      <c r="AE732" t="str">
        <f t="shared" si="352"/>
        <v>OK</v>
      </c>
      <c r="AF732">
        <v>4</v>
      </c>
      <c r="AG732">
        <v>2555.19</v>
      </c>
      <c r="AH732">
        <v>0.25</v>
      </c>
      <c r="AI732">
        <f t="shared" si="353"/>
        <v>0.25</v>
      </c>
      <c r="AJ732" t="str">
        <f t="shared" si="354"/>
        <v>OK</v>
      </c>
      <c r="AK732">
        <v>7665.57</v>
      </c>
      <c r="AL732">
        <v>5595.6</v>
      </c>
      <c r="AM732">
        <v>2069.9699999999998</v>
      </c>
      <c r="AN732" t="s">
        <v>33</v>
      </c>
      <c r="AO732" t="str">
        <f t="shared" si="346"/>
        <v>PAID</v>
      </c>
      <c r="AP732" t="str">
        <f t="shared" si="355"/>
        <v>OK</v>
      </c>
      <c r="AQ732" t="s">
        <v>34</v>
      </c>
      <c r="AR732" t="str">
        <f t="shared" si="347"/>
        <v>COMPLETED</v>
      </c>
      <c r="AS732" t="str">
        <f t="shared" si="356"/>
        <v>OK</v>
      </c>
      <c r="AT732">
        <f t="shared" si="357"/>
        <v>7665.57</v>
      </c>
      <c r="AU732">
        <f t="shared" si="358"/>
        <v>2069.9699999999993</v>
      </c>
      <c r="AV732" s="6">
        <f t="shared" si="359"/>
        <v>0.82324999967386647</v>
      </c>
      <c r="AW732" t="str">
        <f t="shared" si="360"/>
        <v>CLEAN</v>
      </c>
      <c r="AX732" s="10" t="str">
        <f t="shared" si="361"/>
        <v>MATCH</v>
      </c>
      <c r="AY732" t="str">
        <f t="shared" si="362"/>
        <v>MATCH</v>
      </c>
    </row>
    <row r="733" spans="1:51">
      <c r="A733" t="s">
        <v>2368</v>
      </c>
      <c r="B733">
        <f t="shared" si="338"/>
        <v>1</v>
      </c>
      <c r="C733" t="s">
        <v>2369</v>
      </c>
      <c r="D733" s="3">
        <v>45830</v>
      </c>
      <c r="E733" t="str">
        <f t="shared" si="339"/>
        <v>2025/06/22</v>
      </c>
      <c r="F733" t="str">
        <f t="shared" si="348"/>
        <v>June</v>
      </c>
      <c r="G733">
        <f t="shared" si="349"/>
        <v>2025</v>
      </c>
      <c r="H733" t="s">
        <v>2370</v>
      </c>
      <c r="I733" s="4">
        <v>45834</v>
      </c>
      <c r="J733" s="8">
        <f t="shared" si="340"/>
        <v>4</v>
      </c>
      <c r="K733" s="8" t="str">
        <f t="shared" si="350"/>
        <v>OK</v>
      </c>
      <c r="L733" t="s">
        <v>2371</v>
      </c>
      <c r="M733" t="s">
        <v>147</v>
      </c>
      <c r="N733" t="str">
        <f t="shared" si="341"/>
        <v>Rahul Verma</v>
      </c>
      <c r="O733" t="s">
        <v>107</v>
      </c>
      <c r="P733" t="str">
        <f t="shared" si="364"/>
        <v>Corporate</v>
      </c>
      <c r="Q733" t="s">
        <v>72</v>
      </c>
      <c r="R733" t="str">
        <f t="shared" si="365"/>
        <v>West</v>
      </c>
      <c r="S733" t="str">
        <f t="shared" si="351"/>
        <v>OK</v>
      </c>
      <c r="T733" t="s">
        <v>248</v>
      </c>
      <c r="U733" t="str">
        <f t="shared" si="342"/>
        <v>Goa</v>
      </c>
      <c r="V733" t="s">
        <v>249</v>
      </c>
      <c r="W733" t="str">
        <f t="shared" si="343"/>
        <v>Panaji</v>
      </c>
      <c r="X733" t="str">
        <f t="shared" si="344"/>
        <v>Furniture</v>
      </c>
      <c r="Y733" t="s">
        <v>44</v>
      </c>
      <c r="Z733" t="s">
        <v>45</v>
      </c>
      <c r="AA733" t="str">
        <f t="shared" si="345"/>
        <v>Tables</v>
      </c>
      <c r="AB733" t="s">
        <v>2372</v>
      </c>
      <c r="AC733" t="s">
        <v>66</v>
      </c>
      <c r="AD733" t="str">
        <f t="shared" si="366"/>
        <v>Standard Class</v>
      </c>
      <c r="AE733" t="str">
        <f t="shared" si="352"/>
        <v>OK</v>
      </c>
      <c r="AF733">
        <v>3</v>
      </c>
      <c r="AG733">
        <v>1946.18</v>
      </c>
      <c r="AH733">
        <v>0.2</v>
      </c>
      <c r="AI733">
        <f t="shared" si="353"/>
        <v>0.2</v>
      </c>
      <c r="AJ733" t="str">
        <f t="shared" si="354"/>
        <v>OK</v>
      </c>
      <c r="AK733">
        <v>4670.83</v>
      </c>
      <c r="AL733">
        <v>3166.49</v>
      </c>
      <c r="AM733">
        <v>1504.34</v>
      </c>
      <c r="AN733" t="s">
        <v>33</v>
      </c>
      <c r="AO733" t="str">
        <f t="shared" si="346"/>
        <v>PAID</v>
      </c>
      <c r="AP733" t="str">
        <f t="shared" si="355"/>
        <v>OK</v>
      </c>
      <c r="AQ733" t="s">
        <v>34</v>
      </c>
      <c r="AR733" t="str">
        <f t="shared" si="347"/>
        <v>COMPLETED</v>
      </c>
      <c r="AS733" t="str">
        <f t="shared" si="356"/>
        <v>OK</v>
      </c>
      <c r="AT733">
        <f t="shared" si="357"/>
        <v>4670.8320000000003</v>
      </c>
      <c r="AU733">
        <f t="shared" si="358"/>
        <v>1504.3420000000006</v>
      </c>
      <c r="AV733" s="6">
        <f t="shared" si="359"/>
        <v>1.7063206298149876</v>
      </c>
      <c r="AW733" t="str">
        <f t="shared" si="360"/>
        <v>CLEAN</v>
      </c>
      <c r="AX733" s="10" t="str">
        <f t="shared" si="361"/>
        <v>MATCH</v>
      </c>
      <c r="AY733" t="str">
        <f t="shared" si="362"/>
        <v>MATCH</v>
      </c>
    </row>
    <row r="734" spans="1:51">
      <c r="A734" t="s">
        <v>2373</v>
      </c>
      <c r="B734">
        <f t="shared" si="338"/>
        <v>1</v>
      </c>
      <c r="C734" t="s">
        <v>1967</v>
      </c>
      <c r="D734" s="2">
        <v>45936</v>
      </c>
      <c r="E734" t="str">
        <f t="shared" si="339"/>
        <v>2025/10/06</v>
      </c>
      <c r="F734" t="str">
        <f t="shared" si="348"/>
        <v>October</v>
      </c>
      <c r="G734">
        <f t="shared" si="349"/>
        <v>2025</v>
      </c>
      <c r="H734" t="s">
        <v>2374</v>
      </c>
      <c r="I734" s="4">
        <v>45825</v>
      </c>
      <c r="J734" s="8">
        <f t="shared" si="340"/>
        <v>-111</v>
      </c>
      <c r="K734" s="8" t="str">
        <f t="shared" si="350"/>
        <v>INVAILD_SHIPPING</v>
      </c>
      <c r="L734" t="s">
        <v>2375</v>
      </c>
      <c r="M734" t="s">
        <v>147</v>
      </c>
      <c r="N734" t="str">
        <f t="shared" si="341"/>
        <v>Rahul Verma</v>
      </c>
      <c r="O734" t="s">
        <v>107</v>
      </c>
      <c r="P734" t="str">
        <f t="shared" si="364"/>
        <v>Corporate</v>
      </c>
      <c r="Q734" t="s">
        <v>61</v>
      </c>
      <c r="R734" t="str">
        <f t="shared" si="365"/>
        <v>South</v>
      </c>
      <c r="S734" t="str">
        <f t="shared" si="351"/>
        <v>OK</v>
      </c>
      <c r="T734" t="s">
        <v>62</v>
      </c>
      <c r="U734" t="str">
        <f t="shared" si="342"/>
        <v>Telangana</v>
      </c>
      <c r="V734" t="s">
        <v>63</v>
      </c>
      <c r="W734" t="str">
        <f t="shared" si="343"/>
        <v>Hyderabad</v>
      </c>
      <c r="X734" t="str">
        <f t="shared" si="344"/>
        <v>Furniture</v>
      </c>
      <c r="Y734" t="s">
        <v>44</v>
      </c>
      <c r="Z734" t="s">
        <v>64</v>
      </c>
      <c r="AA734" t="str">
        <f t="shared" si="345"/>
        <v>Furnishings</v>
      </c>
      <c r="AB734" t="s">
        <v>2376</v>
      </c>
      <c r="AC734" t="s">
        <v>66</v>
      </c>
      <c r="AD734" t="str">
        <f t="shared" si="366"/>
        <v>Standard Class</v>
      </c>
      <c r="AE734" t="str">
        <f t="shared" si="352"/>
        <v>OK</v>
      </c>
      <c r="AF734">
        <v>5</v>
      </c>
      <c r="AG734">
        <v>1231.0999999999999</v>
      </c>
      <c r="AH734">
        <v>0</v>
      </c>
      <c r="AI734">
        <f t="shared" si="353"/>
        <v>0</v>
      </c>
      <c r="AJ734" t="str">
        <f t="shared" si="354"/>
        <v>OK</v>
      </c>
      <c r="AK734">
        <v>6155.5</v>
      </c>
      <c r="AL734">
        <v>4282.09</v>
      </c>
      <c r="AM734">
        <v>1873.41</v>
      </c>
      <c r="AN734" t="s">
        <v>123</v>
      </c>
      <c r="AO734" t="str">
        <f t="shared" si="346"/>
        <v>REFUNDED</v>
      </c>
      <c r="AP734" t="str">
        <f t="shared" si="355"/>
        <v>REFUNDED_PAYMENT</v>
      </c>
      <c r="AQ734" t="s">
        <v>124</v>
      </c>
      <c r="AR734" t="str">
        <f t="shared" si="347"/>
        <v>RETURNED</v>
      </c>
      <c r="AS734" t="str">
        <f t="shared" si="356"/>
        <v>RETURNED_ORDER</v>
      </c>
      <c r="AT734">
        <f t="shared" si="357"/>
        <v>6155.5</v>
      </c>
      <c r="AU734">
        <f t="shared" si="358"/>
        <v>1873.4099999999999</v>
      </c>
      <c r="AV734" s="6">
        <f t="shared" si="359"/>
        <v>0.41636000324912686</v>
      </c>
      <c r="AW734" t="str">
        <f t="shared" si="360"/>
        <v>CLEAN</v>
      </c>
      <c r="AX734" s="10" t="str">
        <f t="shared" si="361"/>
        <v>MATCH</v>
      </c>
      <c r="AY734" t="str">
        <f t="shared" si="362"/>
        <v>MATCH</v>
      </c>
    </row>
    <row r="735" spans="1:51">
      <c r="A735" t="s">
        <v>2390</v>
      </c>
      <c r="B735">
        <f t="shared" si="338"/>
        <v>1</v>
      </c>
      <c r="C735" t="s">
        <v>1977</v>
      </c>
      <c r="D735" s="3">
        <v>45776</v>
      </c>
      <c r="E735" t="str">
        <f t="shared" si="339"/>
        <v>2025/04/29</v>
      </c>
      <c r="F735" t="str">
        <f t="shared" si="348"/>
        <v>April</v>
      </c>
      <c r="G735">
        <f t="shared" si="349"/>
        <v>2025</v>
      </c>
      <c r="H735" t="s">
        <v>2391</v>
      </c>
      <c r="I735" s="4">
        <v>45777</v>
      </c>
      <c r="J735" s="8">
        <f t="shared" si="340"/>
        <v>1</v>
      </c>
      <c r="K735" s="8" t="str">
        <f t="shared" si="350"/>
        <v>OK</v>
      </c>
      <c r="L735" t="s">
        <v>2392</v>
      </c>
      <c r="M735" t="s">
        <v>39</v>
      </c>
      <c r="N735" t="str">
        <f t="shared" si="341"/>
        <v>Mira Das</v>
      </c>
      <c r="O735" t="s">
        <v>107</v>
      </c>
      <c r="P735" t="str">
        <f t="shared" si="364"/>
        <v>Corporate</v>
      </c>
      <c r="Q735" t="s">
        <v>61</v>
      </c>
      <c r="R735" t="str">
        <f t="shared" si="365"/>
        <v>South</v>
      </c>
      <c r="S735" t="str">
        <f t="shared" si="351"/>
        <v>OK</v>
      </c>
      <c r="T735" t="s">
        <v>241</v>
      </c>
      <c r="U735" t="str">
        <f t="shared" si="342"/>
        <v>Kerala</v>
      </c>
      <c r="V735" t="s">
        <v>242</v>
      </c>
      <c r="W735" t="str">
        <f t="shared" si="343"/>
        <v>Kochi</v>
      </c>
      <c r="X735" t="str">
        <f t="shared" si="344"/>
        <v>Technology</v>
      </c>
      <c r="Y735" t="s">
        <v>85</v>
      </c>
      <c r="Z735" t="s">
        <v>86</v>
      </c>
      <c r="AA735" t="str">
        <f t="shared" si="345"/>
        <v>Accessories</v>
      </c>
      <c r="AB735" t="s">
        <v>2393</v>
      </c>
      <c r="AC735" t="s">
        <v>66</v>
      </c>
      <c r="AD735" t="str">
        <f t="shared" si="366"/>
        <v>Standard Class</v>
      </c>
      <c r="AE735" t="str">
        <f t="shared" si="352"/>
        <v>OK</v>
      </c>
      <c r="AF735">
        <v>4</v>
      </c>
      <c r="AG735">
        <v>606.58000000000004</v>
      </c>
      <c r="AH735">
        <v>0.2</v>
      </c>
      <c r="AI735">
        <f t="shared" si="353"/>
        <v>0.2</v>
      </c>
      <c r="AJ735" t="str">
        <f t="shared" si="354"/>
        <v>OK</v>
      </c>
      <c r="AK735">
        <v>1941.06</v>
      </c>
      <c r="AL735">
        <v>1207.42</v>
      </c>
      <c r="AM735">
        <v>733.64</v>
      </c>
      <c r="AN735" t="s">
        <v>33</v>
      </c>
      <c r="AO735" t="str">
        <f t="shared" si="346"/>
        <v>PAID</v>
      </c>
      <c r="AP735" t="str">
        <f t="shared" si="355"/>
        <v>OK</v>
      </c>
      <c r="AQ735" t="s">
        <v>34</v>
      </c>
      <c r="AR735" t="str">
        <f t="shared" si="347"/>
        <v>COMPLETED</v>
      </c>
      <c r="AS735" t="str">
        <f t="shared" si="356"/>
        <v>OK</v>
      </c>
      <c r="AT735">
        <f t="shared" si="357"/>
        <v>1941.0560000000003</v>
      </c>
      <c r="AU735">
        <f t="shared" si="358"/>
        <v>733.63600000000019</v>
      </c>
      <c r="AV735" s="6">
        <f t="shared" si="359"/>
        <v>3.9133157415345035</v>
      </c>
      <c r="AW735" t="str">
        <f t="shared" si="360"/>
        <v>CLEAN</v>
      </c>
      <c r="AX735" s="10" t="str">
        <f t="shared" si="361"/>
        <v>MATCH</v>
      </c>
      <c r="AY735" t="str">
        <f t="shared" si="362"/>
        <v>MATCH</v>
      </c>
    </row>
    <row r="736" spans="1:51">
      <c r="A736" t="s">
        <v>2394</v>
      </c>
      <c r="B736">
        <f t="shared" si="338"/>
        <v>1</v>
      </c>
      <c r="C736" t="s">
        <v>2395</v>
      </c>
      <c r="D736" s="3">
        <v>45836</v>
      </c>
      <c r="E736" t="str">
        <f t="shared" si="339"/>
        <v>2025/06/28</v>
      </c>
      <c r="F736" t="str">
        <f t="shared" si="348"/>
        <v>June</v>
      </c>
      <c r="G736">
        <f t="shared" si="349"/>
        <v>2025</v>
      </c>
      <c r="H736" t="s">
        <v>2396</v>
      </c>
      <c r="I736" s="4">
        <v>45840</v>
      </c>
      <c r="J736" s="8">
        <f t="shared" si="340"/>
        <v>4</v>
      </c>
      <c r="K736" s="8" t="str">
        <f t="shared" si="350"/>
        <v>OK</v>
      </c>
      <c r="L736" t="s">
        <v>2397</v>
      </c>
      <c r="M736" t="s">
        <v>71</v>
      </c>
      <c r="N736" t="str">
        <f t="shared" si="341"/>
        <v>Ananya Rao</v>
      </c>
      <c r="O736" t="s">
        <v>107</v>
      </c>
      <c r="P736" t="str">
        <f t="shared" si="364"/>
        <v>Corporate</v>
      </c>
      <c r="Q736" t="s">
        <v>61</v>
      </c>
      <c r="R736" t="str">
        <f t="shared" si="365"/>
        <v>South</v>
      </c>
      <c r="S736" t="str">
        <f t="shared" si="351"/>
        <v>OK</v>
      </c>
      <c r="T736" t="s">
        <v>99</v>
      </c>
      <c r="U736" t="str">
        <f t="shared" si="342"/>
        <v>Andhra Pradesh</v>
      </c>
      <c r="V736" t="s">
        <v>100</v>
      </c>
      <c r="W736" t="str">
        <f t="shared" si="343"/>
        <v>Vijayawada</v>
      </c>
      <c r="X736" t="str">
        <f t="shared" si="344"/>
        <v>Office Supplies</v>
      </c>
      <c r="Y736" t="s">
        <v>29</v>
      </c>
      <c r="Z736" t="s">
        <v>155</v>
      </c>
      <c r="AA736" t="str">
        <f t="shared" si="345"/>
        <v>Storage</v>
      </c>
      <c r="AB736" t="s">
        <v>2398</v>
      </c>
      <c r="AC736" t="s">
        <v>32</v>
      </c>
      <c r="AD736" t="str">
        <f t="shared" si="366"/>
        <v>Second Class</v>
      </c>
      <c r="AE736" t="str">
        <f t="shared" si="352"/>
        <v>OK</v>
      </c>
      <c r="AF736">
        <v>2</v>
      </c>
      <c r="AG736">
        <v>2725.44</v>
      </c>
      <c r="AH736">
        <v>0.25</v>
      </c>
      <c r="AI736">
        <f t="shared" si="353"/>
        <v>0.25</v>
      </c>
      <c r="AJ736" t="str">
        <f t="shared" si="354"/>
        <v>OK</v>
      </c>
      <c r="AK736">
        <v>4088.16</v>
      </c>
      <c r="AL736">
        <v>3205.68</v>
      </c>
      <c r="AM736">
        <v>882.48</v>
      </c>
      <c r="AN736" t="s">
        <v>33</v>
      </c>
      <c r="AO736" t="str">
        <f t="shared" si="346"/>
        <v>PAID</v>
      </c>
      <c r="AP736" t="str">
        <f t="shared" si="355"/>
        <v>OK</v>
      </c>
      <c r="AQ736" t="s">
        <v>34</v>
      </c>
      <c r="AR736" t="str">
        <f t="shared" si="347"/>
        <v>COMPLETED</v>
      </c>
      <c r="AS736" t="str">
        <f t="shared" si="356"/>
        <v>OK</v>
      </c>
      <c r="AT736">
        <f t="shared" si="357"/>
        <v>4088.16</v>
      </c>
      <c r="AU736">
        <f t="shared" si="358"/>
        <v>882.48</v>
      </c>
      <c r="AV736" s="6">
        <f t="shared" si="359"/>
        <v>0.14380674924660489</v>
      </c>
      <c r="AW736" t="str">
        <f t="shared" si="360"/>
        <v>CLEAN</v>
      </c>
      <c r="AX736" s="10" t="str">
        <f t="shared" si="361"/>
        <v>MATCH</v>
      </c>
      <c r="AY736" t="str">
        <f t="shared" si="362"/>
        <v>MATCH</v>
      </c>
    </row>
    <row r="737" spans="1:51">
      <c r="A737" t="s">
        <v>2399</v>
      </c>
      <c r="B737">
        <f t="shared" si="338"/>
        <v>1</v>
      </c>
      <c r="C737" t="s">
        <v>1414</v>
      </c>
      <c r="D737" s="2">
        <v>45701</v>
      </c>
      <c r="E737" t="str">
        <f t="shared" si="339"/>
        <v>2025/02/13</v>
      </c>
      <c r="F737" t="str">
        <f t="shared" si="348"/>
        <v>February</v>
      </c>
      <c r="G737">
        <f t="shared" si="349"/>
        <v>2025</v>
      </c>
      <c r="H737" t="s">
        <v>2400</v>
      </c>
      <c r="I737" s="4">
        <v>45701</v>
      </c>
      <c r="J737" s="8">
        <f t="shared" si="340"/>
        <v>0</v>
      </c>
      <c r="K737" s="8" t="str">
        <f t="shared" si="350"/>
        <v>OK</v>
      </c>
      <c r="L737" t="s">
        <v>2401</v>
      </c>
      <c r="M737" t="s">
        <v>365</v>
      </c>
      <c r="N737" t="str">
        <f t="shared" si="341"/>
        <v>Kabir Singh</v>
      </c>
      <c r="O737" t="s">
        <v>107</v>
      </c>
      <c r="P737" t="str">
        <f t="shared" si="364"/>
        <v>Corporate</v>
      </c>
      <c r="Q737" t="s">
        <v>41</v>
      </c>
      <c r="R737" t="str">
        <f t="shared" si="365"/>
        <v>East</v>
      </c>
      <c r="S737" t="str">
        <f t="shared" si="351"/>
        <v>OK</v>
      </c>
      <c r="T737" t="s">
        <v>42</v>
      </c>
      <c r="U737" t="str">
        <f t="shared" si="342"/>
        <v>Odisha</v>
      </c>
      <c r="V737" t="s">
        <v>43</v>
      </c>
      <c r="W737" t="str">
        <f t="shared" si="343"/>
        <v>Bhubaneswar</v>
      </c>
      <c r="X737" t="str">
        <f t="shared" si="344"/>
        <v>Office Supplies</v>
      </c>
      <c r="Y737" t="s">
        <v>29</v>
      </c>
      <c r="Z737" t="s">
        <v>30</v>
      </c>
      <c r="AA737" t="str">
        <f t="shared" si="345"/>
        <v>Paper</v>
      </c>
      <c r="AB737" t="s">
        <v>2402</v>
      </c>
      <c r="AC737" t="s">
        <v>32</v>
      </c>
      <c r="AD737" t="str">
        <f t="shared" si="366"/>
        <v>Second Class</v>
      </c>
      <c r="AE737" t="str">
        <f t="shared" si="352"/>
        <v>OK</v>
      </c>
      <c r="AF737">
        <v>7</v>
      </c>
      <c r="AG737">
        <v>2296.6999999999998</v>
      </c>
      <c r="AH737">
        <v>0.05</v>
      </c>
      <c r="AI737">
        <f t="shared" si="353"/>
        <v>0.05</v>
      </c>
      <c r="AJ737" t="str">
        <f t="shared" si="354"/>
        <v>OK</v>
      </c>
      <c r="AK737">
        <v>15273.05</v>
      </c>
      <c r="AL737">
        <v>11088.76</v>
      </c>
      <c r="AM737">
        <v>4184.29</v>
      </c>
      <c r="AN737" t="s">
        <v>33</v>
      </c>
      <c r="AO737" t="str">
        <f t="shared" si="346"/>
        <v>PAID</v>
      </c>
      <c r="AP737" t="str">
        <f t="shared" si="355"/>
        <v>OK</v>
      </c>
      <c r="AQ737" t="s">
        <v>2403</v>
      </c>
      <c r="AR737" t="str">
        <f t="shared" si="347"/>
        <v>COMPLETED</v>
      </c>
      <c r="AS737" t="str">
        <f t="shared" si="356"/>
        <v>OK</v>
      </c>
      <c r="AT737">
        <f t="shared" si="357"/>
        <v>15273.054999999997</v>
      </c>
      <c r="AU737">
        <f t="shared" si="358"/>
        <v>4184.2949999999964</v>
      </c>
      <c r="AV737" s="6">
        <f t="shared" si="359"/>
        <v>0.1895226593500777</v>
      </c>
      <c r="AW737" t="str">
        <f t="shared" si="360"/>
        <v>CLEAN</v>
      </c>
      <c r="AX737" s="10" t="str">
        <f t="shared" si="361"/>
        <v>MISMATCH</v>
      </c>
      <c r="AY737" t="str">
        <f t="shared" si="362"/>
        <v>MISMATCH</v>
      </c>
    </row>
    <row r="738" spans="1:51">
      <c r="A738" t="s">
        <v>2413</v>
      </c>
      <c r="B738">
        <f t="shared" si="338"/>
        <v>1</v>
      </c>
      <c r="C738" t="s">
        <v>2414</v>
      </c>
      <c r="D738" s="3">
        <v>45754</v>
      </c>
      <c r="E738" t="str">
        <f t="shared" si="339"/>
        <v>2025/04/07</v>
      </c>
      <c r="F738" t="str">
        <f t="shared" si="348"/>
        <v>April</v>
      </c>
      <c r="G738">
        <f t="shared" si="349"/>
        <v>2025</v>
      </c>
      <c r="H738" t="s">
        <v>2415</v>
      </c>
      <c r="I738" s="4">
        <v>45844</v>
      </c>
      <c r="J738" s="8">
        <f t="shared" si="340"/>
        <v>90</v>
      </c>
      <c r="K738" s="8" t="str">
        <f t="shared" si="350"/>
        <v>OK</v>
      </c>
      <c r="L738" t="s">
        <v>2416</v>
      </c>
      <c r="M738" t="s">
        <v>365</v>
      </c>
      <c r="N738" t="str">
        <f t="shared" si="341"/>
        <v>Kabir Singh</v>
      </c>
      <c r="O738" t="s">
        <v>40</v>
      </c>
      <c r="P738" t="str">
        <f t="shared" si="364"/>
        <v>Small Business</v>
      </c>
      <c r="Q738" t="s">
        <v>41</v>
      </c>
      <c r="R738" t="str">
        <f t="shared" si="365"/>
        <v>East</v>
      </c>
      <c r="S738" t="str">
        <f t="shared" si="351"/>
        <v>OK</v>
      </c>
      <c r="T738" t="s">
        <v>310</v>
      </c>
      <c r="U738" t="str">
        <f t="shared" si="342"/>
        <v>Jharkhand</v>
      </c>
      <c r="V738" t="s">
        <v>311</v>
      </c>
      <c r="W738" t="str">
        <f t="shared" si="343"/>
        <v>Ranchi</v>
      </c>
      <c r="X738" t="str">
        <f t="shared" si="344"/>
        <v>Furniture</v>
      </c>
      <c r="Y738" t="s">
        <v>44</v>
      </c>
      <c r="Z738" t="s">
        <v>75</v>
      </c>
      <c r="AA738" t="str">
        <f t="shared" si="345"/>
        <v>Chairs</v>
      </c>
      <c r="AB738" t="s">
        <v>2417</v>
      </c>
      <c r="AC738" t="s">
        <v>32</v>
      </c>
      <c r="AD738" t="str">
        <f t="shared" si="366"/>
        <v>Second Class</v>
      </c>
      <c r="AE738" t="str">
        <f t="shared" si="352"/>
        <v>OK</v>
      </c>
      <c r="AF738">
        <v>2</v>
      </c>
      <c r="AG738">
        <v>3686.42</v>
      </c>
      <c r="AH738">
        <v>0.1</v>
      </c>
      <c r="AI738">
        <f t="shared" si="353"/>
        <v>0.1</v>
      </c>
      <c r="AJ738" t="str">
        <f t="shared" si="354"/>
        <v>OK</v>
      </c>
      <c r="AK738">
        <v>6635.56</v>
      </c>
      <c r="AL738">
        <v>3652.91</v>
      </c>
      <c r="AM738">
        <v>2982.65</v>
      </c>
      <c r="AN738" t="s">
        <v>33</v>
      </c>
      <c r="AO738" t="str">
        <f t="shared" si="346"/>
        <v>PAID</v>
      </c>
      <c r="AP738" t="str">
        <f t="shared" si="355"/>
        <v>OK</v>
      </c>
      <c r="AQ738" t="s">
        <v>34</v>
      </c>
      <c r="AR738" t="str">
        <f t="shared" si="347"/>
        <v>COMPLETED</v>
      </c>
      <c r="AS738" t="str">
        <f t="shared" si="356"/>
        <v>OK</v>
      </c>
      <c r="AT738">
        <f t="shared" si="357"/>
        <v>6635.5560000000005</v>
      </c>
      <c r="AU738">
        <f t="shared" si="358"/>
        <v>2982.6460000000006</v>
      </c>
      <c r="AV738" s="6">
        <f t="shared" si="359"/>
        <v>0.51199628184887613</v>
      </c>
      <c r="AW738" t="str">
        <f t="shared" si="360"/>
        <v>CLEAN</v>
      </c>
      <c r="AX738" s="10" t="str">
        <f t="shared" si="361"/>
        <v>MATCH</v>
      </c>
      <c r="AY738" t="str">
        <f t="shared" si="362"/>
        <v>MATCH</v>
      </c>
    </row>
    <row r="739" spans="1:51">
      <c r="A739" t="s">
        <v>2422</v>
      </c>
      <c r="B739">
        <f t="shared" si="338"/>
        <v>1</v>
      </c>
      <c r="C739" t="s">
        <v>2423</v>
      </c>
      <c r="D739" s="3">
        <v>45847</v>
      </c>
      <c r="E739" t="str">
        <f t="shared" si="339"/>
        <v>2025/07/09</v>
      </c>
      <c r="F739" t="str">
        <f t="shared" si="348"/>
        <v>July</v>
      </c>
      <c r="G739">
        <f t="shared" si="349"/>
        <v>2025</v>
      </c>
      <c r="H739" t="s">
        <v>2424</v>
      </c>
      <c r="I739" s="4">
        <v>45910</v>
      </c>
      <c r="J739" s="8">
        <f t="shared" si="340"/>
        <v>63</v>
      </c>
      <c r="K739" s="8" t="str">
        <f t="shared" si="350"/>
        <v>OK</v>
      </c>
      <c r="L739" t="s">
        <v>2425</v>
      </c>
      <c r="M739" t="s">
        <v>24</v>
      </c>
      <c r="N739" t="str">
        <f t="shared" si="341"/>
        <v>Karan Malhotra</v>
      </c>
      <c r="O739" t="s">
        <v>25</v>
      </c>
      <c r="P739" t="str">
        <f t="shared" si="364"/>
        <v>Consumer</v>
      </c>
      <c r="Q739" t="s">
        <v>26</v>
      </c>
      <c r="R739" t="str">
        <f t="shared" si="365"/>
        <v>North</v>
      </c>
      <c r="S739" t="str">
        <f t="shared" si="351"/>
        <v>OK</v>
      </c>
      <c r="T739" t="s">
        <v>153</v>
      </c>
      <c r="U739" t="str">
        <f t="shared" si="342"/>
        <v>Punjab</v>
      </c>
      <c r="V739" t="s">
        <v>154</v>
      </c>
      <c r="W739" t="str">
        <f t="shared" si="343"/>
        <v>Ludhiana</v>
      </c>
      <c r="X739" t="str">
        <f t="shared" si="344"/>
        <v>Furniture</v>
      </c>
      <c r="Y739" t="s">
        <v>44</v>
      </c>
      <c r="Z739" t="s">
        <v>75</v>
      </c>
      <c r="AA739" t="str">
        <f t="shared" si="345"/>
        <v>Chairs</v>
      </c>
      <c r="AB739" t="s">
        <v>2426</v>
      </c>
      <c r="AC739" t="s">
        <v>47</v>
      </c>
      <c r="AD739" t="str">
        <f t="shared" si="366"/>
        <v>Same Day</v>
      </c>
      <c r="AE739" t="str">
        <f t="shared" si="352"/>
        <v>OK</v>
      </c>
      <c r="AF739">
        <v>2</v>
      </c>
      <c r="AG739">
        <v>447.55</v>
      </c>
      <c r="AH739">
        <v>0.05</v>
      </c>
      <c r="AI739">
        <f t="shared" si="353"/>
        <v>0.05</v>
      </c>
      <c r="AJ739" t="str">
        <f t="shared" si="354"/>
        <v>OK</v>
      </c>
      <c r="AK739">
        <v>850.35</v>
      </c>
      <c r="AL739">
        <v>600.98</v>
      </c>
      <c r="AM739">
        <v>249.37</v>
      </c>
      <c r="AN739" t="s">
        <v>123</v>
      </c>
      <c r="AO739" t="str">
        <f t="shared" si="346"/>
        <v>REFUNDED</v>
      </c>
      <c r="AP739" t="str">
        <f t="shared" si="355"/>
        <v>REFUNDED_PAYMENT</v>
      </c>
      <c r="AQ739" t="s">
        <v>2427</v>
      </c>
      <c r="AR739" t="str">
        <f t="shared" si="347"/>
        <v>CANCELLED</v>
      </c>
      <c r="AS739" t="str">
        <f t="shared" si="356"/>
        <v>EXCLUDE_FROM_SALES</v>
      </c>
      <c r="AT739">
        <f t="shared" si="357"/>
        <v>850.34500000000003</v>
      </c>
      <c r="AU739">
        <f t="shared" si="358"/>
        <v>249.36500000000001</v>
      </c>
      <c r="AV739" s="6">
        <f t="shared" si="359"/>
        <v>4.6391552840317738</v>
      </c>
      <c r="AW739" t="str">
        <f t="shared" si="360"/>
        <v>CLEAN</v>
      </c>
      <c r="AX739" s="10" t="str">
        <f t="shared" si="361"/>
        <v>MATCH</v>
      </c>
      <c r="AY739" t="str">
        <f t="shared" si="362"/>
        <v>MATCH</v>
      </c>
    </row>
    <row r="740" spans="1:51">
      <c r="A740" t="s">
        <v>2450</v>
      </c>
      <c r="B740">
        <f t="shared" si="338"/>
        <v>1</v>
      </c>
      <c r="C740" t="s">
        <v>2451</v>
      </c>
      <c r="D740" s="3">
        <v>45993</v>
      </c>
      <c r="E740" t="str">
        <f t="shared" si="339"/>
        <v>2025/12/02</v>
      </c>
      <c r="F740" t="str">
        <f t="shared" si="348"/>
        <v>December</v>
      </c>
      <c r="G740">
        <f t="shared" si="349"/>
        <v>2025</v>
      </c>
      <c r="H740" t="s">
        <v>2452</v>
      </c>
      <c r="I740" s="4">
        <v>45705</v>
      </c>
      <c r="J740" s="8">
        <f t="shared" si="340"/>
        <v>-288</v>
      </c>
      <c r="K740" s="8" t="str">
        <f t="shared" si="350"/>
        <v>INVAILD_SHIPPING</v>
      </c>
      <c r="L740" t="s">
        <v>2453</v>
      </c>
      <c r="M740" t="s">
        <v>60</v>
      </c>
      <c r="N740" t="str">
        <f t="shared" si="341"/>
        <v>Arjun Bose</v>
      </c>
      <c r="O740" t="s">
        <v>107</v>
      </c>
      <c r="P740" t="str">
        <f t="shared" si="364"/>
        <v>Corporate</v>
      </c>
      <c r="Q740" t="s">
        <v>72</v>
      </c>
      <c r="R740" t="str">
        <f t="shared" si="365"/>
        <v>West</v>
      </c>
      <c r="S740" t="str">
        <f t="shared" si="351"/>
        <v>OK</v>
      </c>
      <c r="T740" t="s">
        <v>234</v>
      </c>
      <c r="U740" t="str">
        <f t="shared" si="342"/>
        <v>Gujarat</v>
      </c>
      <c r="V740" t="s">
        <v>235</v>
      </c>
      <c r="W740" t="str">
        <f t="shared" si="343"/>
        <v>Ahmedabad</v>
      </c>
      <c r="X740" t="str">
        <f t="shared" si="344"/>
        <v>Office Supplies</v>
      </c>
      <c r="Y740" t="s">
        <v>29</v>
      </c>
      <c r="Z740" t="s">
        <v>53</v>
      </c>
      <c r="AA740" t="str">
        <f t="shared" si="345"/>
        <v>Art</v>
      </c>
      <c r="AB740" t="s">
        <v>2454</v>
      </c>
      <c r="AC740" t="s">
        <v>66</v>
      </c>
      <c r="AD740" t="str">
        <f t="shared" si="366"/>
        <v>Standard Class</v>
      </c>
      <c r="AE740" t="str">
        <f t="shared" si="352"/>
        <v>OK</v>
      </c>
      <c r="AF740">
        <v>4</v>
      </c>
      <c r="AG740">
        <v>4328.12</v>
      </c>
      <c r="AH740">
        <v>0</v>
      </c>
      <c r="AI740">
        <f t="shared" si="353"/>
        <v>0</v>
      </c>
      <c r="AJ740" t="str">
        <f t="shared" si="354"/>
        <v>OK</v>
      </c>
      <c r="AK740">
        <v>17312.48</v>
      </c>
      <c r="AL740">
        <v>14424.22</v>
      </c>
      <c r="AM740">
        <v>2888.26</v>
      </c>
      <c r="AN740" t="s">
        <v>33</v>
      </c>
      <c r="AO740" t="str">
        <f t="shared" si="346"/>
        <v>PAID</v>
      </c>
      <c r="AP740" t="str">
        <f t="shared" si="355"/>
        <v>OK</v>
      </c>
      <c r="AQ740" t="s">
        <v>34</v>
      </c>
      <c r="AR740" t="str">
        <f t="shared" si="347"/>
        <v>COMPLETED</v>
      </c>
      <c r="AS740" t="str">
        <f t="shared" si="356"/>
        <v>OK</v>
      </c>
      <c r="AT740">
        <f t="shared" si="357"/>
        <v>17312.48</v>
      </c>
      <c r="AU740">
        <f t="shared" si="358"/>
        <v>2888.26</v>
      </c>
      <c r="AV740" s="6">
        <f t="shared" si="359"/>
        <v>0.11548253052133493</v>
      </c>
      <c r="AW740" t="str">
        <f t="shared" si="360"/>
        <v>CLEAN</v>
      </c>
      <c r="AX740" s="10" t="str">
        <f t="shared" si="361"/>
        <v>MATCH</v>
      </c>
      <c r="AY740" t="str">
        <f t="shared" si="362"/>
        <v>MATCH</v>
      </c>
    </row>
    <row r="741" spans="1:51">
      <c r="A741" t="s">
        <v>2464</v>
      </c>
      <c r="B741">
        <f t="shared" si="338"/>
        <v>1</v>
      </c>
      <c r="C741" t="s">
        <v>2142</v>
      </c>
      <c r="D741" s="3">
        <v>45762</v>
      </c>
      <c r="E741" t="str">
        <f t="shared" si="339"/>
        <v>2025/04/15</v>
      </c>
      <c r="F741" t="str">
        <f t="shared" si="348"/>
        <v>April</v>
      </c>
      <c r="G741">
        <f t="shared" si="349"/>
        <v>2025</v>
      </c>
      <c r="H741" t="s">
        <v>2108</v>
      </c>
      <c r="I741" s="4">
        <v>45769</v>
      </c>
      <c r="J741" s="8">
        <f t="shared" si="340"/>
        <v>7</v>
      </c>
      <c r="K741" s="8" t="str">
        <f t="shared" si="350"/>
        <v>OK</v>
      </c>
      <c r="L741" t="s">
        <v>2465</v>
      </c>
      <c r="M741" t="s">
        <v>52</v>
      </c>
      <c r="N741" t="str">
        <f t="shared" si="341"/>
        <v>Isha Nair</v>
      </c>
      <c r="O741" t="s">
        <v>40</v>
      </c>
      <c r="P741" t="str">
        <f t="shared" si="364"/>
        <v>Small Business</v>
      </c>
      <c r="Q741" t="s">
        <v>26</v>
      </c>
      <c r="R741" t="str">
        <f t="shared" si="365"/>
        <v>North</v>
      </c>
      <c r="S741" t="str">
        <f t="shared" si="351"/>
        <v>OK</v>
      </c>
      <c r="T741" t="s">
        <v>322</v>
      </c>
      <c r="U741" t="str">
        <f t="shared" si="342"/>
        <v>Haryana</v>
      </c>
      <c r="V741" t="s">
        <v>323</v>
      </c>
      <c r="W741" t="str">
        <f t="shared" si="343"/>
        <v>Gurugram</v>
      </c>
      <c r="X741" t="str">
        <f t="shared" si="344"/>
        <v>Office Supplies</v>
      </c>
      <c r="Y741" t="s">
        <v>29</v>
      </c>
      <c r="Z741" t="s">
        <v>197</v>
      </c>
      <c r="AA741" t="str">
        <f t="shared" si="345"/>
        <v>Binders</v>
      </c>
      <c r="AB741" t="s">
        <v>2466</v>
      </c>
      <c r="AC741" t="s">
        <v>47</v>
      </c>
      <c r="AD741" t="str">
        <f t="shared" si="366"/>
        <v>Same Day</v>
      </c>
      <c r="AE741" t="str">
        <f t="shared" si="352"/>
        <v>OK</v>
      </c>
      <c r="AF741">
        <v>4</v>
      </c>
      <c r="AG741">
        <v>2990.42</v>
      </c>
      <c r="AH741">
        <v>0.25</v>
      </c>
      <c r="AI741">
        <f t="shared" si="353"/>
        <v>0.25</v>
      </c>
      <c r="AJ741" t="str">
        <f t="shared" si="354"/>
        <v>OK</v>
      </c>
      <c r="AK741">
        <v>8971.26</v>
      </c>
      <c r="AL741">
        <v>6814.35</v>
      </c>
      <c r="AM741">
        <v>2156.91</v>
      </c>
      <c r="AN741" t="s">
        <v>33</v>
      </c>
      <c r="AO741" t="str">
        <f t="shared" si="346"/>
        <v>PAID</v>
      </c>
      <c r="AP741" t="str">
        <f t="shared" si="355"/>
        <v>OK</v>
      </c>
      <c r="AQ741" t="s">
        <v>34</v>
      </c>
      <c r="AR741" t="str">
        <f t="shared" si="347"/>
        <v>COMPLETED</v>
      </c>
      <c r="AS741" t="str">
        <f t="shared" si="356"/>
        <v>OK</v>
      </c>
      <c r="AT741">
        <f t="shared" si="357"/>
        <v>8971.26</v>
      </c>
      <c r="AU741">
        <f t="shared" si="358"/>
        <v>2156.91</v>
      </c>
      <c r="AV741" s="6">
        <f t="shared" si="359"/>
        <v>0.22285487211383914</v>
      </c>
      <c r="AW741" t="str">
        <f t="shared" si="360"/>
        <v>CLEAN</v>
      </c>
      <c r="AX741" s="10" t="str">
        <f t="shared" si="361"/>
        <v>MATCH</v>
      </c>
      <c r="AY741" t="str">
        <f t="shared" si="362"/>
        <v>MATCH</v>
      </c>
    </row>
    <row r="742" spans="1:51">
      <c r="A742" t="s">
        <v>2471</v>
      </c>
      <c r="B742">
        <f t="shared" si="338"/>
        <v>1</v>
      </c>
      <c r="C742" t="s">
        <v>2472</v>
      </c>
      <c r="D742" s="3">
        <v>45996</v>
      </c>
      <c r="E742" t="str">
        <f t="shared" si="339"/>
        <v>2025/12/05</v>
      </c>
      <c r="F742" t="str">
        <f t="shared" si="348"/>
        <v>December</v>
      </c>
      <c r="G742">
        <f t="shared" si="349"/>
        <v>2025</v>
      </c>
      <c r="H742" t="s">
        <v>2473</v>
      </c>
      <c r="I742" s="4">
        <v>45791</v>
      </c>
      <c r="J742" s="8">
        <f t="shared" si="340"/>
        <v>-205</v>
      </c>
      <c r="K742" s="8" t="str">
        <f t="shared" si="350"/>
        <v>INVAILD_SHIPPING</v>
      </c>
      <c r="L742" t="s">
        <v>2474</v>
      </c>
      <c r="M742" t="s">
        <v>92</v>
      </c>
      <c r="N742" t="str">
        <f t="shared" si="341"/>
        <v>Neha Gupta</v>
      </c>
      <c r="O742" t="s">
        <v>25</v>
      </c>
      <c r="P742" t="str">
        <f t="shared" si="364"/>
        <v>Consumer</v>
      </c>
      <c r="Q742" t="s">
        <v>72</v>
      </c>
      <c r="R742" t="str">
        <f t="shared" si="365"/>
        <v>West</v>
      </c>
      <c r="S742" t="str">
        <f t="shared" si="351"/>
        <v>OK</v>
      </c>
      <c r="T742" t="s">
        <v>234</v>
      </c>
      <c r="U742" t="str">
        <f t="shared" si="342"/>
        <v>Gujarat</v>
      </c>
      <c r="V742" t="s">
        <v>235</v>
      </c>
      <c r="W742" t="str">
        <f t="shared" si="343"/>
        <v>Ahmedabad</v>
      </c>
      <c r="X742" t="str">
        <f t="shared" si="344"/>
        <v>Technology</v>
      </c>
      <c r="Y742" t="s">
        <v>85</v>
      </c>
      <c r="Z742" t="s">
        <v>381</v>
      </c>
      <c r="AA742" t="str">
        <f t="shared" si="345"/>
        <v>Machines</v>
      </c>
      <c r="AB742" t="s">
        <v>2475</v>
      </c>
      <c r="AC742" t="s">
        <v>47</v>
      </c>
      <c r="AD742" t="str">
        <f t="shared" si="366"/>
        <v>Same Day</v>
      </c>
      <c r="AE742" t="str">
        <f t="shared" si="352"/>
        <v>OK</v>
      </c>
      <c r="AF742">
        <v>8</v>
      </c>
      <c r="AG742">
        <v>3631.44</v>
      </c>
      <c r="AH742">
        <v>0.2</v>
      </c>
      <c r="AI742">
        <f t="shared" si="353"/>
        <v>0.2</v>
      </c>
      <c r="AJ742" t="str">
        <f t="shared" si="354"/>
        <v>OK</v>
      </c>
      <c r="AK742">
        <v>23241.22</v>
      </c>
      <c r="AL742">
        <v>17220.900000000001</v>
      </c>
      <c r="AM742">
        <v>6020.32</v>
      </c>
      <c r="AN742" t="s">
        <v>33</v>
      </c>
      <c r="AO742" t="str">
        <f t="shared" si="346"/>
        <v>PAID</v>
      </c>
      <c r="AP742" t="str">
        <f t="shared" si="355"/>
        <v>OK</v>
      </c>
      <c r="AQ742" t="s">
        <v>34</v>
      </c>
      <c r="AR742" t="str">
        <f t="shared" si="347"/>
        <v>COMPLETED</v>
      </c>
      <c r="AS742" t="str">
        <f t="shared" si="356"/>
        <v>OK</v>
      </c>
      <c r="AT742">
        <f t="shared" si="357"/>
        <v>23241.216</v>
      </c>
      <c r="AU742">
        <f t="shared" si="358"/>
        <v>6020.3159999999989</v>
      </c>
      <c r="AV742" s="6">
        <f t="shared" si="359"/>
        <v>-3.5673606751040914E-2</v>
      </c>
      <c r="AW742" t="str">
        <f t="shared" si="360"/>
        <v>CLEAN</v>
      </c>
      <c r="AX742" s="10" t="str">
        <f t="shared" si="361"/>
        <v>MATCH</v>
      </c>
      <c r="AY742" t="str">
        <f t="shared" si="362"/>
        <v>MATCH</v>
      </c>
    </row>
    <row r="743" spans="1:51">
      <c r="A743" t="s">
        <v>2486</v>
      </c>
      <c r="B743">
        <f t="shared" si="338"/>
        <v>1</v>
      </c>
      <c r="C743" t="s">
        <v>785</v>
      </c>
      <c r="D743" s="3">
        <v>45691</v>
      </c>
      <c r="E743" t="str">
        <f t="shared" si="339"/>
        <v>2025/02/03</v>
      </c>
      <c r="F743" t="str">
        <f t="shared" si="348"/>
        <v>February</v>
      </c>
      <c r="G743">
        <f t="shared" si="349"/>
        <v>2025</v>
      </c>
      <c r="H743" t="s">
        <v>2487</v>
      </c>
      <c r="I743" s="4">
        <v>45719</v>
      </c>
      <c r="J743" s="8">
        <f t="shared" si="340"/>
        <v>28</v>
      </c>
      <c r="K743" s="8" t="str">
        <f t="shared" si="350"/>
        <v>OK</v>
      </c>
      <c r="L743" t="s">
        <v>1899</v>
      </c>
      <c r="M743" t="s">
        <v>52</v>
      </c>
      <c r="N743" t="str">
        <f t="shared" si="341"/>
        <v>Isha Nair</v>
      </c>
      <c r="O743" t="s">
        <v>107</v>
      </c>
      <c r="P743" t="str">
        <f t="shared" si="364"/>
        <v>Corporate</v>
      </c>
      <c r="Q743" t="s">
        <v>61</v>
      </c>
      <c r="R743" t="str">
        <f t="shared" si="365"/>
        <v>South</v>
      </c>
      <c r="S743" t="str">
        <f t="shared" si="351"/>
        <v>OK</v>
      </c>
      <c r="T743" t="s">
        <v>241</v>
      </c>
      <c r="U743" t="str">
        <f t="shared" si="342"/>
        <v>Kerala</v>
      </c>
      <c r="V743" t="s">
        <v>242</v>
      </c>
      <c r="W743" t="str">
        <f t="shared" si="343"/>
        <v>Kochi</v>
      </c>
      <c r="X743" t="str">
        <f t="shared" si="344"/>
        <v>Office Supplies</v>
      </c>
      <c r="Y743" t="s">
        <v>29</v>
      </c>
      <c r="Z743" t="s">
        <v>108</v>
      </c>
      <c r="AA743" t="str">
        <f t="shared" si="345"/>
        <v>Labels</v>
      </c>
      <c r="AB743" t="s">
        <v>2488</v>
      </c>
      <c r="AC743" t="s">
        <v>32</v>
      </c>
      <c r="AD743" t="str">
        <f t="shared" si="366"/>
        <v>Second Class</v>
      </c>
      <c r="AE743" t="str">
        <f t="shared" si="352"/>
        <v>OK</v>
      </c>
      <c r="AF743">
        <v>2</v>
      </c>
      <c r="AG743">
        <v>4031.45</v>
      </c>
      <c r="AH743">
        <v>0.25</v>
      </c>
      <c r="AI743">
        <f t="shared" si="353"/>
        <v>0.25</v>
      </c>
      <c r="AJ743" t="str">
        <f t="shared" si="354"/>
        <v>OK</v>
      </c>
      <c r="AK743">
        <v>6047.17</v>
      </c>
      <c r="AL743">
        <v>3368.79</v>
      </c>
      <c r="AM743">
        <v>2678.38</v>
      </c>
      <c r="AN743" t="s">
        <v>33</v>
      </c>
      <c r="AO743" t="str">
        <f t="shared" si="346"/>
        <v>PAID</v>
      </c>
      <c r="AP743" t="str">
        <f t="shared" si="355"/>
        <v>OK</v>
      </c>
      <c r="AQ743" t="s">
        <v>34</v>
      </c>
      <c r="AR743" t="str">
        <f t="shared" si="347"/>
        <v>COMPLETED</v>
      </c>
      <c r="AS743" t="str">
        <f t="shared" si="356"/>
        <v>OK</v>
      </c>
      <c r="AT743">
        <f t="shared" si="357"/>
        <v>6047.1749999999993</v>
      </c>
      <c r="AU743">
        <f t="shared" si="358"/>
        <v>2678.3849999999993</v>
      </c>
      <c r="AV743" s="6">
        <f t="shared" si="359"/>
        <v>0.3497786156345733</v>
      </c>
      <c r="AW743" t="str">
        <f t="shared" si="360"/>
        <v>CLEAN</v>
      </c>
      <c r="AX743" s="10" t="str">
        <f t="shared" si="361"/>
        <v>MISMATCH</v>
      </c>
      <c r="AY743" t="str">
        <f t="shared" si="362"/>
        <v>MISMATCH</v>
      </c>
    </row>
    <row r="744" spans="1:51">
      <c r="A744" t="s">
        <v>2489</v>
      </c>
      <c r="B744">
        <f t="shared" si="338"/>
        <v>1</v>
      </c>
      <c r="C744" t="s">
        <v>996</v>
      </c>
      <c r="D744" s="3">
        <v>45835</v>
      </c>
      <c r="E744" t="str">
        <f t="shared" si="339"/>
        <v>2025/06/27</v>
      </c>
      <c r="F744" t="str">
        <f t="shared" si="348"/>
        <v>June</v>
      </c>
      <c r="G744">
        <f t="shared" si="349"/>
        <v>2025</v>
      </c>
      <c r="H744" t="s">
        <v>2396</v>
      </c>
      <c r="I744" s="4">
        <v>45840</v>
      </c>
      <c r="J744" s="8">
        <f t="shared" si="340"/>
        <v>5</v>
      </c>
      <c r="K744" s="8" t="str">
        <f t="shared" si="350"/>
        <v>OK</v>
      </c>
      <c r="L744" t="s">
        <v>2490</v>
      </c>
      <c r="M744" t="s">
        <v>161</v>
      </c>
      <c r="N744" t="str">
        <f t="shared" si="341"/>
        <v>Aarav Sharma</v>
      </c>
      <c r="O744" t="s">
        <v>107</v>
      </c>
      <c r="P744" t="str">
        <f t="shared" si="364"/>
        <v>Corporate</v>
      </c>
      <c r="Q744" t="s">
        <v>61</v>
      </c>
      <c r="R744" t="str">
        <f t="shared" si="365"/>
        <v>South</v>
      </c>
      <c r="S744" t="str">
        <f t="shared" si="351"/>
        <v>OK</v>
      </c>
      <c r="T744" t="s">
        <v>241</v>
      </c>
      <c r="U744" t="str">
        <f t="shared" si="342"/>
        <v>Kerala</v>
      </c>
      <c r="V744" t="s">
        <v>242</v>
      </c>
      <c r="W744" t="str">
        <f t="shared" si="343"/>
        <v>Kochi</v>
      </c>
      <c r="X744" t="str">
        <f t="shared" si="344"/>
        <v>Technology</v>
      </c>
      <c r="Y744" t="s">
        <v>85</v>
      </c>
      <c r="Z744" t="s">
        <v>86</v>
      </c>
      <c r="AA744" t="str">
        <f t="shared" si="345"/>
        <v>Accessories</v>
      </c>
      <c r="AB744" t="s">
        <v>2491</v>
      </c>
      <c r="AC744" t="s">
        <v>55</v>
      </c>
      <c r="AD744" t="str">
        <f t="shared" si="366"/>
        <v>First Class</v>
      </c>
      <c r="AE744" t="str">
        <f t="shared" si="352"/>
        <v>OK</v>
      </c>
      <c r="AF744">
        <v>6</v>
      </c>
      <c r="AG744">
        <v>1099.49</v>
      </c>
      <c r="AH744">
        <v>0.1</v>
      </c>
      <c r="AI744">
        <f t="shared" si="353"/>
        <v>0.1</v>
      </c>
      <c r="AJ744" t="str">
        <f t="shared" si="354"/>
        <v>OK</v>
      </c>
      <c r="AK744">
        <v>6212.38</v>
      </c>
      <c r="AL744">
        <v>4088.46</v>
      </c>
      <c r="AM744">
        <v>1848.79</v>
      </c>
      <c r="AN744" t="s">
        <v>33</v>
      </c>
      <c r="AO744" t="str">
        <f t="shared" si="346"/>
        <v>PAID</v>
      </c>
      <c r="AP744" t="str">
        <f t="shared" si="355"/>
        <v>OK</v>
      </c>
      <c r="AQ744" t="s">
        <v>34</v>
      </c>
      <c r="AR744" t="str">
        <f t="shared" si="347"/>
        <v>COMPLETED</v>
      </c>
      <c r="AS744" t="str">
        <f t="shared" si="356"/>
        <v>OK</v>
      </c>
      <c r="AT744">
        <f t="shared" si="357"/>
        <v>5937.246000000001</v>
      </c>
      <c r="AU744">
        <f t="shared" si="358"/>
        <v>1848.786000000001</v>
      </c>
      <c r="AV744" s="6">
        <f t="shared" si="359"/>
        <v>0.39409180620105666</v>
      </c>
      <c r="AW744" t="str">
        <f t="shared" si="360"/>
        <v>CLEAN</v>
      </c>
      <c r="AX744" s="10" t="str">
        <f t="shared" si="361"/>
        <v>MISMATCH</v>
      </c>
      <c r="AY744" t="str">
        <f t="shared" si="362"/>
        <v>MATCH</v>
      </c>
    </row>
    <row r="745" spans="1:51">
      <c r="A745" t="s">
        <v>2496</v>
      </c>
      <c r="B745">
        <f t="shared" si="338"/>
        <v>1</v>
      </c>
      <c r="C745" t="s">
        <v>2141</v>
      </c>
      <c r="D745" s="3">
        <v>45965</v>
      </c>
      <c r="E745" t="str">
        <f t="shared" si="339"/>
        <v>2025/11/04</v>
      </c>
      <c r="F745" t="str">
        <f t="shared" si="348"/>
        <v>November</v>
      </c>
      <c r="G745">
        <f t="shared" si="349"/>
        <v>2025</v>
      </c>
      <c r="H745" t="s">
        <v>2497</v>
      </c>
      <c r="I745" s="4">
        <v>45758</v>
      </c>
      <c r="J745" s="8">
        <f t="shared" si="340"/>
        <v>-207</v>
      </c>
      <c r="K745" s="8" t="str">
        <f t="shared" si="350"/>
        <v>INVAILD_SHIPPING</v>
      </c>
      <c r="L745" t="s">
        <v>2498</v>
      </c>
      <c r="M745" t="s">
        <v>147</v>
      </c>
      <c r="N745" t="str">
        <f t="shared" si="341"/>
        <v>Rahul Verma</v>
      </c>
      <c r="O745" t="s">
        <v>107</v>
      </c>
      <c r="P745" t="str">
        <f t="shared" si="364"/>
        <v>Corporate</v>
      </c>
      <c r="Q745" t="s">
        <v>26</v>
      </c>
      <c r="R745" t="str">
        <f t="shared" si="365"/>
        <v>North</v>
      </c>
      <c r="S745" t="str">
        <f t="shared" si="351"/>
        <v>OK</v>
      </c>
      <c r="T745" t="s">
        <v>505</v>
      </c>
      <c r="U745" t="str">
        <f t="shared" si="342"/>
        <v>Delhi</v>
      </c>
      <c r="V745" t="s">
        <v>506</v>
      </c>
      <c r="W745" t="str">
        <f t="shared" si="343"/>
        <v>New Delhi</v>
      </c>
      <c r="X745" t="str">
        <f t="shared" si="344"/>
        <v>Office Supplies</v>
      </c>
      <c r="Y745" t="s">
        <v>29</v>
      </c>
      <c r="Z745" t="s">
        <v>30</v>
      </c>
      <c r="AA745" t="str">
        <f t="shared" si="345"/>
        <v>Paper</v>
      </c>
      <c r="AB745" t="s">
        <v>2499</v>
      </c>
      <c r="AC745" t="s">
        <v>66</v>
      </c>
      <c r="AD745" t="str">
        <f t="shared" si="366"/>
        <v>Standard Class</v>
      </c>
      <c r="AE745" t="str">
        <f t="shared" si="352"/>
        <v>OK</v>
      </c>
      <c r="AF745">
        <v>1</v>
      </c>
      <c r="AG745">
        <v>4458.49</v>
      </c>
      <c r="AH745">
        <v>-7.0000000000000007E-2</v>
      </c>
      <c r="AI745">
        <f t="shared" si="353"/>
        <v>-7.0000000000000007E-2</v>
      </c>
      <c r="AJ745" t="str">
        <f t="shared" si="354"/>
        <v>Invalid Negative Discount</v>
      </c>
      <c r="AK745">
        <v>3566.79</v>
      </c>
      <c r="AL745">
        <v>2083.41</v>
      </c>
      <c r="AM745">
        <v>1483.38</v>
      </c>
      <c r="AN745" t="s">
        <v>33</v>
      </c>
      <c r="AO745" t="str">
        <f t="shared" si="346"/>
        <v>PAID</v>
      </c>
      <c r="AP745" t="str">
        <f t="shared" si="355"/>
        <v>OK</v>
      </c>
      <c r="AQ745" t="s">
        <v>34</v>
      </c>
      <c r="AR745" t="str">
        <f t="shared" si="347"/>
        <v>COMPLETED</v>
      </c>
      <c r="AS745" t="str">
        <f t="shared" si="356"/>
        <v>OK</v>
      </c>
      <c r="AT745" t="str">
        <f t="shared" si="357"/>
        <v>INVAILD</v>
      </c>
      <c r="AU745" t="str">
        <f t="shared" si="358"/>
        <v>INVAILD</v>
      </c>
      <c r="AW745" t="str">
        <f t="shared" si="360"/>
        <v>INVALID</v>
      </c>
      <c r="AX745" s="10" t="s">
        <v>4116</v>
      </c>
      <c r="AY745" t="s">
        <v>4116</v>
      </c>
    </row>
    <row r="746" spans="1:51">
      <c r="A746" t="s">
        <v>2505</v>
      </c>
      <c r="B746">
        <f t="shared" si="338"/>
        <v>1</v>
      </c>
      <c r="C746" t="s">
        <v>2506</v>
      </c>
      <c r="D746" s="3">
        <v>45802</v>
      </c>
      <c r="E746" t="str">
        <f t="shared" si="339"/>
        <v>2025/05/25</v>
      </c>
      <c r="F746" t="str">
        <f t="shared" si="348"/>
        <v>May</v>
      </c>
      <c r="G746">
        <f t="shared" si="349"/>
        <v>2025</v>
      </c>
      <c r="H746" t="s">
        <v>1681</v>
      </c>
      <c r="I746" s="4">
        <v>45804</v>
      </c>
      <c r="J746" s="8">
        <f t="shared" si="340"/>
        <v>2</v>
      </c>
      <c r="K746" s="8" t="str">
        <f t="shared" si="350"/>
        <v>OK</v>
      </c>
      <c r="L746" t="s">
        <v>2507</v>
      </c>
      <c r="M746" t="s">
        <v>147</v>
      </c>
      <c r="N746" t="str">
        <f t="shared" si="341"/>
        <v>Rahul Verma</v>
      </c>
      <c r="O746" t="s">
        <v>25</v>
      </c>
      <c r="P746" t="str">
        <f t="shared" si="364"/>
        <v>Consumer</v>
      </c>
      <c r="Q746" t="s">
        <v>41</v>
      </c>
      <c r="R746" t="str">
        <f t="shared" si="365"/>
        <v>East</v>
      </c>
      <c r="S746" t="str">
        <f t="shared" si="351"/>
        <v>OK</v>
      </c>
      <c r="T746" t="s">
        <v>42</v>
      </c>
      <c r="U746" t="str">
        <f t="shared" si="342"/>
        <v>Odisha</v>
      </c>
      <c r="V746" t="s">
        <v>43</v>
      </c>
      <c r="W746" t="str">
        <f t="shared" si="343"/>
        <v>Bhubaneswar</v>
      </c>
      <c r="X746" t="str">
        <f t="shared" si="344"/>
        <v>Furniture</v>
      </c>
      <c r="Y746" t="s">
        <v>44</v>
      </c>
      <c r="Z746" t="s">
        <v>64</v>
      </c>
      <c r="AA746" t="str">
        <f t="shared" si="345"/>
        <v>Furnishings</v>
      </c>
      <c r="AB746" t="s">
        <v>2508</v>
      </c>
      <c r="AC746" t="s">
        <v>32</v>
      </c>
      <c r="AD746" t="str">
        <f t="shared" si="366"/>
        <v>Second Class</v>
      </c>
      <c r="AE746" t="str">
        <f t="shared" si="352"/>
        <v>OK</v>
      </c>
      <c r="AF746">
        <v>7</v>
      </c>
      <c r="AG746">
        <v>2123.2800000000002</v>
      </c>
      <c r="AH746">
        <v>0.2</v>
      </c>
      <c r="AI746">
        <f t="shared" si="353"/>
        <v>0.2</v>
      </c>
      <c r="AJ746" t="str">
        <f t="shared" si="354"/>
        <v>OK</v>
      </c>
      <c r="AK746">
        <v>11890.37</v>
      </c>
      <c r="AL746">
        <v>9234.5300000000007</v>
      </c>
      <c r="AM746">
        <v>2655.84</v>
      </c>
      <c r="AN746" t="s">
        <v>123</v>
      </c>
      <c r="AO746" t="str">
        <f t="shared" si="346"/>
        <v>REFUNDED</v>
      </c>
      <c r="AP746" t="str">
        <f t="shared" si="355"/>
        <v>REFUNDED_PAYMENT</v>
      </c>
      <c r="AQ746" t="s">
        <v>124</v>
      </c>
      <c r="AR746" t="str">
        <f t="shared" si="347"/>
        <v>RETURNED</v>
      </c>
      <c r="AS746" t="str">
        <f t="shared" si="356"/>
        <v>RETURNED_ORDER</v>
      </c>
      <c r="AT746">
        <f t="shared" si="357"/>
        <v>11890.368000000002</v>
      </c>
      <c r="AU746">
        <f t="shared" si="358"/>
        <v>2655.8380000000016</v>
      </c>
      <c r="AV746" s="6">
        <f t="shared" si="359"/>
        <v>0.4430148839800418</v>
      </c>
      <c r="AW746" t="str">
        <f t="shared" si="360"/>
        <v>CLEAN</v>
      </c>
      <c r="AX746" s="10" t="str">
        <f t="shared" si="361"/>
        <v>MATCH</v>
      </c>
      <c r="AY746" t="str">
        <f t="shared" si="362"/>
        <v>MATCH</v>
      </c>
    </row>
    <row r="747" spans="1:51">
      <c r="A747" t="s">
        <v>2509</v>
      </c>
      <c r="B747">
        <f t="shared" si="338"/>
        <v>1</v>
      </c>
      <c r="C747" t="s">
        <v>2391</v>
      </c>
      <c r="D747" s="3">
        <v>45777</v>
      </c>
      <c r="E747" t="str">
        <f t="shared" si="339"/>
        <v>2025/04/30</v>
      </c>
      <c r="F747" t="str">
        <f t="shared" si="348"/>
        <v>April</v>
      </c>
      <c r="G747">
        <f t="shared" si="349"/>
        <v>2025</v>
      </c>
      <c r="H747" t="s">
        <v>2510</v>
      </c>
      <c r="I747" s="4">
        <v>45773</v>
      </c>
      <c r="J747" s="8">
        <f t="shared" si="340"/>
        <v>-4</v>
      </c>
      <c r="K747" s="8" t="str">
        <f t="shared" si="350"/>
        <v>INVAILD_SHIPPING</v>
      </c>
      <c r="L747" t="s">
        <v>2511</v>
      </c>
      <c r="M747" t="s">
        <v>209</v>
      </c>
      <c r="N747" t="str">
        <f t="shared" si="341"/>
        <v>Diya Patel</v>
      </c>
      <c r="O747" t="s">
        <v>107</v>
      </c>
      <c r="P747" t="str">
        <f t="shared" si="364"/>
        <v>Corporate</v>
      </c>
      <c r="Q747" t="s">
        <v>41</v>
      </c>
      <c r="R747" t="str">
        <f t="shared" si="365"/>
        <v>East</v>
      </c>
      <c r="S747" t="str">
        <f t="shared" si="351"/>
        <v>OK</v>
      </c>
      <c r="T747" t="s">
        <v>42</v>
      </c>
      <c r="U747" t="str">
        <f t="shared" si="342"/>
        <v>Odisha</v>
      </c>
      <c r="V747" t="s">
        <v>43</v>
      </c>
      <c r="W747" t="str">
        <f t="shared" si="343"/>
        <v>Bhubaneswar</v>
      </c>
      <c r="X747" t="str">
        <f t="shared" si="344"/>
        <v>Furniture</v>
      </c>
      <c r="Y747" t="s">
        <v>44</v>
      </c>
      <c r="Z747" t="s">
        <v>45</v>
      </c>
      <c r="AA747" t="str">
        <f t="shared" si="345"/>
        <v>Tables</v>
      </c>
      <c r="AB747" t="s">
        <v>2512</v>
      </c>
      <c r="AC747" t="s">
        <v>55</v>
      </c>
      <c r="AD747" t="str">
        <f t="shared" si="366"/>
        <v>First Class</v>
      </c>
      <c r="AE747" t="str">
        <f t="shared" si="352"/>
        <v>OK</v>
      </c>
      <c r="AF747">
        <v>7</v>
      </c>
      <c r="AG747">
        <v>1604.13</v>
      </c>
      <c r="AH747">
        <v>0.25</v>
      </c>
      <c r="AI747">
        <f t="shared" si="353"/>
        <v>0.25</v>
      </c>
      <c r="AJ747" t="str">
        <f t="shared" si="354"/>
        <v>OK</v>
      </c>
      <c r="AK747">
        <v>8421.68</v>
      </c>
      <c r="AL747">
        <v>6534.47</v>
      </c>
      <c r="AM747">
        <v>1887.21</v>
      </c>
      <c r="AN747" t="s">
        <v>33</v>
      </c>
      <c r="AO747" t="str">
        <f t="shared" si="346"/>
        <v>PAID</v>
      </c>
      <c r="AP747" t="str">
        <f t="shared" si="355"/>
        <v>OK</v>
      </c>
      <c r="AQ747" t="s">
        <v>77</v>
      </c>
      <c r="AR747" t="str">
        <f t="shared" si="347"/>
        <v>CANCELLED</v>
      </c>
      <c r="AS747" t="str">
        <f t="shared" si="356"/>
        <v>EXCLUDE_FROM_SALES</v>
      </c>
      <c r="AT747">
        <f t="shared" si="357"/>
        <v>8421.682499999999</v>
      </c>
      <c r="AU747">
        <f t="shared" si="358"/>
        <v>1887.2124999999987</v>
      </c>
      <c r="AV747" s="6">
        <f t="shared" si="359"/>
        <v>6.0442791568074465E-2</v>
      </c>
      <c r="AW747" t="str">
        <f t="shared" si="360"/>
        <v>CLEAN</v>
      </c>
      <c r="AX747" s="10" t="str">
        <f t="shared" si="361"/>
        <v>MATCH</v>
      </c>
      <c r="AY747" t="str">
        <f t="shared" si="362"/>
        <v>MATCH</v>
      </c>
    </row>
    <row r="748" spans="1:51">
      <c r="A748" t="s">
        <v>2513</v>
      </c>
      <c r="B748">
        <f t="shared" si="338"/>
        <v>1</v>
      </c>
      <c r="C748" t="s">
        <v>379</v>
      </c>
      <c r="D748" s="3">
        <v>45841</v>
      </c>
      <c r="E748" t="str">
        <f t="shared" si="339"/>
        <v>2025/07/03</v>
      </c>
      <c r="F748" t="str">
        <f t="shared" si="348"/>
        <v>July</v>
      </c>
      <c r="G748">
        <f t="shared" si="349"/>
        <v>2025</v>
      </c>
      <c r="H748" t="s">
        <v>2514</v>
      </c>
      <c r="I748" s="4">
        <v>45845</v>
      </c>
      <c r="J748" s="8">
        <f t="shared" si="340"/>
        <v>4</v>
      </c>
      <c r="K748" s="8" t="str">
        <f t="shared" si="350"/>
        <v>OK</v>
      </c>
      <c r="L748" t="s">
        <v>2515</v>
      </c>
      <c r="M748" t="s">
        <v>141</v>
      </c>
      <c r="N748" t="str">
        <f t="shared" si="341"/>
        <v>Priya Menon</v>
      </c>
      <c r="O748" t="s">
        <v>25</v>
      </c>
      <c r="P748" t="str">
        <f t="shared" si="364"/>
        <v>Consumer</v>
      </c>
      <c r="Q748" t="s">
        <v>26</v>
      </c>
      <c r="R748" t="str">
        <f t="shared" si="365"/>
        <v>North</v>
      </c>
      <c r="S748" t="str">
        <f t="shared" si="351"/>
        <v>OK</v>
      </c>
      <c r="T748" t="s">
        <v>173</v>
      </c>
      <c r="U748" t="str">
        <f t="shared" si="342"/>
        <v>Uttar Pradesh</v>
      </c>
      <c r="V748" t="s">
        <v>174</v>
      </c>
      <c r="W748" t="str">
        <f t="shared" si="343"/>
        <v>Noida</v>
      </c>
      <c r="X748" t="str">
        <f t="shared" si="344"/>
        <v>Furniture</v>
      </c>
      <c r="Y748" t="s">
        <v>44</v>
      </c>
      <c r="Z748" t="s">
        <v>45</v>
      </c>
      <c r="AA748" t="str">
        <f t="shared" si="345"/>
        <v>Tables</v>
      </c>
      <c r="AB748" t="s">
        <v>2516</v>
      </c>
      <c r="AC748" t="s">
        <v>66</v>
      </c>
      <c r="AD748" t="str">
        <f t="shared" si="366"/>
        <v>Standard Class</v>
      </c>
      <c r="AE748" t="str">
        <f t="shared" si="352"/>
        <v>OK</v>
      </c>
      <c r="AF748">
        <v>4</v>
      </c>
      <c r="AG748">
        <v>4365.21</v>
      </c>
      <c r="AH748">
        <v>0.2</v>
      </c>
      <c r="AI748">
        <f t="shared" si="353"/>
        <v>0.2</v>
      </c>
      <c r="AJ748" t="str">
        <f t="shared" si="354"/>
        <v>OK</v>
      </c>
      <c r="AK748">
        <v>13968.67</v>
      </c>
      <c r="AL748">
        <v>8857.58</v>
      </c>
      <c r="AM748">
        <v>5111.09</v>
      </c>
      <c r="AN748" t="s">
        <v>136</v>
      </c>
      <c r="AO748" t="str">
        <f t="shared" si="346"/>
        <v>PENDING</v>
      </c>
      <c r="AP748" t="str">
        <f t="shared" si="355"/>
        <v>OK</v>
      </c>
      <c r="AQ748" t="s">
        <v>77</v>
      </c>
      <c r="AR748" t="str">
        <f t="shared" si="347"/>
        <v>CANCELLED</v>
      </c>
      <c r="AS748" t="str">
        <f t="shared" si="356"/>
        <v>EXCLUDE_FROM_SALES</v>
      </c>
      <c r="AT748">
        <f t="shared" si="357"/>
        <v>13968.672</v>
      </c>
      <c r="AU748">
        <f t="shared" si="358"/>
        <v>5111.0920000000006</v>
      </c>
      <c r="AV748" s="6">
        <f t="shared" si="359"/>
        <v>0.15890758978376757</v>
      </c>
      <c r="AW748" t="str">
        <f t="shared" si="360"/>
        <v>CLEAN</v>
      </c>
      <c r="AX748" s="10" t="str">
        <f t="shared" si="361"/>
        <v>MATCH</v>
      </c>
      <c r="AY748" t="str">
        <f t="shared" si="362"/>
        <v>MATCH</v>
      </c>
    </row>
    <row r="749" spans="1:51">
      <c r="A749" t="s">
        <v>2521</v>
      </c>
      <c r="B749">
        <f t="shared" si="338"/>
        <v>1</v>
      </c>
      <c r="C749" t="s">
        <v>2522</v>
      </c>
      <c r="D749" s="3">
        <v>45741</v>
      </c>
      <c r="E749" t="str">
        <f t="shared" si="339"/>
        <v>2025/03/25</v>
      </c>
      <c r="F749" t="str">
        <f t="shared" si="348"/>
        <v>March</v>
      </c>
      <c r="G749">
        <f t="shared" si="349"/>
        <v>2025</v>
      </c>
      <c r="H749" t="s">
        <v>2523</v>
      </c>
      <c r="I749" s="4">
        <v>45748</v>
      </c>
      <c r="J749" s="8">
        <f t="shared" si="340"/>
        <v>7</v>
      </c>
      <c r="K749" s="8" t="str">
        <f t="shared" si="350"/>
        <v>OK</v>
      </c>
      <c r="L749" t="s">
        <v>2524</v>
      </c>
      <c r="M749" t="s">
        <v>209</v>
      </c>
      <c r="N749" t="str">
        <f t="shared" si="341"/>
        <v>Diya Patel</v>
      </c>
      <c r="O749" t="s">
        <v>25</v>
      </c>
      <c r="P749" t="str">
        <f t="shared" si="364"/>
        <v>Consumer</v>
      </c>
      <c r="Q749" t="s">
        <v>26</v>
      </c>
      <c r="R749" t="str">
        <f t="shared" si="365"/>
        <v>North</v>
      </c>
      <c r="S749" t="str">
        <f t="shared" si="351"/>
        <v>OK</v>
      </c>
      <c r="T749" t="s">
        <v>153</v>
      </c>
      <c r="U749" t="str">
        <f t="shared" si="342"/>
        <v>Punjab</v>
      </c>
      <c r="V749" t="s">
        <v>154</v>
      </c>
      <c r="W749" t="str">
        <f t="shared" si="343"/>
        <v>Ludhiana</v>
      </c>
      <c r="X749" t="str">
        <f t="shared" si="344"/>
        <v>Office Supplies</v>
      </c>
      <c r="Y749" t="s">
        <v>29</v>
      </c>
      <c r="Z749" t="s">
        <v>108</v>
      </c>
      <c r="AA749" t="str">
        <f t="shared" si="345"/>
        <v>Labels</v>
      </c>
      <c r="AB749" t="s">
        <v>2525</v>
      </c>
      <c r="AC749" t="s">
        <v>32</v>
      </c>
      <c r="AD749" t="str">
        <f t="shared" si="366"/>
        <v>Second Class</v>
      </c>
      <c r="AE749" t="str">
        <f t="shared" si="352"/>
        <v>OK</v>
      </c>
      <c r="AF749">
        <v>6</v>
      </c>
      <c r="AG749">
        <v>2192.11</v>
      </c>
      <c r="AH749">
        <v>0.05</v>
      </c>
      <c r="AI749">
        <f t="shared" si="353"/>
        <v>0.05</v>
      </c>
      <c r="AJ749" t="str">
        <f t="shared" si="354"/>
        <v>OK</v>
      </c>
      <c r="AK749">
        <v>12495.03</v>
      </c>
      <c r="AL749">
        <v>9184.52</v>
      </c>
      <c r="AM749">
        <v>3310.51</v>
      </c>
      <c r="AN749" t="s">
        <v>33</v>
      </c>
      <c r="AO749" t="str">
        <f t="shared" si="346"/>
        <v>PAID</v>
      </c>
      <c r="AP749" t="str">
        <f t="shared" si="355"/>
        <v>OK</v>
      </c>
      <c r="AQ749" t="s">
        <v>34</v>
      </c>
      <c r="AR749" t="str">
        <f t="shared" si="347"/>
        <v>COMPLETED</v>
      </c>
      <c r="AS749" t="str">
        <f t="shared" si="356"/>
        <v>OK</v>
      </c>
      <c r="AT749">
        <f t="shared" si="357"/>
        <v>12495.027</v>
      </c>
      <c r="AU749">
        <f t="shared" si="358"/>
        <v>3310.5069999999996</v>
      </c>
      <c r="AV749" s="6">
        <f t="shared" si="359"/>
        <v>0.21799912877339112</v>
      </c>
      <c r="AW749" t="str">
        <f t="shared" si="360"/>
        <v>CLEAN</v>
      </c>
      <c r="AX749" s="10" t="str">
        <f t="shared" si="361"/>
        <v>MATCH</v>
      </c>
      <c r="AY749" t="str">
        <f t="shared" si="362"/>
        <v>MATCH</v>
      </c>
    </row>
    <row r="750" spans="1:51">
      <c r="A750" t="s">
        <v>2526</v>
      </c>
      <c r="B750">
        <f t="shared" si="338"/>
        <v>1</v>
      </c>
      <c r="C750" t="s">
        <v>2527</v>
      </c>
      <c r="D750" s="3">
        <v>45716</v>
      </c>
      <c r="E750" t="str">
        <f t="shared" si="339"/>
        <v>2025/02/28</v>
      </c>
      <c r="F750" t="str">
        <f t="shared" si="348"/>
        <v>February</v>
      </c>
      <c r="G750">
        <f t="shared" si="349"/>
        <v>2025</v>
      </c>
      <c r="H750" t="s">
        <v>2323</v>
      </c>
      <c r="I750" s="4">
        <v>45724</v>
      </c>
      <c r="J750" s="8">
        <f t="shared" si="340"/>
        <v>8</v>
      </c>
      <c r="K750" s="8" t="str">
        <f t="shared" si="350"/>
        <v>OK</v>
      </c>
      <c r="L750" t="s">
        <v>2528</v>
      </c>
      <c r="M750" t="s">
        <v>92</v>
      </c>
      <c r="N750" t="str">
        <f t="shared" si="341"/>
        <v>Neha Gupta</v>
      </c>
      <c r="O750" t="s">
        <v>40</v>
      </c>
      <c r="P750" t="str">
        <f t="shared" si="364"/>
        <v>Small Business</v>
      </c>
      <c r="Q750" t="s">
        <v>41</v>
      </c>
      <c r="R750" t="str">
        <f t="shared" si="365"/>
        <v>East</v>
      </c>
      <c r="S750" t="str">
        <f t="shared" si="351"/>
        <v>OK</v>
      </c>
      <c r="T750" t="s">
        <v>310</v>
      </c>
      <c r="U750" t="str">
        <f t="shared" si="342"/>
        <v>Jharkhand</v>
      </c>
      <c r="V750" t="s">
        <v>311</v>
      </c>
      <c r="W750" t="str">
        <f t="shared" si="343"/>
        <v>Ranchi</v>
      </c>
      <c r="X750" t="str">
        <f t="shared" si="344"/>
        <v>Technology</v>
      </c>
      <c r="Y750" t="s">
        <v>85</v>
      </c>
      <c r="Z750" t="s">
        <v>222</v>
      </c>
      <c r="AA750" t="str">
        <f t="shared" si="345"/>
        <v>Phones</v>
      </c>
      <c r="AB750" t="s">
        <v>2529</v>
      </c>
      <c r="AC750" t="s">
        <v>55</v>
      </c>
      <c r="AD750" t="str">
        <f t="shared" si="366"/>
        <v>First Class</v>
      </c>
      <c r="AE750" t="str">
        <f t="shared" si="352"/>
        <v>OK</v>
      </c>
      <c r="AF750">
        <v>9</v>
      </c>
      <c r="AG750">
        <v>3670.54</v>
      </c>
      <c r="AH750">
        <v>0</v>
      </c>
      <c r="AI750">
        <f t="shared" si="353"/>
        <v>0</v>
      </c>
      <c r="AJ750" t="str">
        <f t="shared" si="354"/>
        <v>OK</v>
      </c>
      <c r="AK750">
        <v>33034.86</v>
      </c>
      <c r="AL750">
        <v>24539.83</v>
      </c>
      <c r="AM750">
        <v>8495.0300000000007</v>
      </c>
      <c r="AN750" t="s">
        <v>33</v>
      </c>
      <c r="AO750" t="str">
        <f t="shared" si="346"/>
        <v>PAID</v>
      </c>
      <c r="AP750" t="str">
        <f t="shared" si="355"/>
        <v>OK</v>
      </c>
      <c r="AQ750" t="s">
        <v>34</v>
      </c>
      <c r="AR750" t="str">
        <f t="shared" si="347"/>
        <v>COMPLETED</v>
      </c>
      <c r="AS750" t="str">
        <f t="shared" si="356"/>
        <v>OK</v>
      </c>
      <c r="AT750">
        <f t="shared" si="357"/>
        <v>33034.86</v>
      </c>
      <c r="AU750">
        <f t="shared" si="358"/>
        <v>8495.0299999999988</v>
      </c>
      <c r="AV750" s="6">
        <f t="shared" si="359"/>
        <v>7.6734697831321211E-2</v>
      </c>
      <c r="AW750" t="str">
        <f t="shared" si="360"/>
        <v>CLEAN</v>
      </c>
      <c r="AX750" s="10" t="str">
        <f t="shared" si="361"/>
        <v>MATCH</v>
      </c>
      <c r="AY750" t="str">
        <f t="shared" si="362"/>
        <v>MATCH</v>
      </c>
    </row>
    <row r="751" spans="1:51">
      <c r="A751" t="s">
        <v>2545</v>
      </c>
      <c r="B751">
        <f t="shared" si="338"/>
        <v>1</v>
      </c>
      <c r="C751" t="s">
        <v>2546</v>
      </c>
      <c r="D751" s="3">
        <v>45856</v>
      </c>
      <c r="E751" t="str">
        <f t="shared" si="339"/>
        <v>2025/07/18</v>
      </c>
      <c r="F751" t="str">
        <f t="shared" si="348"/>
        <v>July</v>
      </c>
      <c r="G751">
        <f t="shared" si="349"/>
        <v>2025</v>
      </c>
      <c r="H751" t="s">
        <v>2547</v>
      </c>
      <c r="I751" s="4">
        <v>45859</v>
      </c>
      <c r="J751" s="8">
        <f t="shared" si="340"/>
        <v>3</v>
      </c>
      <c r="K751" s="8" t="str">
        <f t="shared" si="350"/>
        <v>OK</v>
      </c>
      <c r="L751" t="s">
        <v>2548</v>
      </c>
      <c r="M751" t="s">
        <v>141</v>
      </c>
      <c r="N751" t="str">
        <f t="shared" si="341"/>
        <v>Priya Menon</v>
      </c>
      <c r="O751" t="s">
        <v>25</v>
      </c>
      <c r="P751" t="str">
        <f t="shared" si="364"/>
        <v>Consumer</v>
      </c>
      <c r="Q751" t="s">
        <v>41</v>
      </c>
      <c r="R751" t="str">
        <f t="shared" si="365"/>
        <v>East</v>
      </c>
      <c r="S751" t="str">
        <f t="shared" si="351"/>
        <v>OK</v>
      </c>
      <c r="T751" t="s">
        <v>42</v>
      </c>
      <c r="U751" t="str">
        <f t="shared" si="342"/>
        <v>Odisha</v>
      </c>
      <c r="V751" t="s">
        <v>43</v>
      </c>
      <c r="W751" t="str">
        <f t="shared" si="343"/>
        <v>Bhubaneswar</v>
      </c>
      <c r="X751" t="str">
        <f t="shared" si="344"/>
        <v>Furniture</v>
      </c>
      <c r="Y751" t="s">
        <v>44</v>
      </c>
      <c r="Z751" t="s">
        <v>45</v>
      </c>
      <c r="AA751" t="str">
        <f t="shared" si="345"/>
        <v>Tables</v>
      </c>
      <c r="AB751" t="s">
        <v>2549</v>
      </c>
      <c r="AC751" t="s">
        <v>32</v>
      </c>
      <c r="AD751" t="str">
        <f t="shared" si="366"/>
        <v>Second Class</v>
      </c>
      <c r="AE751" t="str">
        <f t="shared" si="352"/>
        <v>OK</v>
      </c>
      <c r="AF751">
        <v>4</v>
      </c>
      <c r="AG751">
        <v>284.04000000000002</v>
      </c>
      <c r="AI751">
        <f t="shared" si="353"/>
        <v>0</v>
      </c>
      <c r="AJ751" t="str">
        <f t="shared" si="354"/>
        <v>Missing Discount</v>
      </c>
      <c r="AK751">
        <v>908.93</v>
      </c>
      <c r="AL751">
        <v>572.08000000000004</v>
      </c>
      <c r="AM751">
        <v>336.85</v>
      </c>
      <c r="AN751" t="s">
        <v>33</v>
      </c>
      <c r="AO751" t="str">
        <f t="shared" si="346"/>
        <v>PAID</v>
      </c>
      <c r="AP751" t="str">
        <f t="shared" si="355"/>
        <v>OK</v>
      </c>
      <c r="AQ751" t="s">
        <v>34</v>
      </c>
      <c r="AR751" t="str">
        <f t="shared" si="347"/>
        <v>COMPLETED</v>
      </c>
      <c r="AS751" t="str">
        <f t="shared" si="356"/>
        <v>OK</v>
      </c>
      <c r="AT751">
        <f t="shared" si="357"/>
        <v>1136.1600000000001</v>
      </c>
      <c r="AU751">
        <f t="shared" si="358"/>
        <v>564.08000000000004</v>
      </c>
      <c r="AV751" s="6">
        <f t="shared" si="359"/>
        <v>7.1655752710885796</v>
      </c>
      <c r="AW751" t="str">
        <f t="shared" si="360"/>
        <v>INVALID</v>
      </c>
      <c r="AX751" s="10" t="str">
        <f t="shared" si="361"/>
        <v>MISMATCH</v>
      </c>
      <c r="AY751" t="str">
        <f t="shared" si="362"/>
        <v>MISMATCH</v>
      </c>
    </row>
    <row r="752" spans="1:51">
      <c r="A752" t="s">
        <v>2550</v>
      </c>
      <c r="B752">
        <f t="shared" si="338"/>
        <v>1</v>
      </c>
      <c r="C752" t="s">
        <v>2551</v>
      </c>
      <c r="D752" s="3">
        <v>45931</v>
      </c>
      <c r="E752" t="str">
        <f t="shared" si="339"/>
        <v>2025/10/01</v>
      </c>
      <c r="F752" t="str">
        <f t="shared" si="348"/>
        <v>October</v>
      </c>
      <c r="G752">
        <f t="shared" si="349"/>
        <v>2025</v>
      </c>
      <c r="H752" t="s">
        <v>2552</v>
      </c>
      <c r="I752" s="4">
        <v>45935</v>
      </c>
      <c r="J752" s="8">
        <f t="shared" si="340"/>
        <v>4</v>
      </c>
      <c r="K752" s="8" t="str">
        <f t="shared" si="350"/>
        <v>OK</v>
      </c>
      <c r="L752" t="s">
        <v>2553</v>
      </c>
      <c r="M752" t="s">
        <v>106</v>
      </c>
      <c r="N752" t="str">
        <f t="shared" si="341"/>
        <v>Aditi Sen</v>
      </c>
      <c r="O752" t="s">
        <v>114</v>
      </c>
      <c r="P752" t="str">
        <f t="shared" si="364"/>
        <v>Home Office</v>
      </c>
      <c r="Q752" t="s">
        <v>26</v>
      </c>
      <c r="R752" t="str">
        <f t="shared" si="365"/>
        <v>North</v>
      </c>
      <c r="S752" t="str">
        <f t="shared" si="351"/>
        <v>OK</v>
      </c>
      <c r="T752" t="s">
        <v>322</v>
      </c>
      <c r="U752" t="str">
        <f t="shared" si="342"/>
        <v>Haryana</v>
      </c>
      <c r="V752" t="s">
        <v>323</v>
      </c>
      <c r="W752" t="str">
        <f t="shared" si="343"/>
        <v>Gurugram</v>
      </c>
      <c r="X752" t="str">
        <f t="shared" si="344"/>
        <v>Office Supplies</v>
      </c>
      <c r="Y752" t="s">
        <v>29</v>
      </c>
      <c r="Z752" t="s">
        <v>30</v>
      </c>
      <c r="AA752" t="str">
        <f t="shared" si="345"/>
        <v>Paper</v>
      </c>
      <c r="AB752" t="s">
        <v>2554</v>
      </c>
      <c r="AC752" t="s">
        <v>55</v>
      </c>
      <c r="AD752" t="str">
        <f t="shared" si="366"/>
        <v>First Class</v>
      </c>
      <c r="AE752" t="str">
        <f t="shared" si="352"/>
        <v>OK</v>
      </c>
      <c r="AF752">
        <v>5</v>
      </c>
      <c r="AG752">
        <v>3247.56</v>
      </c>
      <c r="AH752">
        <v>0.15</v>
      </c>
      <c r="AI752">
        <f t="shared" si="353"/>
        <v>0.15</v>
      </c>
      <c r="AJ752" t="str">
        <f t="shared" si="354"/>
        <v>OK</v>
      </c>
      <c r="AK752">
        <v>13802.13</v>
      </c>
      <c r="AL752">
        <v>10075.93</v>
      </c>
      <c r="AM752">
        <v>3726.2</v>
      </c>
      <c r="AN752" t="s">
        <v>33</v>
      </c>
      <c r="AO752" t="str">
        <f t="shared" si="346"/>
        <v>PAID</v>
      </c>
      <c r="AP752" t="str">
        <f t="shared" si="355"/>
        <v>OK</v>
      </c>
      <c r="AQ752" t="s">
        <v>34</v>
      </c>
      <c r="AR752" t="str">
        <f t="shared" si="347"/>
        <v>COMPLETED</v>
      </c>
      <c r="AS752" t="str">
        <f t="shared" si="356"/>
        <v>OK</v>
      </c>
      <c r="AT752">
        <f t="shared" si="357"/>
        <v>13802.13</v>
      </c>
      <c r="AU752">
        <f t="shared" si="358"/>
        <v>3726.1999999999989</v>
      </c>
      <c r="AV752" s="6">
        <f t="shared" si="359"/>
        <v>0.58985388487139323</v>
      </c>
      <c r="AW752" t="str">
        <f t="shared" si="360"/>
        <v>CLEAN</v>
      </c>
      <c r="AX752" s="10" t="str">
        <f t="shared" si="361"/>
        <v>MATCH</v>
      </c>
      <c r="AY752" t="str">
        <f t="shared" si="362"/>
        <v>MATCH</v>
      </c>
    </row>
    <row r="753" spans="1:51">
      <c r="A753" t="s">
        <v>2563</v>
      </c>
      <c r="B753">
        <f t="shared" si="338"/>
        <v>1</v>
      </c>
      <c r="C753" t="s">
        <v>2564</v>
      </c>
      <c r="D753" s="3">
        <v>45807</v>
      </c>
      <c r="E753" t="str">
        <f t="shared" si="339"/>
        <v>2025/05/30</v>
      </c>
      <c r="F753" t="str">
        <f t="shared" si="348"/>
        <v>May</v>
      </c>
      <c r="G753">
        <f t="shared" si="349"/>
        <v>2025</v>
      </c>
      <c r="H753" t="s">
        <v>2565</v>
      </c>
      <c r="I753" s="4">
        <v>45809</v>
      </c>
      <c r="J753" s="8">
        <f t="shared" si="340"/>
        <v>2</v>
      </c>
      <c r="K753" s="8" t="str">
        <f t="shared" si="350"/>
        <v>OK</v>
      </c>
      <c r="L753" t="s">
        <v>2566</v>
      </c>
      <c r="M753" t="s">
        <v>147</v>
      </c>
      <c r="N753" t="str">
        <f t="shared" si="341"/>
        <v>Rahul Verma</v>
      </c>
      <c r="O753" t="s">
        <v>114</v>
      </c>
      <c r="P753" t="str">
        <f t="shared" si="364"/>
        <v>Home Office</v>
      </c>
      <c r="Q753" t="s">
        <v>61</v>
      </c>
      <c r="R753" t="str">
        <f t="shared" si="365"/>
        <v>South</v>
      </c>
      <c r="S753" t="str">
        <f t="shared" si="351"/>
        <v>OK</v>
      </c>
      <c r="T753" t="s">
        <v>338</v>
      </c>
      <c r="U753" t="str">
        <f t="shared" si="342"/>
        <v>Tamil Nadu</v>
      </c>
      <c r="V753" t="s">
        <v>339</v>
      </c>
      <c r="W753" t="str">
        <f t="shared" si="343"/>
        <v>Chennai</v>
      </c>
      <c r="X753" t="str">
        <f t="shared" si="344"/>
        <v>Office Supplies</v>
      </c>
      <c r="Y753" t="s">
        <v>29</v>
      </c>
      <c r="Z753" t="s">
        <v>197</v>
      </c>
      <c r="AA753" t="str">
        <f t="shared" si="345"/>
        <v>Binders</v>
      </c>
      <c r="AB753" t="s">
        <v>2567</v>
      </c>
      <c r="AC753" t="s">
        <v>66</v>
      </c>
      <c r="AD753" t="str">
        <f t="shared" si="366"/>
        <v>Standard Class</v>
      </c>
      <c r="AE753" t="str">
        <f t="shared" si="352"/>
        <v>OK</v>
      </c>
      <c r="AF753">
        <v>9</v>
      </c>
      <c r="AG753">
        <v>1994.51</v>
      </c>
      <c r="AH753">
        <v>0.05</v>
      </c>
      <c r="AI753">
        <f t="shared" si="353"/>
        <v>0.05</v>
      </c>
      <c r="AJ753" t="str">
        <f t="shared" si="354"/>
        <v>OK</v>
      </c>
      <c r="AK753">
        <v>17053.060000000001</v>
      </c>
      <c r="AL753">
        <v>10742.38</v>
      </c>
      <c r="AM753">
        <v>6310.68</v>
      </c>
      <c r="AN753" t="s">
        <v>33</v>
      </c>
      <c r="AO753" t="str">
        <f t="shared" si="346"/>
        <v>PAID</v>
      </c>
      <c r="AP753" t="str">
        <f t="shared" si="355"/>
        <v>OK</v>
      </c>
      <c r="AQ753" t="s">
        <v>34</v>
      </c>
      <c r="AR753" t="str">
        <f t="shared" si="347"/>
        <v>COMPLETED</v>
      </c>
      <c r="AS753" t="str">
        <f t="shared" si="356"/>
        <v>OK</v>
      </c>
      <c r="AT753">
        <f t="shared" si="357"/>
        <v>17053.0605</v>
      </c>
      <c r="AU753">
        <f t="shared" si="358"/>
        <v>6310.6805000000004</v>
      </c>
      <c r="AV753" s="6">
        <f t="shared" si="359"/>
        <v>1.4717592774622477E-2</v>
      </c>
      <c r="AW753" t="str">
        <f t="shared" si="360"/>
        <v>CLEAN</v>
      </c>
      <c r="AX753" s="10" t="str">
        <f t="shared" si="361"/>
        <v>MATCH</v>
      </c>
      <c r="AY753" t="str">
        <f t="shared" si="362"/>
        <v>MATCH</v>
      </c>
    </row>
    <row r="754" spans="1:51">
      <c r="A754" t="s">
        <v>2572</v>
      </c>
      <c r="B754">
        <f t="shared" si="338"/>
        <v>1</v>
      </c>
      <c r="C754" t="s">
        <v>2552</v>
      </c>
      <c r="D754" s="3">
        <v>45787</v>
      </c>
      <c r="E754" t="str">
        <f t="shared" si="339"/>
        <v>2025/05/10</v>
      </c>
      <c r="F754" t="str">
        <f t="shared" si="348"/>
        <v>May</v>
      </c>
      <c r="G754">
        <f t="shared" si="349"/>
        <v>2025</v>
      </c>
      <c r="H754" t="s">
        <v>307</v>
      </c>
      <c r="I754" s="4">
        <v>45940</v>
      </c>
      <c r="J754" s="8">
        <f t="shared" si="340"/>
        <v>153</v>
      </c>
      <c r="K754" s="8" t="str">
        <f t="shared" si="350"/>
        <v>OK</v>
      </c>
      <c r="L754" t="s">
        <v>2573</v>
      </c>
      <c r="M754" t="s">
        <v>141</v>
      </c>
      <c r="N754" t="str">
        <f t="shared" si="341"/>
        <v>Priya Menon</v>
      </c>
      <c r="O754" t="s">
        <v>107</v>
      </c>
      <c r="P754" t="str">
        <f t="shared" si="364"/>
        <v>Corporate</v>
      </c>
      <c r="Q754" t="s">
        <v>41</v>
      </c>
      <c r="R754" t="str">
        <f t="shared" si="365"/>
        <v>East</v>
      </c>
      <c r="S754" t="str">
        <f t="shared" si="351"/>
        <v>OK</v>
      </c>
      <c r="T754" t="s">
        <v>215</v>
      </c>
      <c r="U754" t="str">
        <f t="shared" si="342"/>
        <v>Assam</v>
      </c>
      <c r="V754" t="s">
        <v>216</v>
      </c>
      <c r="W754" t="str">
        <f t="shared" si="343"/>
        <v>Guwahati</v>
      </c>
      <c r="X754" t="str">
        <f t="shared" si="344"/>
        <v>Furniture</v>
      </c>
      <c r="Y754" t="s">
        <v>44</v>
      </c>
      <c r="Z754" t="s">
        <v>45</v>
      </c>
      <c r="AA754" t="str">
        <f t="shared" si="345"/>
        <v>Tables</v>
      </c>
      <c r="AB754" t="s">
        <v>2574</v>
      </c>
      <c r="AC754" t="s">
        <v>32</v>
      </c>
      <c r="AD754" t="str">
        <f t="shared" si="366"/>
        <v>Second Class</v>
      </c>
      <c r="AE754" t="str">
        <f t="shared" si="352"/>
        <v>OK</v>
      </c>
      <c r="AF754">
        <v>9</v>
      </c>
      <c r="AG754">
        <v>2089.14</v>
      </c>
      <c r="AH754">
        <v>0.05</v>
      </c>
      <c r="AI754">
        <f t="shared" si="353"/>
        <v>0.05</v>
      </c>
      <c r="AJ754" t="str">
        <f t="shared" si="354"/>
        <v>OK</v>
      </c>
      <c r="AK754">
        <v>17862.150000000001</v>
      </c>
      <c r="AL754">
        <v>9892.2099999999991</v>
      </c>
      <c r="AM754">
        <v>7969.94</v>
      </c>
      <c r="AN754" t="s">
        <v>199</v>
      </c>
      <c r="AO754" t="str">
        <f t="shared" si="346"/>
        <v>FAILED</v>
      </c>
      <c r="AP754" t="str">
        <f t="shared" si="355"/>
        <v>EXCLUDE_FROM_SALES</v>
      </c>
      <c r="AQ754" t="s">
        <v>77</v>
      </c>
      <c r="AR754" t="str">
        <f t="shared" si="347"/>
        <v>CANCELLED</v>
      </c>
      <c r="AS754" t="str">
        <f t="shared" si="356"/>
        <v>EXCLUDE_FROM_SALES</v>
      </c>
      <c r="AT754">
        <f t="shared" si="357"/>
        <v>17862.146999999997</v>
      </c>
      <c r="AU754">
        <f t="shared" si="358"/>
        <v>7969.9369999999981</v>
      </c>
      <c r="AV754" s="6">
        <f t="shared" si="359"/>
        <v>4.5264099550854676E-2</v>
      </c>
      <c r="AW754" t="str">
        <f t="shared" si="360"/>
        <v>CLEAN</v>
      </c>
      <c r="AX754" s="10" t="str">
        <f t="shared" si="361"/>
        <v>MATCH</v>
      </c>
      <c r="AY754" t="str">
        <f t="shared" si="362"/>
        <v>MATCH</v>
      </c>
    </row>
    <row r="755" spans="1:51">
      <c r="A755" t="s">
        <v>2579</v>
      </c>
      <c r="B755">
        <f t="shared" si="338"/>
        <v>1</v>
      </c>
      <c r="C755" t="s">
        <v>2580</v>
      </c>
      <c r="D755" s="3">
        <v>45774</v>
      </c>
      <c r="E755" t="str">
        <f t="shared" si="339"/>
        <v>2025/04/27</v>
      </c>
      <c r="F755" t="str">
        <f t="shared" si="348"/>
        <v>April</v>
      </c>
      <c r="G755">
        <f t="shared" si="349"/>
        <v>2025</v>
      </c>
      <c r="H755" t="s">
        <v>2581</v>
      </c>
      <c r="I755" s="4">
        <v>45782</v>
      </c>
      <c r="J755" s="8">
        <f t="shared" si="340"/>
        <v>8</v>
      </c>
      <c r="K755" s="8" t="str">
        <f t="shared" si="350"/>
        <v>OK</v>
      </c>
      <c r="L755" t="s">
        <v>2582</v>
      </c>
      <c r="M755" t="s">
        <v>179</v>
      </c>
      <c r="N755" t="str">
        <f t="shared" si="341"/>
        <v>Rohan Mehta</v>
      </c>
      <c r="O755" t="s">
        <v>114</v>
      </c>
      <c r="P755" t="str">
        <f t="shared" si="364"/>
        <v>Home Office</v>
      </c>
      <c r="Q755" t="s">
        <v>41</v>
      </c>
      <c r="R755" t="str">
        <f t="shared" si="365"/>
        <v>East</v>
      </c>
      <c r="S755" t="str">
        <f t="shared" si="351"/>
        <v>OK</v>
      </c>
      <c r="T755" t="s">
        <v>185</v>
      </c>
      <c r="U755" t="str">
        <f t="shared" si="342"/>
        <v>Bihar</v>
      </c>
      <c r="V755" t="s">
        <v>186</v>
      </c>
      <c r="W755" t="str">
        <f t="shared" si="343"/>
        <v>Patna</v>
      </c>
      <c r="X755" t="str">
        <f t="shared" si="344"/>
        <v>Technology</v>
      </c>
      <c r="Y755" t="s">
        <v>85</v>
      </c>
      <c r="Z755" t="s">
        <v>86</v>
      </c>
      <c r="AA755" t="str">
        <f t="shared" si="345"/>
        <v>Accessories</v>
      </c>
      <c r="AB755" t="s">
        <v>2583</v>
      </c>
      <c r="AC755" t="s">
        <v>32</v>
      </c>
      <c r="AD755" t="str">
        <f t="shared" si="366"/>
        <v>Second Class</v>
      </c>
      <c r="AE755" t="str">
        <f t="shared" si="352"/>
        <v>OK</v>
      </c>
      <c r="AF755">
        <v>4</v>
      </c>
      <c r="AG755">
        <v>3963.39</v>
      </c>
      <c r="AH755">
        <v>0.1</v>
      </c>
      <c r="AI755">
        <f t="shared" si="353"/>
        <v>0.1</v>
      </c>
      <c r="AJ755" t="str">
        <f t="shared" si="354"/>
        <v>OK</v>
      </c>
      <c r="AK755">
        <v>14268.2</v>
      </c>
      <c r="AL755">
        <v>11705.3</v>
      </c>
      <c r="AM755">
        <v>2562.9</v>
      </c>
      <c r="AN755" t="s">
        <v>136</v>
      </c>
      <c r="AO755" t="str">
        <f t="shared" si="346"/>
        <v>PENDING</v>
      </c>
      <c r="AP755" t="str">
        <f t="shared" si="355"/>
        <v>OK</v>
      </c>
      <c r="AQ755" t="s">
        <v>124</v>
      </c>
      <c r="AR755" t="str">
        <f t="shared" si="347"/>
        <v>RETURNED</v>
      </c>
      <c r="AS755" t="str">
        <f t="shared" si="356"/>
        <v>RETURNED_ORDER</v>
      </c>
      <c r="AT755">
        <f t="shared" si="357"/>
        <v>14268.204</v>
      </c>
      <c r="AU755">
        <f t="shared" si="358"/>
        <v>2562.9040000000005</v>
      </c>
      <c r="AV755" s="6">
        <f t="shared" si="359"/>
        <v>5.2161435314493666E-2</v>
      </c>
      <c r="AW755" t="str">
        <f t="shared" si="360"/>
        <v>CLEAN</v>
      </c>
      <c r="AX755" s="10" t="str">
        <f t="shared" si="361"/>
        <v>MATCH</v>
      </c>
      <c r="AY755" t="str">
        <f t="shared" si="362"/>
        <v>MATCH</v>
      </c>
    </row>
    <row r="756" spans="1:51">
      <c r="A756" t="s">
        <v>2589</v>
      </c>
      <c r="B756">
        <f t="shared" si="338"/>
        <v>1</v>
      </c>
      <c r="C756" t="s">
        <v>2590</v>
      </c>
      <c r="D756" s="3">
        <v>45934</v>
      </c>
      <c r="E756" t="str">
        <f t="shared" si="339"/>
        <v>2025/10/04</v>
      </c>
      <c r="F756" t="str">
        <f t="shared" si="348"/>
        <v>October</v>
      </c>
      <c r="G756">
        <f t="shared" si="349"/>
        <v>2025</v>
      </c>
      <c r="H756" t="s">
        <v>2591</v>
      </c>
      <c r="I756" s="4">
        <v>45764</v>
      </c>
      <c r="J756" s="8">
        <f t="shared" si="340"/>
        <v>-170</v>
      </c>
      <c r="K756" s="8" t="str">
        <f t="shared" si="350"/>
        <v>INVAILD_SHIPPING</v>
      </c>
      <c r="L756" t="s">
        <v>2592</v>
      </c>
      <c r="M756" t="s">
        <v>71</v>
      </c>
      <c r="N756" t="str">
        <f t="shared" si="341"/>
        <v>Ananya Rao</v>
      </c>
      <c r="O756" t="s">
        <v>40</v>
      </c>
      <c r="P756" t="str">
        <f t="shared" si="364"/>
        <v>Small Business</v>
      </c>
      <c r="Q756" t="s">
        <v>72</v>
      </c>
      <c r="R756" t="str">
        <f t="shared" ref="R756:R787" si="367">PROPER(TRIM(SUBSTITUTE(Q756,CHAR(160)," ")))</f>
        <v>West</v>
      </c>
      <c r="S756" t="str">
        <f t="shared" si="351"/>
        <v>OK</v>
      </c>
      <c r="T756" t="s">
        <v>27</v>
      </c>
      <c r="U756" t="str">
        <f t="shared" si="342"/>
        <v>Rajasthan</v>
      </c>
      <c r="V756" t="s">
        <v>134</v>
      </c>
      <c r="W756" t="str">
        <f t="shared" si="343"/>
        <v>Udaipur</v>
      </c>
      <c r="X756" t="str">
        <f t="shared" si="344"/>
        <v>Furniture</v>
      </c>
      <c r="Y756" t="s">
        <v>44</v>
      </c>
      <c r="Z756" t="s">
        <v>75</v>
      </c>
      <c r="AA756" t="str">
        <f t="shared" si="345"/>
        <v>Chairs</v>
      </c>
      <c r="AB756" t="s">
        <v>2593</v>
      </c>
      <c r="AC756" t="s">
        <v>55</v>
      </c>
      <c r="AD756" t="str">
        <f t="shared" si="366"/>
        <v>First Class</v>
      </c>
      <c r="AE756" t="str">
        <f t="shared" si="352"/>
        <v>OK</v>
      </c>
      <c r="AF756">
        <v>7</v>
      </c>
      <c r="AG756">
        <v>3788.9</v>
      </c>
      <c r="AH756">
        <v>0.25</v>
      </c>
      <c r="AI756">
        <f t="shared" si="353"/>
        <v>0.25</v>
      </c>
      <c r="AJ756" t="str">
        <f t="shared" si="354"/>
        <v>OK</v>
      </c>
      <c r="AK756">
        <v>19891.72</v>
      </c>
      <c r="AL756">
        <v>12295.76</v>
      </c>
      <c r="AM756">
        <v>7595.96</v>
      </c>
      <c r="AN756" t="s">
        <v>199</v>
      </c>
      <c r="AO756" t="str">
        <f t="shared" si="346"/>
        <v>FAILED</v>
      </c>
      <c r="AP756" t="str">
        <f t="shared" si="355"/>
        <v>EXCLUDE_FROM_SALES</v>
      </c>
      <c r="AQ756" t="s">
        <v>77</v>
      </c>
      <c r="AR756" t="str">
        <f t="shared" si="347"/>
        <v>CANCELLED</v>
      </c>
      <c r="AS756" t="str">
        <f t="shared" si="356"/>
        <v>EXCLUDE_FROM_SALES</v>
      </c>
      <c r="AT756">
        <f t="shared" si="357"/>
        <v>19891.724999999999</v>
      </c>
      <c r="AU756">
        <f t="shared" si="358"/>
        <v>7595.9649999999983</v>
      </c>
      <c r="AV756" s="6">
        <f t="shared" si="359"/>
        <v>7.8332070245290437E-3</v>
      </c>
      <c r="AW756" t="str">
        <f t="shared" si="360"/>
        <v>CLEAN</v>
      </c>
      <c r="AX756" s="10" t="str">
        <f t="shared" si="361"/>
        <v>MISMATCH</v>
      </c>
      <c r="AY756" t="str">
        <f t="shared" si="362"/>
        <v>MISMATCH</v>
      </c>
    </row>
    <row r="757" spans="1:51">
      <c r="A757" t="s">
        <v>2602</v>
      </c>
      <c r="B757">
        <f t="shared" si="338"/>
        <v>1</v>
      </c>
      <c r="C757" t="s">
        <v>1215</v>
      </c>
      <c r="D757" s="3">
        <v>45754</v>
      </c>
      <c r="E757" t="str">
        <f t="shared" si="339"/>
        <v>2025/04/07</v>
      </c>
      <c r="F757" t="str">
        <f t="shared" si="348"/>
        <v>April</v>
      </c>
      <c r="G757">
        <f t="shared" si="349"/>
        <v>2025</v>
      </c>
      <c r="H757" t="s">
        <v>2414</v>
      </c>
      <c r="I757" s="4">
        <v>45842</v>
      </c>
      <c r="J757" s="8">
        <f t="shared" si="340"/>
        <v>88</v>
      </c>
      <c r="K757" s="8" t="str">
        <f t="shared" si="350"/>
        <v>OK</v>
      </c>
      <c r="L757" t="s">
        <v>2603</v>
      </c>
      <c r="M757" t="s">
        <v>2604</v>
      </c>
      <c r="N757" t="str">
        <f t="shared" si="341"/>
        <v>Mira Das</v>
      </c>
      <c r="O757" t="s">
        <v>40</v>
      </c>
      <c r="P757" t="str">
        <f t="shared" si="364"/>
        <v>Small Business</v>
      </c>
      <c r="Q757" t="s">
        <v>61</v>
      </c>
      <c r="R757" t="str">
        <f t="shared" si="367"/>
        <v>South</v>
      </c>
      <c r="S757" t="str">
        <f t="shared" si="351"/>
        <v>OK</v>
      </c>
      <c r="T757" t="s">
        <v>338</v>
      </c>
      <c r="U757" t="str">
        <f t="shared" si="342"/>
        <v>Tamil Nadu</v>
      </c>
      <c r="V757" t="s">
        <v>339</v>
      </c>
      <c r="W757" t="str">
        <f t="shared" si="343"/>
        <v>Chennai</v>
      </c>
      <c r="X757" t="str">
        <f t="shared" si="344"/>
        <v>Furniture</v>
      </c>
      <c r="Y757" t="s">
        <v>44</v>
      </c>
      <c r="Z757" t="s">
        <v>75</v>
      </c>
      <c r="AA757" t="str">
        <f t="shared" si="345"/>
        <v>Chairs</v>
      </c>
      <c r="AB757" t="s">
        <v>2605</v>
      </c>
      <c r="AC757" t="s">
        <v>66</v>
      </c>
      <c r="AD757" t="str">
        <f t="shared" si="366"/>
        <v>Standard Class</v>
      </c>
      <c r="AE757" t="str">
        <f t="shared" si="352"/>
        <v>OK</v>
      </c>
      <c r="AF757">
        <v>3</v>
      </c>
      <c r="AG757">
        <v>705.35</v>
      </c>
      <c r="AH757">
        <v>0.1</v>
      </c>
      <c r="AI757">
        <f t="shared" si="353"/>
        <v>0.1</v>
      </c>
      <c r="AJ757" t="str">
        <f t="shared" si="354"/>
        <v>OK</v>
      </c>
      <c r="AK757">
        <v>1904.45</v>
      </c>
      <c r="AL757">
        <v>1316.54</v>
      </c>
      <c r="AM757">
        <v>587.91</v>
      </c>
      <c r="AN757" t="s">
        <v>33</v>
      </c>
      <c r="AO757" t="str">
        <f t="shared" si="346"/>
        <v>PAID</v>
      </c>
      <c r="AP757" t="str">
        <f t="shared" si="355"/>
        <v>OK</v>
      </c>
      <c r="AQ757" t="s">
        <v>77</v>
      </c>
      <c r="AR757" t="str">
        <f t="shared" si="347"/>
        <v>CANCELLED</v>
      </c>
      <c r="AS757" t="str">
        <f t="shared" si="356"/>
        <v>EXCLUDE_FROM_SALES</v>
      </c>
      <c r="AT757">
        <f t="shared" si="357"/>
        <v>1904.4450000000002</v>
      </c>
      <c r="AU757">
        <f t="shared" si="358"/>
        <v>587.9050000000002</v>
      </c>
      <c r="AV757" s="6">
        <f t="shared" si="359"/>
        <v>3.3385106947168324</v>
      </c>
      <c r="AW757" t="str">
        <f t="shared" si="360"/>
        <v>CLEAN</v>
      </c>
      <c r="AX757" s="10" t="str">
        <f t="shared" si="361"/>
        <v>MATCH</v>
      </c>
      <c r="AY757" t="str">
        <f t="shared" si="362"/>
        <v>MATCH</v>
      </c>
    </row>
    <row r="758" spans="1:51">
      <c r="A758" t="s">
        <v>2610</v>
      </c>
      <c r="B758">
        <f t="shared" si="338"/>
        <v>1</v>
      </c>
      <c r="C758" t="s">
        <v>2611</v>
      </c>
      <c r="D758" s="3">
        <v>45846</v>
      </c>
      <c r="E758" t="str">
        <f t="shared" si="339"/>
        <v>2025/07/08</v>
      </c>
      <c r="F758" t="str">
        <f t="shared" si="348"/>
        <v>July</v>
      </c>
      <c r="G758">
        <f t="shared" si="349"/>
        <v>2025</v>
      </c>
      <c r="H758" t="s">
        <v>2612</v>
      </c>
      <c r="I758" s="4">
        <v>45847</v>
      </c>
      <c r="J758" s="8">
        <f t="shared" si="340"/>
        <v>1</v>
      </c>
      <c r="K758" s="8" t="str">
        <f t="shared" si="350"/>
        <v>OK</v>
      </c>
      <c r="L758" t="s">
        <v>2613</v>
      </c>
      <c r="M758" t="s">
        <v>167</v>
      </c>
      <c r="N758" t="str">
        <f t="shared" si="341"/>
        <v>Sneha Kapoor</v>
      </c>
      <c r="O758" t="s">
        <v>25</v>
      </c>
      <c r="P758" t="str">
        <f t="shared" si="364"/>
        <v>Consumer</v>
      </c>
      <c r="Q758" t="s">
        <v>72</v>
      </c>
      <c r="R758" t="str">
        <f t="shared" si="367"/>
        <v>West</v>
      </c>
      <c r="S758" t="str">
        <f t="shared" si="351"/>
        <v>OK</v>
      </c>
      <c r="T758" t="s">
        <v>73</v>
      </c>
      <c r="U758" t="str">
        <f t="shared" si="342"/>
        <v>Maharashtra</v>
      </c>
      <c r="V758" t="s">
        <v>74</v>
      </c>
      <c r="W758" t="str">
        <f t="shared" si="343"/>
        <v>Mumbai</v>
      </c>
      <c r="X758" t="str">
        <f t="shared" si="344"/>
        <v>Technology</v>
      </c>
      <c r="Y758" t="s">
        <v>85</v>
      </c>
      <c r="Z758" t="s">
        <v>93</v>
      </c>
      <c r="AA758" t="str">
        <f t="shared" si="345"/>
        <v>Copiers</v>
      </c>
      <c r="AB758" t="s">
        <v>2614</v>
      </c>
      <c r="AC758" t="s">
        <v>47</v>
      </c>
      <c r="AD758" t="str">
        <f t="shared" si="366"/>
        <v>Same Day</v>
      </c>
      <c r="AE758" t="str">
        <f t="shared" si="352"/>
        <v>OK</v>
      </c>
      <c r="AF758">
        <v>3</v>
      </c>
      <c r="AG758">
        <v>2880.56</v>
      </c>
      <c r="AH758">
        <v>0</v>
      </c>
      <c r="AI758">
        <f t="shared" si="353"/>
        <v>0</v>
      </c>
      <c r="AJ758" t="str">
        <f t="shared" si="354"/>
        <v>OK</v>
      </c>
      <c r="AK758">
        <v>8641.68</v>
      </c>
      <c r="AL758">
        <v>5747.09</v>
      </c>
      <c r="AM758">
        <v>2894.59</v>
      </c>
      <c r="AN758" t="s">
        <v>33</v>
      </c>
      <c r="AO758" t="str">
        <f t="shared" si="346"/>
        <v>PAID</v>
      </c>
      <c r="AP758" t="str">
        <f t="shared" si="355"/>
        <v>OK</v>
      </c>
      <c r="AQ758" t="s">
        <v>124</v>
      </c>
      <c r="AR758" t="str">
        <f t="shared" si="347"/>
        <v>RETURNED</v>
      </c>
      <c r="AS758" t="str">
        <f t="shared" si="356"/>
        <v>RETURNED_ORDER</v>
      </c>
      <c r="AT758">
        <f t="shared" si="357"/>
        <v>8641.68</v>
      </c>
      <c r="AU758">
        <f t="shared" si="358"/>
        <v>2894.59</v>
      </c>
      <c r="AV758" s="6">
        <f t="shared" si="359"/>
        <v>0.64834615491432213</v>
      </c>
      <c r="AW758" t="str">
        <f t="shared" si="360"/>
        <v>CLEAN</v>
      </c>
      <c r="AX758" s="10" t="str">
        <f t="shared" si="361"/>
        <v>MATCH</v>
      </c>
      <c r="AY758" t="str">
        <f t="shared" si="362"/>
        <v>MATCH</v>
      </c>
    </row>
    <row r="759" spans="1:51">
      <c r="A759" t="s">
        <v>2625</v>
      </c>
      <c r="B759">
        <f t="shared" si="338"/>
        <v>1</v>
      </c>
      <c r="C759" t="s">
        <v>2626</v>
      </c>
      <c r="D759" s="3">
        <v>45686</v>
      </c>
      <c r="E759" t="str">
        <f t="shared" si="339"/>
        <v>2025/01/29</v>
      </c>
      <c r="F759" t="str">
        <f t="shared" si="348"/>
        <v>January</v>
      </c>
      <c r="G759">
        <f t="shared" si="349"/>
        <v>2025</v>
      </c>
      <c r="H759" t="s">
        <v>2059</v>
      </c>
      <c r="I759" s="4">
        <v>45693</v>
      </c>
      <c r="J759" s="8">
        <f t="shared" si="340"/>
        <v>7</v>
      </c>
      <c r="K759" s="8" t="str">
        <f t="shared" si="350"/>
        <v>OK</v>
      </c>
      <c r="L759" t="s">
        <v>2627</v>
      </c>
      <c r="M759" t="s">
        <v>71</v>
      </c>
      <c r="N759" t="str">
        <f t="shared" si="341"/>
        <v>Ananya Rao</v>
      </c>
      <c r="O759" t="s">
        <v>25</v>
      </c>
      <c r="P759" t="str">
        <f t="shared" si="364"/>
        <v>Consumer</v>
      </c>
      <c r="Q759" t="s">
        <v>61</v>
      </c>
      <c r="R759" t="str">
        <f t="shared" si="367"/>
        <v>South</v>
      </c>
      <c r="S759" t="str">
        <f t="shared" si="351"/>
        <v>OK</v>
      </c>
      <c r="T759" t="s">
        <v>241</v>
      </c>
      <c r="U759" t="str">
        <f t="shared" si="342"/>
        <v>Kerala</v>
      </c>
      <c r="V759" t="s">
        <v>242</v>
      </c>
      <c r="W759" t="str">
        <f t="shared" si="343"/>
        <v>Kochi</v>
      </c>
      <c r="X759" t="str">
        <f t="shared" si="344"/>
        <v>Office Supplies</v>
      </c>
      <c r="Y759" t="s">
        <v>29</v>
      </c>
      <c r="Z759" t="s">
        <v>53</v>
      </c>
      <c r="AA759" t="str">
        <f t="shared" si="345"/>
        <v>Art</v>
      </c>
      <c r="AB759" t="s">
        <v>2628</v>
      </c>
      <c r="AC759" t="s">
        <v>47</v>
      </c>
      <c r="AD759" t="str">
        <f t="shared" si="366"/>
        <v>Same Day</v>
      </c>
      <c r="AE759" t="str">
        <f t="shared" si="352"/>
        <v>OK</v>
      </c>
      <c r="AF759">
        <v>8</v>
      </c>
      <c r="AG759">
        <v>3643.62</v>
      </c>
      <c r="AH759">
        <v>0.25</v>
      </c>
      <c r="AI759">
        <f t="shared" si="353"/>
        <v>0.25</v>
      </c>
      <c r="AJ759" t="str">
        <f t="shared" si="354"/>
        <v>OK</v>
      </c>
      <c r="AK759">
        <v>21861.72</v>
      </c>
      <c r="AL759">
        <v>18464.34</v>
      </c>
      <c r="AM759">
        <v>3397.38</v>
      </c>
      <c r="AN759" t="s">
        <v>33</v>
      </c>
      <c r="AO759" t="str">
        <f t="shared" si="346"/>
        <v>PAID</v>
      </c>
      <c r="AP759" t="str">
        <f t="shared" si="355"/>
        <v>OK</v>
      </c>
      <c r="AQ759" t="s">
        <v>77</v>
      </c>
      <c r="AR759" t="str">
        <f t="shared" si="347"/>
        <v>CANCELLED</v>
      </c>
      <c r="AS759" t="str">
        <f t="shared" si="356"/>
        <v>EXCLUDE_FROM_SALES</v>
      </c>
      <c r="AT759">
        <f t="shared" si="357"/>
        <v>21861.72</v>
      </c>
      <c r="AU759">
        <f t="shared" si="358"/>
        <v>3397.380000000001</v>
      </c>
      <c r="AV759" s="6">
        <f t="shared" si="359"/>
        <v>5.8879173276393651E-2</v>
      </c>
      <c r="AW759" t="str">
        <f t="shared" si="360"/>
        <v>CLEAN</v>
      </c>
      <c r="AX759" s="10" t="str">
        <f t="shared" si="361"/>
        <v>MATCH</v>
      </c>
      <c r="AY759" t="str">
        <f t="shared" si="362"/>
        <v>MATCH</v>
      </c>
    </row>
    <row r="760" spans="1:51">
      <c r="A760" t="s">
        <v>2634</v>
      </c>
      <c r="B760">
        <f t="shared" si="338"/>
        <v>1</v>
      </c>
      <c r="C760" t="s">
        <v>2635</v>
      </c>
      <c r="D760" s="3">
        <v>45883</v>
      </c>
      <c r="E760" t="str">
        <f t="shared" si="339"/>
        <v>2025/08/14</v>
      </c>
      <c r="F760" t="str">
        <f t="shared" si="348"/>
        <v>August</v>
      </c>
      <c r="G760">
        <f t="shared" si="349"/>
        <v>2025</v>
      </c>
      <c r="H760" t="s">
        <v>1490</v>
      </c>
      <c r="I760" s="4">
        <v>45891</v>
      </c>
      <c r="J760" s="8">
        <f t="shared" si="340"/>
        <v>8</v>
      </c>
      <c r="K760" s="8" t="str">
        <f t="shared" si="350"/>
        <v>OK</v>
      </c>
      <c r="L760" t="s">
        <v>2636</v>
      </c>
      <c r="M760" t="s">
        <v>60</v>
      </c>
      <c r="N760" t="str">
        <f t="shared" si="341"/>
        <v>Arjun Bose</v>
      </c>
      <c r="O760" t="s">
        <v>107</v>
      </c>
      <c r="P760" t="str">
        <f t="shared" si="364"/>
        <v>Corporate</v>
      </c>
      <c r="Q760" t="s">
        <v>72</v>
      </c>
      <c r="R760" t="str">
        <f t="shared" si="367"/>
        <v>West</v>
      </c>
      <c r="S760" t="str">
        <f t="shared" si="351"/>
        <v>OK</v>
      </c>
      <c r="T760" t="s">
        <v>234</v>
      </c>
      <c r="U760" t="str">
        <f t="shared" si="342"/>
        <v>Gujarat</v>
      </c>
      <c r="V760" t="s">
        <v>235</v>
      </c>
      <c r="W760" t="str">
        <f t="shared" si="343"/>
        <v>Ahmedabad</v>
      </c>
      <c r="X760" t="str">
        <f t="shared" si="344"/>
        <v>Office Supplies</v>
      </c>
      <c r="Y760" t="s">
        <v>2637</v>
      </c>
      <c r="Z760" t="s">
        <v>30</v>
      </c>
      <c r="AA760" t="str">
        <f t="shared" si="345"/>
        <v>Paper</v>
      </c>
      <c r="AB760" t="s">
        <v>2638</v>
      </c>
      <c r="AC760" t="s">
        <v>55</v>
      </c>
      <c r="AD760" t="str">
        <f t="shared" si="366"/>
        <v>First Class</v>
      </c>
      <c r="AE760" t="str">
        <f t="shared" si="352"/>
        <v>OK</v>
      </c>
      <c r="AF760">
        <v>5</v>
      </c>
      <c r="AG760">
        <v>2567.37</v>
      </c>
      <c r="AH760">
        <v>0.15</v>
      </c>
      <c r="AI760">
        <f t="shared" si="353"/>
        <v>0.15</v>
      </c>
      <c r="AJ760" t="str">
        <f t="shared" si="354"/>
        <v>OK</v>
      </c>
      <c r="AK760">
        <v>10911.32</v>
      </c>
      <c r="AL760">
        <v>6966.44</v>
      </c>
      <c r="AM760">
        <v>4395.17</v>
      </c>
      <c r="AN760" t="s">
        <v>33</v>
      </c>
      <c r="AO760" t="str">
        <f t="shared" si="346"/>
        <v>PAID</v>
      </c>
      <c r="AP760" t="str">
        <f t="shared" si="355"/>
        <v>OK</v>
      </c>
      <c r="AQ760" t="s">
        <v>34</v>
      </c>
      <c r="AR760" t="str">
        <f t="shared" si="347"/>
        <v>COMPLETED</v>
      </c>
      <c r="AS760" t="str">
        <f t="shared" si="356"/>
        <v>OK</v>
      </c>
      <c r="AT760">
        <f t="shared" si="357"/>
        <v>10911.322499999998</v>
      </c>
      <c r="AU760">
        <f t="shared" si="358"/>
        <v>3944.8824999999988</v>
      </c>
      <c r="AV760" s="6">
        <f t="shared" si="359"/>
        <v>6.0876580267882306E-2</v>
      </c>
      <c r="AW760" t="str">
        <f t="shared" si="360"/>
        <v>CLEAN</v>
      </c>
      <c r="AX760" s="10" t="str">
        <f t="shared" si="361"/>
        <v>MATCH</v>
      </c>
      <c r="AY760" t="str">
        <f t="shared" si="362"/>
        <v>MISMATCH</v>
      </c>
    </row>
    <row r="761" spans="1:51">
      <c r="A761" t="s">
        <v>2647</v>
      </c>
      <c r="B761">
        <f t="shared" si="338"/>
        <v>2</v>
      </c>
      <c r="C761" t="s">
        <v>2648</v>
      </c>
      <c r="D761" s="3">
        <v>45971</v>
      </c>
      <c r="E761" t="str">
        <f t="shared" si="339"/>
        <v>2025/11/10</v>
      </c>
      <c r="F761" t="str">
        <f t="shared" si="348"/>
        <v>November</v>
      </c>
      <c r="G761">
        <f t="shared" si="349"/>
        <v>2025</v>
      </c>
      <c r="H761" t="s">
        <v>2649</v>
      </c>
      <c r="I761" s="4">
        <v>45943</v>
      </c>
      <c r="J761" s="8">
        <f t="shared" si="340"/>
        <v>-28</v>
      </c>
      <c r="K761" s="8" t="str">
        <f t="shared" si="350"/>
        <v>INVAILD_SHIPPING</v>
      </c>
      <c r="L761" t="s">
        <v>2650</v>
      </c>
      <c r="M761" t="s">
        <v>39</v>
      </c>
      <c r="N761" t="str">
        <f t="shared" si="341"/>
        <v>Mira Das</v>
      </c>
      <c r="O761" t="s">
        <v>107</v>
      </c>
      <c r="P761" t="str">
        <f t="shared" si="364"/>
        <v>Corporate</v>
      </c>
      <c r="Q761" t="s">
        <v>61</v>
      </c>
      <c r="R761" t="str">
        <f t="shared" si="367"/>
        <v>South</v>
      </c>
      <c r="S761" t="str">
        <f t="shared" si="351"/>
        <v>OK</v>
      </c>
      <c r="T761" t="s">
        <v>62</v>
      </c>
      <c r="U761" t="str">
        <f t="shared" si="342"/>
        <v>Telangana</v>
      </c>
      <c r="V761" t="s">
        <v>63</v>
      </c>
      <c r="W761" t="str">
        <f t="shared" si="343"/>
        <v>Hyderabad</v>
      </c>
      <c r="X761" t="str">
        <f t="shared" si="344"/>
        <v>Office Supplies</v>
      </c>
      <c r="Y761" t="s">
        <v>29</v>
      </c>
      <c r="Z761" t="s">
        <v>53</v>
      </c>
      <c r="AA761" t="str">
        <f t="shared" si="345"/>
        <v>Art</v>
      </c>
      <c r="AB761" t="s">
        <v>2651</v>
      </c>
      <c r="AC761" t="s">
        <v>32</v>
      </c>
      <c r="AD761" t="str">
        <f t="shared" si="366"/>
        <v>Second Class</v>
      </c>
      <c r="AE761" t="str">
        <f t="shared" si="352"/>
        <v>OK</v>
      </c>
      <c r="AF761">
        <v>3</v>
      </c>
      <c r="AG761">
        <v>3804.27</v>
      </c>
      <c r="AH761">
        <v>0.1</v>
      </c>
      <c r="AI761">
        <f t="shared" si="353"/>
        <v>0.1</v>
      </c>
      <c r="AJ761" t="str">
        <f t="shared" si="354"/>
        <v>OK</v>
      </c>
      <c r="AK761">
        <v>10271.530000000001</v>
      </c>
      <c r="AL761">
        <v>8272.24</v>
      </c>
      <c r="AM761">
        <v>1999.29</v>
      </c>
      <c r="AN761" t="s">
        <v>33</v>
      </c>
      <c r="AO761" t="str">
        <f t="shared" si="346"/>
        <v>PAID</v>
      </c>
      <c r="AP761" t="str">
        <f t="shared" si="355"/>
        <v>OK</v>
      </c>
      <c r="AQ761" t="s">
        <v>34</v>
      </c>
      <c r="AR761" t="str">
        <f t="shared" si="347"/>
        <v>COMPLETED</v>
      </c>
      <c r="AS761" t="str">
        <f t="shared" si="356"/>
        <v>OK</v>
      </c>
      <c r="AT761">
        <f t="shared" si="357"/>
        <v>10271.529</v>
      </c>
      <c r="AU761">
        <f t="shared" si="358"/>
        <v>1999.2890000000007</v>
      </c>
      <c r="AV761" s="6">
        <f t="shared" si="359"/>
        <v>1.0823035207319178</v>
      </c>
      <c r="AW761" t="str">
        <f t="shared" si="360"/>
        <v>CLEAN</v>
      </c>
      <c r="AX761" s="10" t="str">
        <f t="shared" si="361"/>
        <v>MATCH</v>
      </c>
      <c r="AY761" t="str">
        <f t="shared" si="362"/>
        <v>MATCH</v>
      </c>
    </row>
    <row r="762" spans="1:51">
      <c r="A762" t="s">
        <v>2647</v>
      </c>
      <c r="B762">
        <f t="shared" si="338"/>
        <v>2</v>
      </c>
      <c r="C762" t="s">
        <v>2648</v>
      </c>
      <c r="D762" s="3">
        <v>45971</v>
      </c>
      <c r="E762" t="str">
        <f t="shared" si="339"/>
        <v>2025/11/10</v>
      </c>
      <c r="F762" t="str">
        <f t="shared" si="348"/>
        <v>November</v>
      </c>
      <c r="G762">
        <f t="shared" si="349"/>
        <v>2025</v>
      </c>
      <c r="H762" t="s">
        <v>2649</v>
      </c>
      <c r="I762" s="4">
        <v>45943</v>
      </c>
      <c r="J762" s="8">
        <f t="shared" si="340"/>
        <v>-28</v>
      </c>
      <c r="K762" s="8" t="str">
        <f t="shared" si="350"/>
        <v>INVAILD_SHIPPING</v>
      </c>
      <c r="L762" t="s">
        <v>2650</v>
      </c>
      <c r="M762" t="s">
        <v>39</v>
      </c>
      <c r="N762" t="str">
        <f t="shared" si="341"/>
        <v>Mira Das</v>
      </c>
      <c r="O762" t="s">
        <v>107</v>
      </c>
      <c r="P762" t="str">
        <f t="shared" si="364"/>
        <v>Corporate</v>
      </c>
      <c r="Q762" t="s">
        <v>61</v>
      </c>
      <c r="R762" t="str">
        <f t="shared" si="367"/>
        <v>South</v>
      </c>
      <c r="S762" t="str">
        <f t="shared" si="351"/>
        <v>OK</v>
      </c>
      <c r="T762" t="s">
        <v>62</v>
      </c>
      <c r="U762" t="str">
        <f t="shared" si="342"/>
        <v>Telangana</v>
      </c>
      <c r="V762" t="s">
        <v>63</v>
      </c>
      <c r="W762" t="str">
        <f t="shared" si="343"/>
        <v>Hyderabad</v>
      </c>
      <c r="X762" t="str">
        <f t="shared" si="344"/>
        <v>Office Supplies</v>
      </c>
      <c r="Y762" t="s">
        <v>29</v>
      </c>
      <c r="Z762" t="s">
        <v>53</v>
      </c>
      <c r="AA762" t="str">
        <f t="shared" si="345"/>
        <v>Art</v>
      </c>
      <c r="AB762" t="s">
        <v>2651</v>
      </c>
      <c r="AC762" t="s">
        <v>32</v>
      </c>
      <c r="AD762" t="str">
        <f t="shared" si="366"/>
        <v>Second Class</v>
      </c>
      <c r="AE762" t="str">
        <f t="shared" si="352"/>
        <v>OK</v>
      </c>
      <c r="AF762">
        <v>3</v>
      </c>
      <c r="AG762">
        <v>3804.27</v>
      </c>
      <c r="AH762">
        <v>0.1</v>
      </c>
      <c r="AI762">
        <f t="shared" si="353"/>
        <v>0.1</v>
      </c>
      <c r="AJ762" t="str">
        <f t="shared" si="354"/>
        <v>OK</v>
      </c>
      <c r="AK762">
        <v>10271.530000000001</v>
      </c>
      <c r="AL762">
        <v>8272.24</v>
      </c>
      <c r="AM762">
        <v>1999.29</v>
      </c>
      <c r="AN762" t="s">
        <v>33</v>
      </c>
      <c r="AO762" t="str">
        <f t="shared" si="346"/>
        <v>PAID</v>
      </c>
      <c r="AP762" t="str">
        <f t="shared" si="355"/>
        <v>OK</v>
      </c>
      <c r="AQ762" t="s">
        <v>34</v>
      </c>
      <c r="AR762" t="str">
        <f t="shared" si="347"/>
        <v>COMPLETED</v>
      </c>
      <c r="AS762" t="str">
        <f t="shared" si="356"/>
        <v>OK</v>
      </c>
      <c r="AT762">
        <f t="shared" si="357"/>
        <v>10271.529</v>
      </c>
      <c r="AU762">
        <f t="shared" si="358"/>
        <v>1999.2890000000007</v>
      </c>
      <c r="AV762" s="6">
        <f t="shared" si="359"/>
        <v>1.1784674414101348</v>
      </c>
      <c r="AW762" t="str">
        <f t="shared" si="360"/>
        <v>CLEAN</v>
      </c>
      <c r="AX762" s="10" t="str">
        <f t="shared" si="361"/>
        <v>MATCH</v>
      </c>
      <c r="AY762" t="str">
        <f t="shared" si="362"/>
        <v>MATCH</v>
      </c>
    </row>
    <row r="763" spans="1:51">
      <c r="A763" t="s">
        <v>2660</v>
      </c>
      <c r="B763">
        <f t="shared" si="338"/>
        <v>1</v>
      </c>
      <c r="C763" t="s">
        <v>189</v>
      </c>
      <c r="D763" s="3">
        <v>45681</v>
      </c>
      <c r="E763" t="str">
        <f t="shared" si="339"/>
        <v>2025/01/24</v>
      </c>
      <c r="F763" t="str">
        <f t="shared" si="348"/>
        <v>January</v>
      </c>
      <c r="G763">
        <f t="shared" si="349"/>
        <v>2025</v>
      </c>
      <c r="H763" t="s">
        <v>342</v>
      </c>
      <c r="I763" s="4">
        <v>45687</v>
      </c>
      <c r="J763" s="8">
        <f t="shared" si="340"/>
        <v>6</v>
      </c>
      <c r="K763" s="8" t="str">
        <f t="shared" si="350"/>
        <v>OK</v>
      </c>
      <c r="L763" t="s">
        <v>2661</v>
      </c>
      <c r="M763" t="s">
        <v>71</v>
      </c>
      <c r="N763" t="str">
        <f t="shared" si="341"/>
        <v>Ananya Rao</v>
      </c>
      <c r="O763" t="s">
        <v>107</v>
      </c>
      <c r="P763" t="str">
        <f t="shared" si="364"/>
        <v>Corporate</v>
      </c>
      <c r="Q763" t="s">
        <v>41</v>
      </c>
      <c r="R763" t="str">
        <f t="shared" si="367"/>
        <v>East</v>
      </c>
      <c r="S763" t="str">
        <f t="shared" si="351"/>
        <v>OK</v>
      </c>
      <c r="T763" t="s">
        <v>120</v>
      </c>
      <c r="U763" t="str">
        <f t="shared" si="342"/>
        <v>West Bengal</v>
      </c>
      <c r="V763" t="s">
        <v>121</v>
      </c>
      <c r="W763" t="str">
        <f t="shared" si="343"/>
        <v>Kolkata</v>
      </c>
      <c r="X763" t="str">
        <f t="shared" si="344"/>
        <v>Technology</v>
      </c>
      <c r="Y763" t="s">
        <v>85</v>
      </c>
      <c r="Z763" t="s">
        <v>93</v>
      </c>
      <c r="AA763" t="str">
        <f t="shared" si="345"/>
        <v>Copiers</v>
      </c>
      <c r="AB763" t="s">
        <v>2662</v>
      </c>
      <c r="AC763" t="s">
        <v>66</v>
      </c>
      <c r="AD763" t="str">
        <f t="shared" si="366"/>
        <v>Standard Class</v>
      </c>
      <c r="AE763" t="str">
        <f t="shared" si="352"/>
        <v>OK</v>
      </c>
      <c r="AF763">
        <v>8</v>
      </c>
      <c r="AG763">
        <v>312.52999999999997</v>
      </c>
      <c r="AH763" t="s">
        <v>680</v>
      </c>
      <c r="AI763">
        <f t="shared" si="353"/>
        <v>0.7</v>
      </c>
      <c r="AJ763" t="str">
        <f t="shared" si="354"/>
        <v>OK</v>
      </c>
      <c r="AK763">
        <v>1875.18</v>
      </c>
      <c r="AL763">
        <v>1579.17</v>
      </c>
      <c r="AM763">
        <v>296.01</v>
      </c>
      <c r="AN763" t="s">
        <v>33</v>
      </c>
      <c r="AO763" t="str">
        <f t="shared" si="346"/>
        <v>PAID</v>
      </c>
      <c r="AP763" t="str">
        <f t="shared" si="355"/>
        <v>OK</v>
      </c>
      <c r="AQ763" t="s">
        <v>34</v>
      </c>
      <c r="AR763" t="str">
        <f t="shared" si="347"/>
        <v>COMPLETED</v>
      </c>
      <c r="AS763" t="str">
        <f t="shared" si="356"/>
        <v>OK</v>
      </c>
      <c r="AT763">
        <f t="shared" si="357"/>
        <v>750.072</v>
      </c>
      <c r="AU763">
        <f t="shared" si="358"/>
        <v>-829.09800000000007</v>
      </c>
      <c r="AV763" s="6">
        <f t="shared" si="359"/>
        <v>4.5062767307671789</v>
      </c>
      <c r="AW763" t="str">
        <f t="shared" si="360"/>
        <v>CLEAN</v>
      </c>
      <c r="AX763" s="10" t="str">
        <f t="shared" si="361"/>
        <v>MISMATCH</v>
      </c>
      <c r="AY763" t="str">
        <f t="shared" si="362"/>
        <v>MISMATCH</v>
      </c>
    </row>
    <row r="764" spans="1:51">
      <c r="A764" t="s">
        <v>2663</v>
      </c>
      <c r="B764">
        <f t="shared" si="338"/>
        <v>1</v>
      </c>
      <c r="C764" t="s">
        <v>2664</v>
      </c>
      <c r="D764" s="3">
        <v>45772</v>
      </c>
      <c r="E764" t="str">
        <f t="shared" si="339"/>
        <v>2025/04/25</v>
      </c>
      <c r="F764" t="str">
        <f t="shared" si="348"/>
        <v>April</v>
      </c>
      <c r="G764">
        <f t="shared" si="349"/>
        <v>2025</v>
      </c>
      <c r="H764" t="s">
        <v>2665</v>
      </c>
      <c r="I764" s="4">
        <v>45775</v>
      </c>
      <c r="J764" s="8">
        <f t="shared" si="340"/>
        <v>3</v>
      </c>
      <c r="K764" s="8" t="str">
        <f t="shared" si="350"/>
        <v>OK</v>
      </c>
      <c r="L764" t="s">
        <v>2666</v>
      </c>
      <c r="M764" t="s">
        <v>161</v>
      </c>
      <c r="N764" t="str">
        <f t="shared" si="341"/>
        <v>Aarav Sharma</v>
      </c>
      <c r="O764" t="s">
        <v>40</v>
      </c>
      <c r="P764" t="str">
        <f t="shared" si="364"/>
        <v>Small Business</v>
      </c>
      <c r="Q764" t="s">
        <v>72</v>
      </c>
      <c r="R764" t="str">
        <f t="shared" si="367"/>
        <v>West</v>
      </c>
      <c r="S764" t="str">
        <f t="shared" si="351"/>
        <v>OK</v>
      </c>
      <c r="T764" t="s">
        <v>234</v>
      </c>
      <c r="U764" t="str">
        <f t="shared" si="342"/>
        <v>Gujarat</v>
      </c>
      <c r="V764" t="s">
        <v>235</v>
      </c>
      <c r="W764" t="str">
        <f t="shared" si="343"/>
        <v>Ahmedabad</v>
      </c>
      <c r="X764" t="str">
        <f t="shared" si="344"/>
        <v>Office Supplies</v>
      </c>
      <c r="Y764" t="s">
        <v>29</v>
      </c>
      <c r="Z764" t="s">
        <v>155</v>
      </c>
      <c r="AA764" t="str">
        <f t="shared" si="345"/>
        <v>Storage</v>
      </c>
      <c r="AB764" t="s">
        <v>2667</v>
      </c>
      <c r="AC764" t="s">
        <v>55</v>
      </c>
      <c r="AD764" t="str">
        <f t="shared" si="366"/>
        <v>First Class</v>
      </c>
      <c r="AE764" t="str">
        <f t="shared" si="352"/>
        <v>OK</v>
      </c>
      <c r="AF764">
        <v>9</v>
      </c>
      <c r="AG764">
        <v>1294.1099999999999</v>
      </c>
      <c r="AH764">
        <v>0.25</v>
      </c>
      <c r="AI764">
        <f t="shared" si="353"/>
        <v>0.25</v>
      </c>
      <c r="AJ764" t="str">
        <f t="shared" si="354"/>
        <v>OK</v>
      </c>
      <c r="AK764">
        <v>8735.24</v>
      </c>
      <c r="AL764">
        <v>6620.07</v>
      </c>
      <c r="AM764">
        <v>2115.17</v>
      </c>
      <c r="AN764" t="s">
        <v>33</v>
      </c>
      <c r="AO764" t="str">
        <f t="shared" si="346"/>
        <v>PAID</v>
      </c>
      <c r="AP764" t="str">
        <f t="shared" si="355"/>
        <v>OK</v>
      </c>
      <c r="AQ764" t="s">
        <v>34</v>
      </c>
      <c r="AR764" t="str">
        <f t="shared" si="347"/>
        <v>COMPLETED</v>
      </c>
      <c r="AS764" t="str">
        <f t="shared" si="356"/>
        <v>OK</v>
      </c>
      <c r="AT764">
        <f t="shared" si="357"/>
        <v>8735.2425000000003</v>
      </c>
      <c r="AU764">
        <f t="shared" si="358"/>
        <v>2115.1725000000006</v>
      </c>
      <c r="AV764" s="6">
        <f t="shared" si="359"/>
        <v>6.7851579392329414E-2</v>
      </c>
      <c r="AW764" t="str">
        <f t="shared" si="360"/>
        <v>CLEAN</v>
      </c>
      <c r="AX764" s="10" t="str">
        <f t="shared" si="361"/>
        <v>MATCH</v>
      </c>
      <c r="AY764" t="str">
        <f t="shared" si="362"/>
        <v>MATCH</v>
      </c>
    </row>
    <row r="765" spans="1:51">
      <c r="A765" t="s">
        <v>2673</v>
      </c>
      <c r="B765">
        <f t="shared" si="338"/>
        <v>1</v>
      </c>
      <c r="C765" t="s">
        <v>881</v>
      </c>
      <c r="D765" s="3">
        <v>45692</v>
      </c>
      <c r="E765" t="str">
        <f t="shared" si="339"/>
        <v>2025/02/04</v>
      </c>
      <c r="F765" t="str">
        <f t="shared" si="348"/>
        <v>February</v>
      </c>
      <c r="G765">
        <f t="shared" si="349"/>
        <v>2025</v>
      </c>
      <c r="H765" t="s">
        <v>2674</v>
      </c>
      <c r="I765" s="4">
        <v>45698</v>
      </c>
      <c r="J765" s="8">
        <f t="shared" si="340"/>
        <v>6</v>
      </c>
      <c r="K765" s="8" t="str">
        <f t="shared" si="350"/>
        <v>OK</v>
      </c>
      <c r="L765" t="s">
        <v>2675</v>
      </c>
      <c r="M765" t="s">
        <v>71</v>
      </c>
      <c r="N765" t="str">
        <f t="shared" si="341"/>
        <v>Ananya Rao</v>
      </c>
      <c r="O765" t="s">
        <v>40</v>
      </c>
      <c r="P765" t="str">
        <f t="shared" si="364"/>
        <v>Small Business</v>
      </c>
      <c r="Q765" t="s">
        <v>61</v>
      </c>
      <c r="R765" t="str">
        <f t="shared" si="367"/>
        <v>South</v>
      </c>
      <c r="S765" t="str">
        <f t="shared" si="351"/>
        <v>OK</v>
      </c>
      <c r="T765" t="s">
        <v>62</v>
      </c>
      <c r="U765" t="str">
        <f t="shared" si="342"/>
        <v>Telangana</v>
      </c>
      <c r="V765" t="s">
        <v>63</v>
      </c>
      <c r="W765" t="str">
        <f t="shared" si="343"/>
        <v>Hyderabad</v>
      </c>
      <c r="X765" t="str">
        <f t="shared" si="344"/>
        <v>Office Supplies</v>
      </c>
      <c r="Y765" t="s">
        <v>29</v>
      </c>
      <c r="Z765" t="s">
        <v>155</v>
      </c>
      <c r="AA765" t="str">
        <f t="shared" si="345"/>
        <v>Storage</v>
      </c>
      <c r="AB765" t="s">
        <v>2676</v>
      </c>
      <c r="AC765" t="s">
        <v>66</v>
      </c>
      <c r="AD765" t="str">
        <f t="shared" si="366"/>
        <v>Standard Class</v>
      </c>
      <c r="AE765" t="str">
        <f t="shared" si="352"/>
        <v>OK</v>
      </c>
      <c r="AF765">
        <v>6</v>
      </c>
      <c r="AG765">
        <v>1042.8</v>
      </c>
      <c r="AH765">
        <v>0.05</v>
      </c>
      <c r="AI765">
        <f t="shared" si="353"/>
        <v>0.05</v>
      </c>
      <c r="AJ765" t="str">
        <f t="shared" si="354"/>
        <v>OK</v>
      </c>
      <c r="AK765">
        <v>5943.96</v>
      </c>
      <c r="AL765">
        <v>3604.14</v>
      </c>
      <c r="AM765">
        <v>2339.8200000000002</v>
      </c>
      <c r="AN765" t="s">
        <v>33</v>
      </c>
      <c r="AO765" t="str">
        <f t="shared" si="346"/>
        <v>PAID</v>
      </c>
      <c r="AP765" t="str">
        <f t="shared" si="355"/>
        <v>OK</v>
      </c>
      <c r="AQ765" t="s">
        <v>34</v>
      </c>
      <c r="AR765" t="str">
        <f t="shared" si="347"/>
        <v>COMPLETED</v>
      </c>
      <c r="AS765" t="str">
        <f t="shared" si="356"/>
        <v>OK</v>
      </c>
      <c r="AT765">
        <f t="shared" si="357"/>
        <v>5943.9599999999991</v>
      </c>
      <c r="AU765">
        <f t="shared" si="358"/>
        <v>2339.8199999999993</v>
      </c>
      <c r="AV765" s="6">
        <f t="shared" si="359"/>
        <v>0.3340416153540739</v>
      </c>
      <c r="AW765" t="str">
        <f t="shared" si="360"/>
        <v>CLEAN</v>
      </c>
      <c r="AX765" s="10" t="str">
        <f t="shared" si="361"/>
        <v>MATCH</v>
      </c>
      <c r="AY765" t="str">
        <f t="shared" si="362"/>
        <v>MATCH</v>
      </c>
    </row>
    <row r="766" spans="1:51">
      <c r="A766" t="s">
        <v>2685</v>
      </c>
      <c r="B766">
        <f t="shared" si="338"/>
        <v>1</v>
      </c>
      <c r="C766" t="s">
        <v>2686</v>
      </c>
      <c r="D766" s="3">
        <v>45756</v>
      </c>
      <c r="E766" t="str">
        <f t="shared" si="339"/>
        <v>2025/04/09</v>
      </c>
      <c r="F766" t="str">
        <f t="shared" si="348"/>
        <v>April</v>
      </c>
      <c r="G766">
        <f t="shared" si="349"/>
        <v>2025</v>
      </c>
      <c r="H766" t="s">
        <v>2687</v>
      </c>
      <c r="I766" s="4">
        <v>45904</v>
      </c>
      <c r="J766" s="8">
        <f t="shared" si="340"/>
        <v>148</v>
      </c>
      <c r="K766" s="8" t="str">
        <f t="shared" si="350"/>
        <v>OK</v>
      </c>
      <c r="L766" t="s">
        <v>2688</v>
      </c>
      <c r="M766" t="s">
        <v>106</v>
      </c>
      <c r="N766" t="str">
        <f t="shared" si="341"/>
        <v>Aditi Sen</v>
      </c>
      <c r="O766" t="s">
        <v>107</v>
      </c>
      <c r="P766" t="str">
        <f t="shared" si="364"/>
        <v>Corporate</v>
      </c>
      <c r="Q766" t="s">
        <v>26</v>
      </c>
      <c r="R766" t="str">
        <f t="shared" si="367"/>
        <v>North</v>
      </c>
      <c r="S766" t="str">
        <f t="shared" si="351"/>
        <v>OK</v>
      </c>
      <c r="T766" t="s">
        <v>153</v>
      </c>
      <c r="U766" t="str">
        <f t="shared" si="342"/>
        <v>Punjab</v>
      </c>
      <c r="V766" t="s">
        <v>154</v>
      </c>
      <c r="W766" t="str">
        <f t="shared" si="343"/>
        <v>Ludhiana</v>
      </c>
      <c r="X766" t="str">
        <f t="shared" si="344"/>
        <v>Technology</v>
      </c>
      <c r="Y766" t="s">
        <v>85</v>
      </c>
      <c r="Z766" t="s">
        <v>381</v>
      </c>
      <c r="AA766" t="str">
        <f t="shared" si="345"/>
        <v>Machines</v>
      </c>
      <c r="AB766" t="s">
        <v>2689</v>
      </c>
      <c r="AC766" t="s">
        <v>55</v>
      </c>
      <c r="AD766" t="str">
        <f t="shared" si="366"/>
        <v>First Class</v>
      </c>
      <c r="AE766" t="str">
        <f t="shared" si="352"/>
        <v>OK</v>
      </c>
      <c r="AF766">
        <v>8</v>
      </c>
      <c r="AG766">
        <v>3079.95</v>
      </c>
      <c r="AH766">
        <v>0.2</v>
      </c>
      <c r="AI766">
        <f t="shared" si="353"/>
        <v>0.2</v>
      </c>
      <c r="AJ766" t="str">
        <f t="shared" si="354"/>
        <v>OK</v>
      </c>
      <c r="AK766">
        <v>19711.68</v>
      </c>
      <c r="AL766">
        <v>14461.8</v>
      </c>
      <c r="AM766">
        <v>5249.88</v>
      </c>
      <c r="AN766" t="s">
        <v>33</v>
      </c>
      <c r="AO766" t="str">
        <f t="shared" si="346"/>
        <v>PAID</v>
      </c>
      <c r="AP766" t="str">
        <f t="shared" si="355"/>
        <v>OK</v>
      </c>
      <c r="AQ766" t="s">
        <v>34</v>
      </c>
      <c r="AR766" t="str">
        <f t="shared" si="347"/>
        <v>COMPLETED</v>
      </c>
      <c r="AS766" t="str">
        <f t="shared" si="356"/>
        <v>OK</v>
      </c>
      <c r="AT766">
        <f t="shared" si="357"/>
        <v>19711.68</v>
      </c>
      <c r="AU766">
        <f t="shared" si="358"/>
        <v>5249.880000000001</v>
      </c>
      <c r="AV766" s="6">
        <f t="shared" si="359"/>
        <v>0.4266513052159937</v>
      </c>
      <c r="AW766" t="str">
        <f t="shared" si="360"/>
        <v>CLEAN</v>
      </c>
      <c r="AX766" s="10" t="str">
        <f t="shared" si="361"/>
        <v>MATCH</v>
      </c>
      <c r="AY766" t="str">
        <f t="shared" si="362"/>
        <v>MATCH</v>
      </c>
    </row>
    <row r="767" spans="1:51">
      <c r="A767" t="s">
        <v>2690</v>
      </c>
      <c r="B767">
        <f t="shared" si="338"/>
        <v>1</v>
      </c>
      <c r="C767" t="s">
        <v>2256</v>
      </c>
      <c r="D767" s="2">
        <v>45930</v>
      </c>
      <c r="E767" t="str">
        <f t="shared" si="339"/>
        <v>2025/09/30</v>
      </c>
      <c r="F767" t="str">
        <f t="shared" si="348"/>
        <v>September</v>
      </c>
      <c r="G767">
        <f t="shared" si="349"/>
        <v>2025</v>
      </c>
      <c r="H767" t="s">
        <v>2691</v>
      </c>
      <c r="I767" s="4">
        <v>45937</v>
      </c>
      <c r="J767" s="8">
        <f t="shared" si="340"/>
        <v>7</v>
      </c>
      <c r="K767" s="8" t="str">
        <f t="shared" si="350"/>
        <v>OK</v>
      </c>
      <c r="L767" t="s">
        <v>2692</v>
      </c>
      <c r="M767" t="s">
        <v>209</v>
      </c>
      <c r="N767" t="str">
        <f t="shared" si="341"/>
        <v>Diya Patel</v>
      </c>
      <c r="O767" t="s">
        <v>107</v>
      </c>
      <c r="P767" t="str">
        <f t="shared" si="364"/>
        <v>Corporate</v>
      </c>
      <c r="Q767" t="s">
        <v>41</v>
      </c>
      <c r="R767" t="str">
        <f t="shared" si="367"/>
        <v>East</v>
      </c>
      <c r="S767" t="str">
        <f t="shared" si="351"/>
        <v>OK</v>
      </c>
      <c r="T767" t="s">
        <v>185</v>
      </c>
      <c r="U767" t="str">
        <f t="shared" si="342"/>
        <v>Bihar</v>
      </c>
      <c r="V767" t="s">
        <v>186</v>
      </c>
      <c r="W767" t="str">
        <f t="shared" si="343"/>
        <v>Patna</v>
      </c>
      <c r="X767" t="str">
        <f t="shared" si="344"/>
        <v>Technology</v>
      </c>
      <c r="Y767" t="s">
        <v>85</v>
      </c>
      <c r="Z767" t="s">
        <v>93</v>
      </c>
      <c r="AA767" t="str">
        <f t="shared" si="345"/>
        <v>Copiers</v>
      </c>
      <c r="AB767" t="s">
        <v>2693</v>
      </c>
      <c r="AC767" t="s">
        <v>32</v>
      </c>
      <c r="AD767" t="str">
        <f t="shared" si="366"/>
        <v>Second Class</v>
      </c>
      <c r="AE767" t="str">
        <f t="shared" si="352"/>
        <v>OK</v>
      </c>
      <c r="AF767">
        <v>5</v>
      </c>
      <c r="AG767">
        <v>3277.82</v>
      </c>
      <c r="AH767">
        <v>0.1</v>
      </c>
      <c r="AI767">
        <f t="shared" si="353"/>
        <v>0.1</v>
      </c>
      <c r="AJ767" t="str">
        <f t="shared" si="354"/>
        <v>OK</v>
      </c>
      <c r="AK767">
        <v>14750.19</v>
      </c>
      <c r="AL767">
        <v>9482.58</v>
      </c>
      <c r="AM767">
        <v>5267.61</v>
      </c>
      <c r="AN767" t="s">
        <v>33</v>
      </c>
      <c r="AO767" t="str">
        <f t="shared" si="346"/>
        <v>PAID</v>
      </c>
      <c r="AP767" t="str">
        <f t="shared" si="355"/>
        <v>OK</v>
      </c>
      <c r="AQ767" t="s">
        <v>124</v>
      </c>
      <c r="AR767" t="str">
        <f t="shared" si="347"/>
        <v>RETURNED</v>
      </c>
      <c r="AS767" t="str">
        <f t="shared" si="356"/>
        <v>RETURNED_ORDER</v>
      </c>
      <c r="AT767">
        <f t="shared" si="357"/>
        <v>14750.190000000002</v>
      </c>
      <c r="AU767">
        <f t="shared" si="358"/>
        <v>5267.6100000000024</v>
      </c>
      <c r="AV767" s="6">
        <f t="shared" si="359"/>
        <v>9.3264561337853907E-2</v>
      </c>
      <c r="AW767" t="str">
        <f t="shared" si="360"/>
        <v>CLEAN</v>
      </c>
      <c r="AX767" s="10" t="str">
        <f t="shared" si="361"/>
        <v>MATCH</v>
      </c>
      <c r="AY767" t="str">
        <f t="shared" si="362"/>
        <v>MATCH</v>
      </c>
    </row>
    <row r="768" spans="1:51">
      <c r="A768" t="s">
        <v>2698</v>
      </c>
      <c r="B768">
        <f t="shared" si="338"/>
        <v>1</v>
      </c>
      <c r="C768" t="s">
        <v>761</v>
      </c>
      <c r="D768" s="3">
        <v>45852</v>
      </c>
      <c r="E768" t="str">
        <f t="shared" si="339"/>
        <v>2025/07/14</v>
      </c>
      <c r="F768" t="str">
        <f t="shared" si="348"/>
        <v>July</v>
      </c>
      <c r="G768">
        <f t="shared" si="349"/>
        <v>2025</v>
      </c>
      <c r="H768" t="s">
        <v>2699</v>
      </c>
      <c r="I768" s="4">
        <v>45856</v>
      </c>
      <c r="J768" s="8">
        <f t="shared" si="340"/>
        <v>4</v>
      </c>
      <c r="K768" s="8" t="str">
        <f t="shared" si="350"/>
        <v>OK</v>
      </c>
      <c r="L768" t="s">
        <v>2700</v>
      </c>
      <c r="M768" t="s">
        <v>106</v>
      </c>
      <c r="N768" t="str">
        <f t="shared" si="341"/>
        <v>Aditi Sen</v>
      </c>
      <c r="O768" t="s">
        <v>25</v>
      </c>
      <c r="P768" t="str">
        <f t="shared" si="364"/>
        <v>Consumer</v>
      </c>
      <c r="Q768" t="s">
        <v>26</v>
      </c>
      <c r="R768" t="str">
        <f t="shared" si="367"/>
        <v>North</v>
      </c>
      <c r="S768" t="str">
        <f t="shared" si="351"/>
        <v>OK</v>
      </c>
      <c r="T768" t="s">
        <v>153</v>
      </c>
      <c r="U768" t="str">
        <f t="shared" si="342"/>
        <v>Punjab</v>
      </c>
      <c r="V768" t="s">
        <v>154</v>
      </c>
      <c r="W768" t="str">
        <f t="shared" si="343"/>
        <v>Ludhiana</v>
      </c>
      <c r="X768" t="str">
        <f t="shared" si="344"/>
        <v>Technology</v>
      </c>
      <c r="Y768" t="s">
        <v>85</v>
      </c>
      <c r="Z768" t="s">
        <v>93</v>
      </c>
      <c r="AA768" t="str">
        <f t="shared" si="345"/>
        <v>Copiers</v>
      </c>
      <c r="AB768" t="s">
        <v>2701</v>
      </c>
      <c r="AC768" t="s">
        <v>55</v>
      </c>
      <c r="AD768" t="str">
        <f t="shared" si="366"/>
        <v>First Class</v>
      </c>
      <c r="AE768" t="str">
        <f t="shared" si="352"/>
        <v>OK</v>
      </c>
      <c r="AF768">
        <v>4</v>
      </c>
      <c r="AG768">
        <v>725.22</v>
      </c>
      <c r="AH768">
        <v>0</v>
      </c>
      <c r="AI768">
        <f t="shared" si="353"/>
        <v>0</v>
      </c>
      <c r="AJ768" t="str">
        <f t="shared" si="354"/>
        <v>OK</v>
      </c>
      <c r="AK768">
        <v>2900.88</v>
      </c>
      <c r="AL768">
        <v>2391.85</v>
      </c>
      <c r="AM768">
        <v>509.03</v>
      </c>
      <c r="AN768" t="s">
        <v>136</v>
      </c>
      <c r="AO768" t="str">
        <f t="shared" si="346"/>
        <v>PENDING</v>
      </c>
      <c r="AP768" t="str">
        <f t="shared" si="355"/>
        <v>OK</v>
      </c>
      <c r="AQ768" t="s">
        <v>124</v>
      </c>
      <c r="AR768" t="str">
        <f t="shared" si="347"/>
        <v>RETURNED</v>
      </c>
      <c r="AS768" t="str">
        <f t="shared" si="356"/>
        <v>RETURNED_ORDER</v>
      </c>
      <c r="AT768">
        <f t="shared" si="357"/>
        <v>2900.88</v>
      </c>
      <c r="AU768">
        <f t="shared" si="358"/>
        <v>509.0300000000002</v>
      </c>
      <c r="AV768" s="6">
        <f t="shared" si="359"/>
        <v>-1.7884374741457763</v>
      </c>
      <c r="AW768" t="str">
        <f t="shared" si="360"/>
        <v>CLEAN</v>
      </c>
      <c r="AX768" s="10" t="str">
        <f t="shared" si="361"/>
        <v>MATCH</v>
      </c>
      <c r="AY768" t="str">
        <f t="shared" si="362"/>
        <v>MATCH</v>
      </c>
    </row>
    <row r="769" spans="1:51">
      <c r="A769" t="s">
        <v>2714</v>
      </c>
      <c r="B769">
        <f t="shared" si="338"/>
        <v>1</v>
      </c>
      <c r="C769" t="s">
        <v>2715</v>
      </c>
      <c r="D769" s="2">
        <v>45846</v>
      </c>
      <c r="E769" t="str">
        <f t="shared" si="339"/>
        <v>2025/07/08</v>
      </c>
      <c r="F769" t="str">
        <f t="shared" si="348"/>
        <v>July</v>
      </c>
      <c r="G769">
        <f t="shared" si="349"/>
        <v>2025</v>
      </c>
      <c r="H769" t="s">
        <v>239</v>
      </c>
      <c r="I769" s="4">
        <v>45882</v>
      </c>
      <c r="J769" s="8">
        <f t="shared" si="340"/>
        <v>36</v>
      </c>
      <c r="K769" s="8" t="str">
        <f t="shared" si="350"/>
        <v>OK</v>
      </c>
      <c r="L769" t="s">
        <v>2716</v>
      </c>
      <c r="M769" t="s">
        <v>39</v>
      </c>
      <c r="N769" t="str">
        <f t="shared" si="341"/>
        <v>Mira Das</v>
      </c>
      <c r="O769" t="s">
        <v>107</v>
      </c>
      <c r="P769" t="str">
        <f t="shared" si="364"/>
        <v>Corporate</v>
      </c>
      <c r="Q769" t="s">
        <v>26</v>
      </c>
      <c r="R769" t="str">
        <f t="shared" si="367"/>
        <v>North</v>
      </c>
      <c r="S769" t="str">
        <f t="shared" si="351"/>
        <v>OK</v>
      </c>
      <c r="T769" t="s">
        <v>505</v>
      </c>
      <c r="U769" t="str">
        <f t="shared" si="342"/>
        <v>Delhi</v>
      </c>
      <c r="V769" t="s">
        <v>506</v>
      </c>
      <c r="W769" t="str">
        <f t="shared" si="343"/>
        <v>New Delhi</v>
      </c>
      <c r="X769" t="str">
        <f t="shared" si="344"/>
        <v>Technology</v>
      </c>
      <c r="Y769" t="s">
        <v>85</v>
      </c>
      <c r="Z769" t="s">
        <v>222</v>
      </c>
      <c r="AA769" t="str">
        <f t="shared" si="345"/>
        <v>Phones</v>
      </c>
      <c r="AB769" t="s">
        <v>2717</v>
      </c>
      <c r="AC769" t="s">
        <v>66</v>
      </c>
      <c r="AD769" t="str">
        <f t="shared" si="366"/>
        <v>Standard Class</v>
      </c>
      <c r="AE769" t="str">
        <f t="shared" si="352"/>
        <v>OK</v>
      </c>
      <c r="AF769">
        <v>6</v>
      </c>
      <c r="AG769">
        <v>1921.86</v>
      </c>
      <c r="AH769">
        <v>0.2</v>
      </c>
      <c r="AI769">
        <f t="shared" si="353"/>
        <v>0.2</v>
      </c>
      <c r="AJ769" t="str">
        <f t="shared" si="354"/>
        <v>OK</v>
      </c>
      <c r="AK769">
        <v>9224.93</v>
      </c>
      <c r="AL769">
        <v>7005.2</v>
      </c>
      <c r="AM769">
        <v>2219.73</v>
      </c>
      <c r="AN769" t="s">
        <v>123</v>
      </c>
      <c r="AO769" t="str">
        <f t="shared" si="346"/>
        <v>REFUNDED</v>
      </c>
      <c r="AP769" t="str">
        <f t="shared" si="355"/>
        <v>REFUNDED_PAYMENT</v>
      </c>
      <c r="AQ769" t="s">
        <v>77</v>
      </c>
      <c r="AR769" t="str">
        <f t="shared" si="347"/>
        <v>CANCELLED</v>
      </c>
      <c r="AS769" t="str">
        <f t="shared" si="356"/>
        <v>EXCLUDE_FROM_SALES</v>
      </c>
      <c r="AT769">
        <f t="shared" si="357"/>
        <v>9224.9279999999999</v>
      </c>
      <c r="AU769">
        <f t="shared" si="358"/>
        <v>2219.7280000000001</v>
      </c>
      <c r="AV769" s="6">
        <f t="shared" si="359"/>
        <v>0.27267665395328838</v>
      </c>
      <c r="AW769" t="str">
        <f t="shared" si="360"/>
        <v>CLEAN</v>
      </c>
      <c r="AX769" s="10" t="str">
        <f t="shared" si="361"/>
        <v>MATCH</v>
      </c>
      <c r="AY769" t="str">
        <f t="shared" si="362"/>
        <v>MATCH</v>
      </c>
    </row>
    <row r="770" spans="1:51">
      <c r="A770" t="s">
        <v>2730</v>
      </c>
      <c r="B770">
        <f t="shared" ref="B770:B833" si="368">COUNTIF($A:$A,A770)</f>
        <v>1</v>
      </c>
      <c r="C770" t="s">
        <v>2731</v>
      </c>
      <c r="D770" s="3">
        <v>45878</v>
      </c>
      <c r="E770" t="str">
        <f t="shared" ref="E770:E833" si="369">IFERROR(
TEXT(
  IF(ISNUMBER(SEARCH("/",D770)),
     DATE(RIGHT(D770,4),LEFT(D770,FIND("/",D770)-1),
          MID(D770,FIND("/",D770)+1,FIND("/",D770,FIND("/",D770)+1)-FIND("/",D770)-1)),
     IF(ISNUMBER(SEARCH("-",D770)),
        DATEVALUE(SUBSTITUTE(D770,"-","/")),
        DATEVALUE(TEXT(D770,"dd mmm yyyy"))
     )
  ),
"yyyy/mm/dd"
),
"")</f>
        <v>2025/08/09</v>
      </c>
      <c r="F770" t="str">
        <f t="shared" si="348"/>
        <v>August</v>
      </c>
      <c r="G770">
        <f t="shared" si="349"/>
        <v>2025</v>
      </c>
      <c r="H770" t="s">
        <v>2732</v>
      </c>
      <c r="I770" s="4">
        <v>45910</v>
      </c>
      <c r="J770" s="8">
        <f t="shared" ref="J770:J833" si="370">I770-E770</f>
        <v>32</v>
      </c>
      <c r="K770" s="8" t="str">
        <f t="shared" si="350"/>
        <v>OK</v>
      </c>
      <c r="L770" t="s">
        <v>2733</v>
      </c>
      <c r="M770" t="s">
        <v>147</v>
      </c>
      <c r="N770" t="str">
        <f t="shared" ref="N770:N833" si="371">PROPER(TRIM(SUBSTITUTE(M770,CHAR(160)," ")))</f>
        <v>Rahul Verma</v>
      </c>
      <c r="O770" t="s">
        <v>114</v>
      </c>
      <c r="P770" t="str">
        <f t="shared" si="364"/>
        <v>Home Office</v>
      </c>
      <c r="Q770" t="s">
        <v>72</v>
      </c>
      <c r="R770" t="str">
        <f t="shared" si="367"/>
        <v>West</v>
      </c>
      <c r="S770" t="str">
        <f t="shared" si="351"/>
        <v>OK</v>
      </c>
      <c r="T770" t="s">
        <v>73</v>
      </c>
      <c r="U770" t="str">
        <f t="shared" ref="U770:U833" si="372">PROPER(TRIM(SUBSTITUTE(T770,CHAR(160)," ")))</f>
        <v>Maharashtra</v>
      </c>
      <c r="V770" t="s">
        <v>74</v>
      </c>
      <c r="W770" t="str">
        <f t="shared" ref="W770:W833" si="373">PROPER(TRIM(SUBSTITUTE(V770,CHAR(160)," ")))</f>
        <v>Mumbai</v>
      </c>
      <c r="X770" t="str">
        <f t="shared" ref="X770:X833" si="374">PROPER(TRIM(SUBSTITUTE(Y770,CHAR(160)," ")))</f>
        <v>Furniture</v>
      </c>
      <c r="Y770" t="s">
        <v>44</v>
      </c>
      <c r="Z770" t="s">
        <v>64</v>
      </c>
      <c r="AA770" t="str">
        <f t="shared" ref="AA770:AA833" si="375">PROPER(TRIM(SUBSTITUTE(Z770,CHAR(160)," ")))</f>
        <v>Furnishings</v>
      </c>
      <c r="AB770" t="s">
        <v>2734</v>
      </c>
      <c r="AC770" t="s">
        <v>66</v>
      </c>
      <c r="AD770" t="str">
        <f t="shared" si="366"/>
        <v>Standard Class</v>
      </c>
      <c r="AE770" t="str">
        <f t="shared" si="352"/>
        <v>OK</v>
      </c>
      <c r="AF770">
        <v>6</v>
      </c>
      <c r="AG770">
        <v>3251.17</v>
      </c>
      <c r="AH770">
        <v>0.25</v>
      </c>
      <c r="AI770">
        <f t="shared" si="353"/>
        <v>0.25</v>
      </c>
      <c r="AJ770" t="str">
        <f t="shared" si="354"/>
        <v>OK</v>
      </c>
      <c r="AK770">
        <v>14630.26</v>
      </c>
      <c r="AL770">
        <v>11906.36</v>
      </c>
      <c r="AM770">
        <v>2723.9</v>
      </c>
      <c r="AN770" t="s">
        <v>123</v>
      </c>
      <c r="AO770" t="str">
        <f t="shared" ref="AO770:AO833" si="376">UPPER(TRIM(SUBSTITUTE(AN770,CHAR(160)," ")))</f>
        <v>REFUNDED</v>
      </c>
      <c r="AP770" t="str">
        <f t="shared" si="355"/>
        <v>REFUNDED_PAYMENT</v>
      </c>
      <c r="AQ770" t="s">
        <v>124</v>
      </c>
      <c r="AR770" t="str">
        <f t="shared" ref="AR770:AR833" si="377">UPPER(TRIM(SUBSTITUTE(AQ770,CHAR(160)," ")))</f>
        <v>RETURNED</v>
      </c>
      <c r="AS770" t="str">
        <f t="shared" si="356"/>
        <v>RETURNED_ORDER</v>
      </c>
      <c r="AT770">
        <f t="shared" si="357"/>
        <v>14630.264999999999</v>
      </c>
      <c r="AU770">
        <f t="shared" si="358"/>
        <v>2723.9049999999988</v>
      </c>
      <c r="AV770" s="6">
        <f t="shared" si="359"/>
        <v>8.1701698499651185E-2</v>
      </c>
      <c r="AW770" t="str">
        <f t="shared" si="360"/>
        <v>CLEAN</v>
      </c>
      <c r="AX770" s="10" t="str">
        <f t="shared" si="361"/>
        <v>MISMATCH</v>
      </c>
      <c r="AY770" t="str">
        <f t="shared" si="362"/>
        <v>MISMATCH</v>
      </c>
    </row>
    <row r="771" spans="1:51">
      <c r="A771" t="s">
        <v>2735</v>
      </c>
      <c r="B771">
        <f t="shared" si="368"/>
        <v>1</v>
      </c>
      <c r="C771" t="s">
        <v>920</v>
      </c>
      <c r="D771" s="3">
        <v>45887</v>
      </c>
      <c r="E771" t="str">
        <f t="shared" si="369"/>
        <v>2025/08/18</v>
      </c>
      <c r="F771" t="str">
        <f t="shared" ref="F771:F834" si="378">TEXT(E771,"MMMM")</f>
        <v>August</v>
      </c>
      <c r="G771">
        <f t="shared" ref="G771:G834" si="379">YEAR(E771)</f>
        <v>2025</v>
      </c>
      <c r="H771" t="s">
        <v>697</v>
      </c>
      <c r="I771" s="4">
        <v>45891</v>
      </c>
      <c r="J771" s="8">
        <f t="shared" si="370"/>
        <v>4</v>
      </c>
      <c r="K771" s="8" t="str">
        <f t="shared" ref="K771:K834" si="380">IF(J771&lt;0,"INVAILD_SHIPPING","OK")</f>
        <v>OK</v>
      </c>
      <c r="L771" t="s">
        <v>2736</v>
      </c>
      <c r="M771" t="s">
        <v>60</v>
      </c>
      <c r="N771" t="str">
        <f t="shared" si="371"/>
        <v>Arjun Bose</v>
      </c>
      <c r="O771" t="s">
        <v>25</v>
      </c>
      <c r="P771" t="str">
        <f t="shared" si="364"/>
        <v>Consumer</v>
      </c>
      <c r="Q771" t="s">
        <v>41</v>
      </c>
      <c r="R771" t="str">
        <f t="shared" si="367"/>
        <v>East</v>
      </c>
      <c r="S771" t="str">
        <f t="shared" ref="S771:S834" si="381">IF(R771="Unknown","MISSING_REGION","OK")</f>
        <v>OK</v>
      </c>
      <c r="T771" t="s">
        <v>310</v>
      </c>
      <c r="U771" t="str">
        <f t="shared" si="372"/>
        <v>Jharkhand</v>
      </c>
      <c r="V771" t="s">
        <v>311</v>
      </c>
      <c r="W771" t="str">
        <f t="shared" si="373"/>
        <v>Ranchi</v>
      </c>
      <c r="X771" t="str">
        <f t="shared" si="374"/>
        <v>Furniture</v>
      </c>
      <c r="Y771" t="s">
        <v>44</v>
      </c>
      <c r="Z771" t="s">
        <v>64</v>
      </c>
      <c r="AA771" t="str">
        <f t="shared" si="375"/>
        <v>Furnishings</v>
      </c>
      <c r="AB771" t="s">
        <v>2737</v>
      </c>
      <c r="AC771" t="s">
        <v>32</v>
      </c>
      <c r="AD771" t="str">
        <f t="shared" si="366"/>
        <v>Second Class</v>
      </c>
      <c r="AE771" t="str">
        <f t="shared" ref="AE771:AE834" si="382">IF(AD771="Unknown","MISSING_SHIP_MODE","OK")</f>
        <v>OK</v>
      </c>
      <c r="AF771">
        <v>3</v>
      </c>
      <c r="AG771">
        <v>3946.44</v>
      </c>
      <c r="AH771">
        <v>0.25</v>
      </c>
      <c r="AI771">
        <f t="shared" ref="AI771:AI834" si="383">IF(RIGHT(AH771,1)="%",VALUE(SUBSTITUTE(AH771,"%",""))/100,AH771)</f>
        <v>0.25</v>
      </c>
      <c r="AJ771" t="str">
        <f t="shared" ref="AJ771:AJ834" si="384">IF(AH771="","Missing Discount",
IF(AH771&lt;0,"Invalid Negative Discount",
"OK"))</f>
        <v>OK</v>
      </c>
      <c r="AK771">
        <v>8879.49</v>
      </c>
      <c r="AL771">
        <v>6344.57</v>
      </c>
      <c r="AM771">
        <v>2534.92</v>
      </c>
      <c r="AN771" t="s">
        <v>199</v>
      </c>
      <c r="AO771" t="str">
        <f t="shared" si="376"/>
        <v>FAILED</v>
      </c>
      <c r="AP771" t="str">
        <f t="shared" ref="AP771:AP834" si="385">IF(AO771="Failed","EXCLUDE_FROM_SALES",
IF(AO771="Refunded","REFUNDED_PAYMENT",
"OK"))</f>
        <v>EXCLUDE_FROM_SALES</v>
      </c>
      <c r="AQ771" t="s">
        <v>124</v>
      </c>
      <c r="AR771" t="str">
        <f t="shared" si="377"/>
        <v>RETURNED</v>
      </c>
      <c r="AS771" t="str">
        <f t="shared" ref="AS771:AS834" si="386">IF(AR771="Cancelled","EXCLUDE_FROM_SALES",
IF(AR771="Returned","RETURNED_ORDER",
"OK"))</f>
        <v>RETURNED_ORDER</v>
      </c>
      <c r="AT771">
        <f t="shared" ref="AT771:AT834" si="387">IF(AI771&lt;0,"INVAILD",AF771*AG771*(1-AI771))</f>
        <v>8879.49</v>
      </c>
      <c r="AU771">
        <f t="shared" ref="AU771:AU834" si="388">IF(AT771="INVAILD","INVAILD",AT771-AL771)</f>
        <v>2534.92</v>
      </c>
      <c r="AV771" s="6">
        <f t="shared" ref="AV771:AV834" si="389">IF(OR(AT771="INVALID",AU771="INVALID"),"",AU792/AT771)</f>
        <v>0.59653876517682836</v>
      </c>
      <c r="AW771" t="str">
        <f t="shared" ref="AW771:AW834" si="390">IF(OR(AJ771&lt;&gt;"OK",K771="INVALID_SHIPPING"),
"INVALID",
IF(OR(S771&lt;&gt;"OK",AE771&lt;&gt;"OK"),
"WARNING",
"CLEAN"))</f>
        <v>CLEAN</v>
      </c>
      <c r="AX771" s="10" t="str">
        <f t="shared" ref="AX771:AX834" si="391">IF(AT771="INVALID","INVALID",
IF(ROUND(AK771,2)=ROUND(AT771,2),"MATCH","MISMATCH"))</f>
        <v>MATCH</v>
      </c>
      <c r="AY771" t="str">
        <f t="shared" ref="AY771:AY834" si="392">IF(AU771="INVALID","INVALID",IF(ROUND(AM771,2)=ROUND(AU771,2),"MATCH","MISMATCH"))</f>
        <v>MATCH</v>
      </c>
    </row>
    <row r="772" spans="1:51">
      <c r="A772" t="s">
        <v>2738</v>
      </c>
      <c r="B772">
        <f t="shared" si="368"/>
        <v>2</v>
      </c>
      <c r="C772" t="s">
        <v>2674</v>
      </c>
      <c r="D772" s="2">
        <v>45932</v>
      </c>
      <c r="E772" t="str">
        <f t="shared" si="369"/>
        <v>2025/10/02</v>
      </c>
      <c r="F772" t="str">
        <f t="shared" si="378"/>
        <v>October</v>
      </c>
      <c r="G772">
        <f t="shared" si="379"/>
        <v>2025</v>
      </c>
      <c r="H772" t="s">
        <v>2739</v>
      </c>
      <c r="I772" s="4">
        <v>45702</v>
      </c>
      <c r="J772" s="8">
        <f t="shared" si="370"/>
        <v>-230</v>
      </c>
      <c r="K772" s="8" t="str">
        <f t="shared" si="380"/>
        <v>INVAILD_SHIPPING</v>
      </c>
      <c r="L772" t="s">
        <v>2740</v>
      </c>
      <c r="M772" t="s">
        <v>141</v>
      </c>
      <c r="N772" t="str">
        <f t="shared" si="371"/>
        <v>Priya Menon</v>
      </c>
      <c r="O772" t="s">
        <v>40</v>
      </c>
      <c r="P772" t="str">
        <f t="shared" si="364"/>
        <v>Small Business</v>
      </c>
      <c r="Q772" t="s">
        <v>26</v>
      </c>
      <c r="R772" t="str">
        <f t="shared" si="367"/>
        <v>North</v>
      </c>
      <c r="S772" t="str">
        <f t="shared" si="381"/>
        <v>OK</v>
      </c>
      <c r="T772" t="s">
        <v>173</v>
      </c>
      <c r="U772" t="str">
        <f t="shared" si="372"/>
        <v>Uttar Pradesh</v>
      </c>
      <c r="V772" t="s">
        <v>174</v>
      </c>
      <c r="W772" t="str">
        <f t="shared" si="373"/>
        <v>Noida</v>
      </c>
      <c r="X772" t="str">
        <f t="shared" si="374"/>
        <v>Technology</v>
      </c>
      <c r="Y772" t="s">
        <v>85</v>
      </c>
      <c r="Z772" t="s">
        <v>222</v>
      </c>
      <c r="AA772" t="str">
        <f t="shared" si="375"/>
        <v>Phones</v>
      </c>
      <c r="AB772" t="s">
        <v>2741</v>
      </c>
      <c r="AD772" t="s">
        <v>4109</v>
      </c>
      <c r="AE772" t="str">
        <f t="shared" si="382"/>
        <v>MISSING_SHIP_MODE</v>
      </c>
      <c r="AF772">
        <v>5</v>
      </c>
      <c r="AG772">
        <v>4276.29</v>
      </c>
      <c r="AH772">
        <v>0</v>
      </c>
      <c r="AI772">
        <f t="shared" si="383"/>
        <v>0</v>
      </c>
      <c r="AJ772" t="str">
        <f t="shared" si="384"/>
        <v>OK</v>
      </c>
      <c r="AK772">
        <v>21381.45</v>
      </c>
      <c r="AL772">
        <v>13240.21</v>
      </c>
      <c r="AM772">
        <v>8141.24</v>
      </c>
      <c r="AN772" t="s">
        <v>199</v>
      </c>
      <c r="AO772" t="str">
        <f t="shared" si="376"/>
        <v>FAILED</v>
      </c>
      <c r="AP772" t="str">
        <f t="shared" si="385"/>
        <v>EXCLUDE_FROM_SALES</v>
      </c>
      <c r="AQ772" t="s">
        <v>124</v>
      </c>
      <c r="AR772" t="str">
        <f t="shared" si="377"/>
        <v>RETURNED</v>
      </c>
      <c r="AS772" t="str">
        <f t="shared" si="386"/>
        <v>RETURNED_ORDER</v>
      </c>
      <c r="AT772">
        <f t="shared" si="387"/>
        <v>21381.45</v>
      </c>
      <c r="AU772">
        <f t="shared" si="388"/>
        <v>8141.2400000000016</v>
      </c>
      <c r="AV772" s="6">
        <f t="shared" si="389"/>
        <v>3.7873296712804774E-2</v>
      </c>
      <c r="AW772" t="str">
        <f t="shared" si="390"/>
        <v>WARNING</v>
      </c>
      <c r="AX772" s="10" t="str">
        <f t="shared" si="391"/>
        <v>MATCH</v>
      </c>
      <c r="AY772" t="str">
        <f t="shared" si="392"/>
        <v>MATCH</v>
      </c>
    </row>
    <row r="773" spans="1:51">
      <c r="A773" t="s">
        <v>2738</v>
      </c>
      <c r="B773">
        <f t="shared" si="368"/>
        <v>2</v>
      </c>
      <c r="C773" t="s">
        <v>2674</v>
      </c>
      <c r="D773" s="2">
        <v>45932</v>
      </c>
      <c r="E773" t="str">
        <f t="shared" si="369"/>
        <v>2025/10/02</v>
      </c>
      <c r="F773" t="str">
        <f t="shared" si="378"/>
        <v>October</v>
      </c>
      <c r="G773">
        <f t="shared" si="379"/>
        <v>2025</v>
      </c>
      <c r="H773" t="s">
        <v>2739</v>
      </c>
      <c r="I773" s="4">
        <v>45702</v>
      </c>
      <c r="J773" s="8">
        <f t="shared" si="370"/>
        <v>-230</v>
      </c>
      <c r="K773" s="8" t="str">
        <f t="shared" si="380"/>
        <v>INVAILD_SHIPPING</v>
      </c>
      <c r="L773" t="s">
        <v>2740</v>
      </c>
      <c r="M773" t="s">
        <v>141</v>
      </c>
      <c r="N773" t="str">
        <f t="shared" si="371"/>
        <v>Priya Menon</v>
      </c>
      <c r="O773" t="s">
        <v>40</v>
      </c>
      <c r="P773" t="str">
        <f t="shared" si="364"/>
        <v>Small Business</v>
      </c>
      <c r="Q773" t="s">
        <v>26</v>
      </c>
      <c r="R773" t="str">
        <f t="shared" si="367"/>
        <v>North</v>
      </c>
      <c r="S773" t="str">
        <f t="shared" si="381"/>
        <v>OK</v>
      </c>
      <c r="T773" t="s">
        <v>173</v>
      </c>
      <c r="U773" t="str">
        <f t="shared" si="372"/>
        <v>Uttar Pradesh</v>
      </c>
      <c r="V773" t="s">
        <v>174</v>
      </c>
      <c r="W773" t="str">
        <f t="shared" si="373"/>
        <v>Noida</v>
      </c>
      <c r="X773" t="str">
        <f t="shared" si="374"/>
        <v>Technology</v>
      </c>
      <c r="Y773" t="s">
        <v>85</v>
      </c>
      <c r="Z773" t="s">
        <v>222</v>
      </c>
      <c r="AA773" t="str">
        <f t="shared" si="375"/>
        <v>Phones</v>
      </c>
      <c r="AB773" t="s">
        <v>2741</v>
      </c>
      <c r="AD773" t="s">
        <v>4109</v>
      </c>
      <c r="AE773" t="str">
        <f t="shared" si="382"/>
        <v>MISSING_SHIP_MODE</v>
      </c>
      <c r="AF773">
        <v>5</v>
      </c>
      <c r="AG773">
        <v>4276.29</v>
      </c>
      <c r="AH773">
        <v>0</v>
      </c>
      <c r="AI773">
        <f t="shared" si="383"/>
        <v>0</v>
      </c>
      <c r="AJ773" t="str">
        <f t="shared" si="384"/>
        <v>OK</v>
      </c>
      <c r="AK773">
        <v>21443.63</v>
      </c>
      <c r="AL773">
        <v>13240.21</v>
      </c>
      <c r="AM773">
        <v>8141.24</v>
      </c>
      <c r="AN773" t="s">
        <v>199</v>
      </c>
      <c r="AO773" t="str">
        <f t="shared" si="376"/>
        <v>FAILED</v>
      </c>
      <c r="AP773" t="str">
        <f t="shared" si="385"/>
        <v>EXCLUDE_FROM_SALES</v>
      </c>
      <c r="AQ773" t="s">
        <v>34</v>
      </c>
      <c r="AR773" t="str">
        <f t="shared" si="377"/>
        <v>COMPLETED</v>
      </c>
      <c r="AS773" t="str">
        <f t="shared" si="386"/>
        <v>OK</v>
      </c>
      <c r="AT773">
        <f t="shared" si="387"/>
        <v>21381.45</v>
      </c>
      <c r="AU773">
        <f t="shared" si="388"/>
        <v>8141.2400000000016</v>
      </c>
      <c r="AV773" s="6">
        <f t="shared" si="389"/>
        <v>7.7086446429030786E-2</v>
      </c>
      <c r="AW773" t="str">
        <f t="shared" si="390"/>
        <v>WARNING</v>
      </c>
      <c r="AX773" s="10" t="str">
        <f t="shared" si="391"/>
        <v>MISMATCH</v>
      </c>
      <c r="AY773" t="str">
        <f t="shared" si="392"/>
        <v>MATCH</v>
      </c>
    </row>
    <row r="774" spans="1:51">
      <c r="A774" t="s">
        <v>2747</v>
      </c>
      <c r="B774">
        <f t="shared" si="368"/>
        <v>1</v>
      </c>
      <c r="C774" t="s">
        <v>2748</v>
      </c>
      <c r="D774" s="3">
        <v>45922</v>
      </c>
      <c r="E774" t="str">
        <f t="shared" si="369"/>
        <v>2025/09/22</v>
      </c>
      <c r="F774" t="str">
        <f t="shared" si="378"/>
        <v>September</v>
      </c>
      <c r="G774">
        <f t="shared" si="379"/>
        <v>2025</v>
      </c>
      <c r="H774" t="s">
        <v>2749</v>
      </c>
      <c r="I774" s="4">
        <v>45926</v>
      </c>
      <c r="J774" s="8">
        <f t="shared" si="370"/>
        <v>4</v>
      </c>
      <c r="K774" s="8" t="str">
        <f t="shared" si="380"/>
        <v>OK</v>
      </c>
      <c r="L774" t="s">
        <v>2750</v>
      </c>
      <c r="M774" t="s">
        <v>52</v>
      </c>
      <c r="N774" t="str">
        <f t="shared" si="371"/>
        <v>Isha Nair</v>
      </c>
      <c r="O774" t="s">
        <v>25</v>
      </c>
      <c r="P774" t="str">
        <f t="shared" si="364"/>
        <v>Consumer</v>
      </c>
      <c r="Q774" t="s">
        <v>61</v>
      </c>
      <c r="R774" t="str">
        <f t="shared" si="367"/>
        <v>South</v>
      </c>
      <c r="S774" t="str">
        <f t="shared" si="381"/>
        <v>OK</v>
      </c>
      <c r="T774" t="s">
        <v>99</v>
      </c>
      <c r="U774" t="str">
        <f t="shared" si="372"/>
        <v>Andhra Pradesh</v>
      </c>
      <c r="V774" t="s">
        <v>100</v>
      </c>
      <c r="W774" t="str">
        <f t="shared" si="373"/>
        <v>Vijayawada</v>
      </c>
      <c r="X774" t="str">
        <f t="shared" si="374"/>
        <v>Technology</v>
      </c>
      <c r="Y774" t="s">
        <v>85</v>
      </c>
      <c r="Z774" t="s">
        <v>222</v>
      </c>
      <c r="AA774" t="str">
        <f t="shared" si="375"/>
        <v>Phones</v>
      </c>
      <c r="AB774" t="s">
        <v>2751</v>
      </c>
      <c r="AC774" t="s">
        <v>66</v>
      </c>
      <c r="AD774" t="str">
        <f t="shared" ref="AD774:AD805" si="393">PROPER(TRIM(SUBSTITUTE(AC774,CHAR(160)," ")))</f>
        <v>Standard Class</v>
      </c>
      <c r="AE774" t="str">
        <f t="shared" si="382"/>
        <v>OK</v>
      </c>
      <c r="AF774">
        <v>1</v>
      </c>
      <c r="AG774">
        <v>573.65</v>
      </c>
      <c r="AH774">
        <v>0</v>
      </c>
      <c r="AI774">
        <f t="shared" si="383"/>
        <v>0</v>
      </c>
      <c r="AJ774" t="str">
        <f t="shared" si="384"/>
        <v>OK</v>
      </c>
      <c r="AK774">
        <v>573.65</v>
      </c>
      <c r="AL774">
        <v>322.67</v>
      </c>
      <c r="AM774">
        <v>250.98</v>
      </c>
      <c r="AN774" t="s">
        <v>33</v>
      </c>
      <c r="AO774" t="str">
        <f t="shared" si="376"/>
        <v>PAID</v>
      </c>
      <c r="AP774" t="str">
        <f t="shared" si="385"/>
        <v>OK</v>
      </c>
      <c r="AQ774" t="s">
        <v>34</v>
      </c>
      <c r="AR774" t="str">
        <f t="shared" si="377"/>
        <v>COMPLETED</v>
      </c>
      <c r="AS774" t="str">
        <f t="shared" si="386"/>
        <v>OK</v>
      </c>
      <c r="AT774">
        <f t="shared" si="387"/>
        <v>573.65</v>
      </c>
      <c r="AU774">
        <f t="shared" si="388"/>
        <v>250.97999999999996</v>
      </c>
      <c r="AV774" s="6">
        <f t="shared" si="389"/>
        <v>6.6313745315087624</v>
      </c>
      <c r="AW774" t="str">
        <f t="shared" si="390"/>
        <v>CLEAN</v>
      </c>
      <c r="AX774" s="10" t="str">
        <f t="shared" si="391"/>
        <v>MATCH</v>
      </c>
      <c r="AY774" t="str">
        <f t="shared" si="392"/>
        <v>MATCH</v>
      </c>
    </row>
    <row r="775" spans="1:51">
      <c r="A775" t="s">
        <v>2755</v>
      </c>
      <c r="B775">
        <f t="shared" si="368"/>
        <v>1</v>
      </c>
      <c r="C775" t="s">
        <v>2756</v>
      </c>
      <c r="D775" s="2">
        <v>45964</v>
      </c>
      <c r="E775" t="str">
        <f t="shared" si="369"/>
        <v>2025/11/03</v>
      </c>
      <c r="F775" t="str">
        <f t="shared" si="378"/>
        <v>November</v>
      </c>
      <c r="G775">
        <f t="shared" si="379"/>
        <v>2025</v>
      </c>
      <c r="H775" t="s">
        <v>2757</v>
      </c>
      <c r="I775" s="4">
        <v>45730</v>
      </c>
      <c r="J775" s="8">
        <f t="shared" si="370"/>
        <v>-234</v>
      </c>
      <c r="K775" s="8" t="str">
        <f t="shared" si="380"/>
        <v>INVAILD_SHIPPING</v>
      </c>
      <c r="L775" t="s">
        <v>2758</v>
      </c>
      <c r="M775" t="s">
        <v>167</v>
      </c>
      <c r="N775" t="str">
        <f t="shared" si="371"/>
        <v>Sneha Kapoor</v>
      </c>
      <c r="O775" t="s">
        <v>114</v>
      </c>
      <c r="P775" t="str">
        <f t="shared" si="364"/>
        <v>Home Office</v>
      </c>
      <c r="Q775" t="s">
        <v>61</v>
      </c>
      <c r="R775" t="str">
        <f t="shared" si="367"/>
        <v>South</v>
      </c>
      <c r="S775" t="str">
        <f t="shared" si="381"/>
        <v>OK</v>
      </c>
      <c r="T775" t="s">
        <v>241</v>
      </c>
      <c r="U775" t="str">
        <f t="shared" si="372"/>
        <v>Kerala</v>
      </c>
      <c r="V775" t="s">
        <v>242</v>
      </c>
      <c r="W775" t="str">
        <f t="shared" si="373"/>
        <v>Kochi</v>
      </c>
      <c r="X775" t="str">
        <f t="shared" si="374"/>
        <v>Furniture</v>
      </c>
      <c r="Y775" t="s">
        <v>44</v>
      </c>
      <c r="Z775" t="s">
        <v>64</v>
      </c>
      <c r="AA775" t="str">
        <f t="shared" si="375"/>
        <v>Furnishings</v>
      </c>
      <c r="AB775" t="s">
        <v>2759</v>
      </c>
      <c r="AC775" t="s">
        <v>47</v>
      </c>
      <c r="AD775" t="str">
        <f t="shared" si="393"/>
        <v>Same Day</v>
      </c>
      <c r="AE775" t="str">
        <f t="shared" si="382"/>
        <v>OK</v>
      </c>
      <c r="AF775">
        <v>4</v>
      </c>
      <c r="AG775">
        <v>1244.82</v>
      </c>
      <c r="AH775">
        <v>0.2</v>
      </c>
      <c r="AI775">
        <f t="shared" si="383"/>
        <v>0.2</v>
      </c>
      <c r="AJ775" t="str">
        <f t="shared" si="384"/>
        <v>OK</v>
      </c>
      <c r="AK775">
        <v>3983.42</v>
      </c>
      <c r="AL775">
        <v>3174.91</v>
      </c>
      <c r="AM775">
        <v>808.51</v>
      </c>
      <c r="AN775" t="s">
        <v>199</v>
      </c>
      <c r="AO775" t="str">
        <f t="shared" si="376"/>
        <v>FAILED</v>
      </c>
      <c r="AP775" t="str">
        <f t="shared" si="385"/>
        <v>EXCLUDE_FROM_SALES</v>
      </c>
      <c r="AQ775" t="s">
        <v>124</v>
      </c>
      <c r="AR775" t="str">
        <f t="shared" si="377"/>
        <v>RETURNED</v>
      </c>
      <c r="AS775" t="str">
        <f t="shared" si="386"/>
        <v>RETURNED_ORDER</v>
      </c>
      <c r="AT775">
        <f t="shared" si="387"/>
        <v>3983.424</v>
      </c>
      <c r="AU775">
        <f t="shared" si="388"/>
        <v>808.51400000000012</v>
      </c>
      <c r="AV775" s="6">
        <f t="shared" si="389"/>
        <v>0.63807166899632095</v>
      </c>
      <c r="AW775" t="str">
        <f t="shared" si="390"/>
        <v>CLEAN</v>
      </c>
      <c r="AX775" s="10" t="str">
        <f t="shared" si="391"/>
        <v>MATCH</v>
      </c>
      <c r="AY775" t="str">
        <f t="shared" si="392"/>
        <v>MATCH</v>
      </c>
    </row>
    <row r="776" spans="1:51">
      <c r="A776" t="s">
        <v>2765</v>
      </c>
      <c r="B776">
        <f t="shared" si="368"/>
        <v>1</v>
      </c>
      <c r="C776" t="s">
        <v>434</v>
      </c>
      <c r="D776" s="3">
        <v>45897</v>
      </c>
      <c r="E776" t="str">
        <f t="shared" si="369"/>
        <v>2025/08/28</v>
      </c>
      <c r="F776" t="str">
        <f t="shared" si="378"/>
        <v>August</v>
      </c>
      <c r="G776">
        <f t="shared" si="379"/>
        <v>2025</v>
      </c>
      <c r="H776" t="s">
        <v>2766</v>
      </c>
      <c r="I776" s="4">
        <v>45903</v>
      </c>
      <c r="J776" s="8">
        <f t="shared" si="370"/>
        <v>6</v>
      </c>
      <c r="K776" s="8" t="str">
        <f t="shared" si="380"/>
        <v>OK</v>
      </c>
      <c r="L776" t="s">
        <v>2767</v>
      </c>
      <c r="M776" t="s">
        <v>141</v>
      </c>
      <c r="N776" t="str">
        <f t="shared" si="371"/>
        <v>Priya Menon</v>
      </c>
      <c r="O776" t="s">
        <v>107</v>
      </c>
      <c r="P776" t="str">
        <f t="shared" si="364"/>
        <v>Corporate</v>
      </c>
      <c r="Q776" t="s">
        <v>72</v>
      </c>
      <c r="R776" t="str">
        <f t="shared" si="367"/>
        <v>West</v>
      </c>
      <c r="S776" t="str">
        <f t="shared" si="381"/>
        <v>OK</v>
      </c>
      <c r="T776" t="s">
        <v>83</v>
      </c>
      <c r="U776" t="str">
        <f t="shared" si="372"/>
        <v>Madhya Pradesh</v>
      </c>
      <c r="V776" t="s">
        <v>84</v>
      </c>
      <c r="W776" t="str">
        <f t="shared" si="373"/>
        <v>Indore</v>
      </c>
      <c r="X776" t="str">
        <f t="shared" si="374"/>
        <v>Furniture</v>
      </c>
      <c r="Y776" t="s">
        <v>44</v>
      </c>
      <c r="Z776" t="s">
        <v>64</v>
      </c>
      <c r="AA776" t="str">
        <f t="shared" si="375"/>
        <v>Furnishings</v>
      </c>
      <c r="AB776" t="s">
        <v>2768</v>
      </c>
      <c r="AC776" t="s">
        <v>66</v>
      </c>
      <c r="AD776" t="str">
        <f t="shared" si="393"/>
        <v>Standard Class</v>
      </c>
      <c r="AE776" t="str">
        <f t="shared" si="382"/>
        <v>OK</v>
      </c>
      <c r="AF776">
        <v>7</v>
      </c>
      <c r="AG776">
        <v>268.45</v>
      </c>
      <c r="AH776">
        <v>0</v>
      </c>
      <c r="AI776">
        <f t="shared" si="383"/>
        <v>0</v>
      </c>
      <c r="AJ776" t="str">
        <f t="shared" si="384"/>
        <v>OK</v>
      </c>
      <c r="AK776">
        <v>1879.15</v>
      </c>
      <c r="AL776">
        <v>1134.9000000000001</v>
      </c>
      <c r="AM776">
        <v>744.25</v>
      </c>
      <c r="AN776" t="s">
        <v>33</v>
      </c>
      <c r="AO776" t="str">
        <f t="shared" si="376"/>
        <v>PAID</v>
      </c>
      <c r="AP776" t="str">
        <f t="shared" si="385"/>
        <v>OK</v>
      </c>
      <c r="AQ776" t="s">
        <v>34</v>
      </c>
      <c r="AR776" t="str">
        <f t="shared" si="377"/>
        <v>COMPLETED</v>
      </c>
      <c r="AS776" t="str">
        <f t="shared" si="386"/>
        <v>OK</v>
      </c>
      <c r="AT776">
        <f t="shared" si="387"/>
        <v>1879.1499999999999</v>
      </c>
      <c r="AU776">
        <f t="shared" si="388"/>
        <v>744.24999999999977</v>
      </c>
      <c r="AV776" s="6">
        <f t="shared" si="389"/>
        <v>0.46250379160790767</v>
      </c>
      <c r="AW776" t="str">
        <f t="shared" si="390"/>
        <v>CLEAN</v>
      </c>
      <c r="AX776" s="10" t="str">
        <f t="shared" si="391"/>
        <v>MATCH</v>
      </c>
      <c r="AY776" t="str">
        <f t="shared" si="392"/>
        <v>MATCH</v>
      </c>
    </row>
    <row r="777" spans="1:51">
      <c r="A777" t="s">
        <v>2778</v>
      </c>
      <c r="B777">
        <f t="shared" si="368"/>
        <v>1</v>
      </c>
      <c r="C777" t="s">
        <v>2779</v>
      </c>
      <c r="D777" s="3">
        <v>45722</v>
      </c>
      <c r="E777" t="str">
        <f t="shared" si="369"/>
        <v>2025/03/06</v>
      </c>
      <c r="F777" t="str">
        <f t="shared" si="378"/>
        <v>March</v>
      </c>
      <c r="G777">
        <f t="shared" si="379"/>
        <v>2025</v>
      </c>
      <c r="H777" t="s">
        <v>1458</v>
      </c>
      <c r="I777" s="4">
        <v>45729</v>
      </c>
      <c r="J777" s="8">
        <f t="shared" si="370"/>
        <v>7</v>
      </c>
      <c r="K777" s="8" t="str">
        <f t="shared" si="380"/>
        <v>OK</v>
      </c>
      <c r="L777" t="s">
        <v>2780</v>
      </c>
      <c r="M777" t="s">
        <v>365</v>
      </c>
      <c r="N777" t="str">
        <f t="shared" si="371"/>
        <v>Kabir Singh</v>
      </c>
      <c r="O777" t="s">
        <v>25</v>
      </c>
      <c r="P777" t="str">
        <f t="shared" ref="P777:P840" si="394">PROPER(TRIM(SUBSTITUTE(O777,CHAR(160)," ")))</f>
        <v>Consumer</v>
      </c>
      <c r="Q777" t="s">
        <v>61</v>
      </c>
      <c r="R777" t="str">
        <f t="shared" si="367"/>
        <v>South</v>
      </c>
      <c r="S777" t="str">
        <f t="shared" si="381"/>
        <v>OK</v>
      </c>
      <c r="T777" t="s">
        <v>241</v>
      </c>
      <c r="U777" t="str">
        <f t="shared" si="372"/>
        <v>Kerala</v>
      </c>
      <c r="V777" t="s">
        <v>242</v>
      </c>
      <c r="W777" t="str">
        <f t="shared" si="373"/>
        <v>Kochi</v>
      </c>
      <c r="X777" t="str">
        <f t="shared" si="374"/>
        <v>Furniture</v>
      </c>
      <c r="Y777" t="s">
        <v>44</v>
      </c>
      <c r="Z777" t="s">
        <v>75</v>
      </c>
      <c r="AA777" t="str">
        <f t="shared" si="375"/>
        <v>Chairs</v>
      </c>
      <c r="AB777" t="s">
        <v>2781</v>
      </c>
      <c r="AC777" t="s">
        <v>66</v>
      </c>
      <c r="AD777" t="str">
        <f t="shared" si="393"/>
        <v>Standard Class</v>
      </c>
      <c r="AE777" t="str">
        <f t="shared" si="382"/>
        <v>OK</v>
      </c>
      <c r="AF777">
        <v>3</v>
      </c>
      <c r="AG777">
        <v>163.72</v>
      </c>
      <c r="AH777">
        <v>0.15</v>
      </c>
      <c r="AI777">
        <f t="shared" si="383"/>
        <v>0.15</v>
      </c>
      <c r="AJ777" t="str">
        <f t="shared" si="384"/>
        <v>OK</v>
      </c>
      <c r="AK777">
        <v>417.49</v>
      </c>
      <c r="AL777">
        <v>261.67</v>
      </c>
      <c r="AM777">
        <v>155.82</v>
      </c>
      <c r="AN777" t="s">
        <v>199</v>
      </c>
      <c r="AO777" t="str">
        <f t="shared" si="376"/>
        <v>FAILED</v>
      </c>
      <c r="AP777" t="str">
        <f t="shared" si="385"/>
        <v>EXCLUDE_FROM_SALES</v>
      </c>
      <c r="AQ777" t="s">
        <v>124</v>
      </c>
      <c r="AR777" t="str">
        <f t="shared" si="377"/>
        <v>RETURNED</v>
      </c>
      <c r="AS777" t="str">
        <f t="shared" si="386"/>
        <v>RETURNED_ORDER</v>
      </c>
      <c r="AT777">
        <f t="shared" si="387"/>
        <v>417.48599999999999</v>
      </c>
      <c r="AU777">
        <f t="shared" si="388"/>
        <v>155.81599999999997</v>
      </c>
      <c r="AV777" s="6">
        <f t="shared" si="389"/>
        <v>2.3307739660731133</v>
      </c>
      <c r="AW777" t="str">
        <f t="shared" si="390"/>
        <v>CLEAN</v>
      </c>
      <c r="AX777" s="10" t="str">
        <f t="shared" si="391"/>
        <v>MATCH</v>
      </c>
      <c r="AY777" t="str">
        <f t="shared" si="392"/>
        <v>MATCH</v>
      </c>
    </row>
    <row r="778" spans="1:51">
      <c r="A778" t="s">
        <v>2782</v>
      </c>
      <c r="B778">
        <f t="shared" si="368"/>
        <v>1</v>
      </c>
      <c r="C778" t="s">
        <v>1342</v>
      </c>
      <c r="D778" s="3">
        <v>45908</v>
      </c>
      <c r="E778" t="str">
        <f t="shared" si="369"/>
        <v>2025/09/08</v>
      </c>
      <c r="F778" t="str">
        <f t="shared" si="378"/>
        <v>September</v>
      </c>
      <c r="G778">
        <f t="shared" si="379"/>
        <v>2025</v>
      </c>
      <c r="H778" t="s">
        <v>2783</v>
      </c>
      <c r="I778" s="4">
        <v>45879</v>
      </c>
      <c r="J778" s="8">
        <f t="shared" si="370"/>
        <v>-29</v>
      </c>
      <c r="K778" s="8" t="str">
        <f t="shared" si="380"/>
        <v>INVAILD_SHIPPING</v>
      </c>
      <c r="L778" t="s">
        <v>2784</v>
      </c>
      <c r="M778" t="s">
        <v>92</v>
      </c>
      <c r="N778" t="str">
        <f t="shared" si="371"/>
        <v>Neha Gupta</v>
      </c>
      <c r="O778" t="s">
        <v>25</v>
      </c>
      <c r="P778" t="str">
        <f t="shared" si="394"/>
        <v>Consumer</v>
      </c>
      <c r="Q778" t="s">
        <v>26</v>
      </c>
      <c r="R778" t="str">
        <f t="shared" si="367"/>
        <v>North</v>
      </c>
      <c r="S778" t="str">
        <f t="shared" si="381"/>
        <v>OK</v>
      </c>
      <c r="T778" t="s">
        <v>505</v>
      </c>
      <c r="U778" t="str">
        <f t="shared" si="372"/>
        <v>Delhi</v>
      </c>
      <c r="V778" t="s">
        <v>506</v>
      </c>
      <c r="W778" t="str">
        <f t="shared" si="373"/>
        <v>New Delhi</v>
      </c>
      <c r="X778" t="str">
        <f t="shared" si="374"/>
        <v>Office Supplies</v>
      </c>
      <c r="Y778" t="s">
        <v>29</v>
      </c>
      <c r="Z778" t="s">
        <v>53</v>
      </c>
      <c r="AA778" t="str">
        <f t="shared" si="375"/>
        <v>Art</v>
      </c>
      <c r="AB778" t="s">
        <v>2785</v>
      </c>
      <c r="AC778" t="s">
        <v>32</v>
      </c>
      <c r="AD778" t="str">
        <f t="shared" si="393"/>
        <v>Second Class</v>
      </c>
      <c r="AE778" t="str">
        <f t="shared" si="382"/>
        <v>OK</v>
      </c>
      <c r="AF778">
        <v>4</v>
      </c>
      <c r="AG778">
        <v>4080.95</v>
      </c>
      <c r="AH778">
        <v>0</v>
      </c>
      <c r="AI778">
        <f t="shared" si="383"/>
        <v>0</v>
      </c>
      <c r="AJ778" t="str">
        <f t="shared" si="384"/>
        <v>OK</v>
      </c>
      <c r="AK778">
        <v>16323.8</v>
      </c>
      <c r="AL778">
        <v>9965.7900000000009</v>
      </c>
      <c r="AM778">
        <v>6358.01</v>
      </c>
      <c r="AN778" t="s">
        <v>123</v>
      </c>
      <c r="AO778" t="str">
        <f t="shared" si="376"/>
        <v>REFUNDED</v>
      </c>
      <c r="AP778" t="str">
        <f t="shared" si="385"/>
        <v>REFUNDED_PAYMENT</v>
      </c>
      <c r="AQ778" t="s">
        <v>124</v>
      </c>
      <c r="AR778" t="str">
        <f t="shared" si="377"/>
        <v>RETURNED</v>
      </c>
      <c r="AS778" t="str">
        <f t="shared" si="386"/>
        <v>RETURNED_ORDER</v>
      </c>
      <c r="AT778">
        <f t="shared" si="387"/>
        <v>16323.8</v>
      </c>
      <c r="AU778">
        <f t="shared" si="388"/>
        <v>6358.0099999999984</v>
      </c>
      <c r="AV778" s="6">
        <f t="shared" si="389"/>
        <v>0.29276106053737488</v>
      </c>
      <c r="AW778" t="str">
        <f t="shared" si="390"/>
        <v>CLEAN</v>
      </c>
      <c r="AX778" s="10" t="str">
        <f t="shared" si="391"/>
        <v>MATCH</v>
      </c>
      <c r="AY778" t="str">
        <f t="shared" si="392"/>
        <v>MATCH</v>
      </c>
    </row>
    <row r="779" spans="1:51">
      <c r="A779" t="s">
        <v>2800</v>
      </c>
      <c r="B779">
        <f t="shared" si="368"/>
        <v>1</v>
      </c>
      <c r="C779" t="s">
        <v>1687</v>
      </c>
      <c r="D779" s="2">
        <v>45830</v>
      </c>
      <c r="E779" t="str">
        <f t="shared" si="369"/>
        <v>2025/06/22</v>
      </c>
      <c r="F779" t="str">
        <f t="shared" si="378"/>
        <v>June</v>
      </c>
      <c r="G779">
        <f t="shared" si="379"/>
        <v>2025</v>
      </c>
      <c r="H779" t="s">
        <v>2801</v>
      </c>
      <c r="I779" s="4">
        <v>45833</v>
      </c>
      <c r="J779" s="8">
        <f t="shared" si="370"/>
        <v>3</v>
      </c>
      <c r="K779" s="8" t="str">
        <f t="shared" si="380"/>
        <v>OK</v>
      </c>
      <c r="L779" t="s">
        <v>2802</v>
      </c>
      <c r="M779" t="s">
        <v>209</v>
      </c>
      <c r="N779" t="str">
        <f t="shared" si="371"/>
        <v>Diya Patel</v>
      </c>
      <c r="O779" t="s">
        <v>40</v>
      </c>
      <c r="P779" t="str">
        <f t="shared" si="394"/>
        <v>Small Business</v>
      </c>
      <c r="Q779" t="s">
        <v>1049</v>
      </c>
      <c r="R779" t="str">
        <f t="shared" si="367"/>
        <v>West</v>
      </c>
      <c r="S779" t="str">
        <f t="shared" si="381"/>
        <v>OK</v>
      </c>
      <c r="T779" t="s">
        <v>73</v>
      </c>
      <c r="U779" t="str">
        <f t="shared" si="372"/>
        <v>Maharashtra</v>
      </c>
      <c r="V779" t="s">
        <v>74</v>
      </c>
      <c r="W779" t="str">
        <f t="shared" si="373"/>
        <v>Mumbai</v>
      </c>
      <c r="X779" t="str">
        <f t="shared" si="374"/>
        <v>Technology</v>
      </c>
      <c r="Y779" t="s">
        <v>85</v>
      </c>
      <c r="Z779" t="s">
        <v>222</v>
      </c>
      <c r="AA779" t="str">
        <f t="shared" si="375"/>
        <v>Phones</v>
      </c>
      <c r="AB779" t="s">
        <v>2803</v>
      </c>
      <c r="AC779" t="s">
        <v>55</v>
      </c>
      <c r="AD779" t="str">
        <f t="shared" si="393"/>
        <v>First Class</v>
      </c>
      <c r="AE779" t="str">
        <f t="shared" si="382"/>
        <v>OK</v>
      </c>
      <c r="AF779">
        <v>8</v>
      </c>
      <c r="AG779">
        <v>3453.66</v>
      </c>
      <c r="AH779">
        <v>0</v>
      </c>
      <c r="AI779">
        <f t="shared" si="383"/>
        <v>0</v>
      </c>
      <c r="AJ779" t="str">
        <f t="shared" si="384"/>
        <v>OK</v>
      </c>
      <c r="AK779">
        <v>27629.279999999999</v>
      </c>
      <c r="AL779">
        <v>22026.48</v>
      </c>
      <c r="AM779">
        <v>5602.8</v>
      </c>
      <c r="AN779" t="s">
        <v>33</v>
      </c>
      <c r="AO779" t="str">
        <f t="shared" si="376"/>
        <v>PAID</v>
      </c>
      <c r="AP779" t="str">
        <f t="shared" si="385"/>
        <v>OK</v>
      </c>
      <c r="AQ779" t="s">
        <v>34</v>
      </c>
      <c r="AR779" t="str">
        <f t="shared" si="377"/>
        <v>COMPLETED</v>
      </c>
      <c r="AS779" t="str">
        <f t="shared" si="386"/>
        <v>OK</v>
      </c>
      <c r="AT779">
        <f t="shared" si="387"/>
        <v>27629.279999999999</v>
      </c>
      <c r="AU779">
        <f t="shared" si="388"/>
        <v>5602.7999999999993</v>
      </c>
      <c r="AV779" s="6">
        <f t="shared" si="389"/>
        <v>9.7517561080129558E-2</v>
      </c>
      <c r="AW779" t="str">
        <f t="shared" si="390"/>
        <v>CLEAN</v>
      </c>
      <c r="AX779" s="10" t="str">
        <f t="shared" si="391"/>
        <v>MATCH</v>
      </c>
      <c r="AY779" t="str">
        <f t="shared" si="392"/>
        <v>MATCH</v>
      </c>
    </row>
    <row r="780" spans="1:51">
      <c r="A780" t="s">
        <v>2804</v>
      </c>
      <c r="B780">
        <f t="shared" si="368"/>
        <v>1</v>
      </c>
      <c r="C780" t="s">
        <v>2805</v>
      </c>
      <c r="D780" s="3">
        <v>45759</v>
      </c>
      <c r="E780" t="str">
        <f t="shared" si="369"/>
        <v>2025/04/12</v>
      </c>
      <c r="F780" t="str">
        <f t="shared" si="378"/>
        <v>April</v>
      </c>
      <c r="G780">
        <f t="shared" si="379"/>
        <v>2025</v>
      </c>
      <c r="H780" t="s">
        <v>2806</v>
      </c>
      <c r="I780" s="4">
        <v>45759</v>
      </c>
      <c r="J780" s="8">
        <f t="shared" si="370"/>
        <v>0</v>
      </c>
      <c r="K780" s="8" t="str">
        <f t="shared" si="380"/>
        <v>OK</v>
      </c>
      <c r="L780" t="s">
        <v>2807</v>
      </c>
      <c r="M780" t="s">
        <v>39</v>
      </c>
      <c r="N780" t="str">
        <f t="shared" si="371"/>
        <v>Mira Das</v>
      </c>
      <c r="O780" t="s">
        <v>114</v>
      </c>
      <c r="P780" t="str">
        <f t="shared" si="394"/>
        <v>Home Office</v>
      </c>
      <c r="Q780" t="s">
        <v>26</v>
      </c>
      <c r="R780" t="str">
        <f t="shared" si="367"/>
        <v>North</v>
      </c>
      <c r="S780" t="str">
        <f t="shared" si="381"/>
        <v>OK</v>
      </c>
      <c r="T780" t="s">
        <v>153</v>
      </c>
      <c r="U780" t="str">
        <f t="shared" si="372"/>
        <v>Punjab</v>
      </c>
      <c r="V780" t="s">
        <v>154</v>
      </c>
      <c r="W780" t="str">
        <f t="shared" si="373"/>
        <v>Ludhiana</v>
      </c>
      <c r="X780" t="str">
        <f t="shared" si="374"/>
        <v>Office Supplies</v>
      </c>
      <c r="Y780" t="s">
        <v>29</v>
      </c>
      <c r="Z780" t="s">
        <v>197</v>
      </c>
      <c r="AA780" t="str">
        <f t="shared" si="375"/>
        <v>Binders</v>
      </c>
      <c r="AB780" t="s">
        <v>2808</v>
      </c>
      <c r="AC780" t="s">
        <v>32</v>
      </c>
      <c r="AD780" t="str">
        <f t="shared" si="393"/>
        <v>Second Class</v>
      </c>
      <c r="AE780" t="str">
        <f t="shared" si="382"/>
        <v>OK</v>
      </c>
      <c r="AF780">
        <v>7</v>
      </c>
      <c r="AG780">
        <v>1334.2</v>
      </c>
      <c r="AH780">
        <v>0.2</v>
      </c>
      <c r="AI780">
        <f t="shared" si="383"/>
        <v>0.2</v>
      </c>
      <c r="AJ780" t="str">
        <f t="shared" si="384"/>
        <v>OK</v>
      </c>
      <c r="AK780">
        <v>7471.52</v>
      </c>
      <c r="AL780">
        <v>6184.32</v>
      </c>
      <c r="AM780">
        <v>1287.2</v>
      </c>
      <c r="AN780" t="s">
        <v>33</v>
      </c>
      <c r="AO780" t="str">
        <f t="shared" si="376"/>
        <v>PAID</v>
      </c>
      <c r="AP780" t="str">
        <f t="shared" si="385"/>
        <v>OK</v>
      </c>
      <c r="AQ780" t="s">
        <v>34</v>
      </c>
      <c r="AR780" t="str">
        <f t="shared" si="377"/>
        <v>COMPLETED</v>
      </c>
      <c r="AS780" t="str">
        <f t="shared" si="386"/>
        <v>OK</v>
      </c>
      <c r="AT780">
        <f t="shared" si="387"/>
        <v>7471.52</v>
      </c>
      <c r="AU780">
        <f t="shared" si="388"/>
        <v>1287.2000000000007</v>
      </c>
      <c r="AV780" s="6">
        <f t="shared" si="389"/>
        <v>0.36061470758292846</v>
      </c>
      <c r="AW780" t="str">
        <f t="shared" si="390"/>
        <v>CLEAN</v>
      </c>
      <c r="AX780" s="10" t="str">
        <f t="shared" si="391"/>
        <v>MATCH</v>
      </c>
      <c r="AY780" t="str">
        <f t="shared" si="392"/>
        <v>MATCH</v>
      </c>
    </row>
    <row r="781" spans="1:51">
      <c r="A781" t="s">
        <v>2809</v>
      </c>
      <c r="B781">
        <f t="shared" si="368"/>
        <v>1</v>
      </c>
      <c r="C781" t="s">
        <v>2810</v>
      </c>
      <c r="D781" s="3">
        <v>45861</v>
      </c>
      <c r="E781" t="str">
        <f t="shared" si="369"/>
        <v>2025/07/23</v>
      </c>
      <c r="F781" t="str">
        <f t="shared" si="378"/>
        <v>July</v>
      </c>
      <c r="G781">
        <f t="shared" si="379"/>
        <v>2025</v>
      </c>
      <c r="H781" t="s">
        <v>2811</v>
      </c>
      <c r="I781" s="4">
        <v>45869</v>
      </c>
      <c r="J781" s="8">
        <f t="shared" si="370"/>
        <v>8</v>
      </c>
      <c r="K781" s="8" t="str">
        <f t="shared" si="380"/>
        <v>OK</v>
      </c>
      <c r="L781" t="s">
        <v>2812</v>
      </c>
      <c r="M781" t="s">
        <v>365</v>
      </c>
      <c r="N781" t="str">
        <f t="shared" si="371"/>
        <v>Kabir Singh</v>
      </c>
      <c r="O781" t="s">
        <v>114</v>
      </c>
      <c r="P781" t="str">
        <f t="shared" si="394"/>
        <v>Home Office</v>
      </c>
      <c r="Q781" t="s">
        <v>72</v>
      </c>
      <c r="R781" t="str">
        <f t="shared" si="367"/>
        <v>West</v>
      </c>
      <c r="S781" t="str">
        <f t="shared" si="381"/>
        <v>OK</v>
      </c>
      <c r="T781" t="s">
        <v>83</v>
      </c>
      <c r="U781" t="str">
        <f t="shared" si="372"/>
        <v>Madhya Pradesh</v>
      </c>
      <c r="V781" t="s">
        <v>84</v>
      </c>
      <c r="W781" t="str">
        <f t="shared" si="373"/>
        <v>Indore</v>
      </c>
      <c r="X781" t="str">
        <f t="shared" si="374"/>
        <v>Technology</v>
      </c>
      <c r="Y781" t="s">
        <v>85</v>
      </c>
      <c r="Z781" t="s">
        <v>86</v>
      </c>
      <c r="AA781" t="str">
        <f t="shared" si="375"/>
        <v>Accessories</v>
      </c>
      <c r="AB781" t="s">
        <v>2813</v>
      </c>
      <c r="AC781" t="s">
        <v>55</v>
      </c>
      <c r="AD781" t="str">
        <f t="shared" si="393"/>
        <v>First Class</v>
      </c>
      <c r="AE781" t="str">
        <f t="shared" si="382"/>
        <v>OK</v>
      </c>
      <c r="AF781">
        <v>1</v>
      </c>
      <c r="AG781">
        <v>4253.84</v>
      </c>
      <c r="AH781">
        <v>0.15</v>
      </c>
      <c r="AI781">
        <f t="shared" si="383"/>
        <v>0.15</v>
      </c>
      <c r="AJ781" t="str">
        <f t="shared" si="384"/>
        <v>OK</v>
      </c>
      <c r="AK781">
        <v>3615.76</v>
      </c>
      <c r="AL781">
        <v>2951.52</v>
      </c>
      <c r="AM781">
        <v>664.24</v>
      </c>
      <c r="AN781" t="s">
        <v>123</v>
      </c>
      <c r="AO781" t="str">
        <f t="shared" si="376"/>
        <v>REFUNDED</v>
      </c>
      <c r="AP781" t="str">
        <f t="shared" si="385"/>
        <v>REFUNDED_PAYMENT</v>
      </c>
      <c r="AQ781" t="s">
        <v>77</v>
      </c>
      <c r="AR781" t="str">
        <f t="shared" si="377"/>
        <v>CANCELLED</v>
      </c>
      <c r="AS781" t="str">
        <f t="shared" si="386"/>
        <v>EXCLUDE_FROM_SALES</v>
      </c>
      <c r="AT781">
        <f t="shared" si="387"/>
        <v>3615.7640000000001</v>
      </c>
      <c r="AU781">
        <f t="shared" si="388"/>
        <v>664.24400000000014</v>
      </c>
      <c r="AV781" s="6">
        <f t="shared" si="389"/>
        <v>0.15823433166545159</v>
      </c>
      <c r="AW781" t="str">
        <f t="shared" si="390"/>
        <v>CLEAN</v>
      </c>
      <c r="AX781" s="10" t="str">
        <f t="shared" si="391"/>
        <v>MATCH</v>
      </c>
      <c r="AY781" t="str">
        <f t="shared" si="392"/>
        <v>MATCH</v>
      </c>
    </row>
    <row r="782" spans="1:51">
      <c r="A782" t="s">
        <v>2814</v>
      </c>
      <c r="B782">
        <f t="shared" si="368"/>
        <v>1</v>
      </c>
      <c r="C782" t="s">
        <v>2815</v>
      </c>
      <c r="D782" s="3">
        <v>45964</v>
      </c>
      <c r="E782" t="str">
        <f t="shared" si="369"/>
        <v>2025/11/03</v>
      </c>
      <c r="F782" t="str">
        <f t="shared" si="378"/>
        <v>November</v>
      </c>
      <c r="G782">
        <f t="shared" si="379"/>
        <v>2025</v>
      </c>
      <c r="H782" t="s">
        <v>2816</v>
      </c>
      <c r="I782" s="4">
        <v>45731</v>
      </c>
      <c r="J782" s="8">
        <f t="shared" si="370"/>
        <v>-233</v>
      </c>
      <c r="K782" s="8" t="str">
        <f t="shared" si="380"/>
        <v>INVAILD_SHIPPING</v>
      </c>
      <c r="L782" t="s">
        <v>2817</v>
      </c>
      <c r="M782" t="s">
        <v>161</v>
      </c>
      <c r="N782" t="str">
        <f t="shared" si="371"/>
        <v>Aarav Sharma</v>
      </c>
      <c r="O782" t="s">
        <v>114</v>
      </c>
      <c r="P782" t="str">
        <f t="shared" si="394"/>
        <v>Home Office</v>
      </c>
      <c r="Q782" t="s">
        <v>61</v>
      </c>
      <c r="R782" t="str">
        <f t="shared" si="367"/>
        <v>South</v>
      </c>
      <c r="S782" t="str">
        <f t="shared" si="381"/>
        <v>OK</v>
      </c>
      <c r="T782" t="s">
        <v>228</v>
      </c>
      <c r="U782" t="str">
        <f t="shared" si="372"/>
        <v>Karnataka</v>
      </c>
      <c r="V782" t="s">
        <v>229</v>
      </c>
      <c r="W782" t="str">
        <f t="shared" si="373"/>
        <v>Bengaluru</v>
      </c>
      <c r="X782" t="str">
        <f t="shared" si="374"/>
        <v>Technology</v>
      </c>
      <c r="Y782" t="s">
        <v>85</v>
      </c>
      <c r="Z782" t="s">
        <v>86</v>
      </c>
      <c r="AA782" t="str">
        <f t="shared" si="375"/>
        <v>Accessories</v>
      </c>
      <c r="AB782" t="s">
        <v>2818</v>
      </c>
      <c r="AC782" t="s">
        <v>32</v>
      </c>
      <c r="AD782" t="str">
        <f t="shared" si="393"/>
        <v>Second Class</v>
      </c>
      <c r="AE782" t="str">
        <f t="shared" si="382"/>
        <v>OK</v>
      </c>
      <c r="AF782">
        <v>8</v>
      </c>
      <c r="AG782">
        <v>4446.3599999999997</v>
      </c>
      <c r="AH782">
        <v>0.1</v>
      </c>
      <c r="AI782">
        <f t="shared" si="383"/>
        <v>0.1</v>
      </c>
      <c r="AJ782" t="str">
        <f t="shared" si="384"/>
        <v>OK</v>
      </c>
      <c r="AK782">
        <v>32013.79</v>
      </c>
      <c r="AL782">
        <v>20896.88</v>
      </c>
      <c r="AM782">
        <v>11116.91</v>
      </c>
      <c r="AN782" t="s">
        <v>123</v>
      </c>
      <c r="AO782" t="str">
        <f t="shared" si="376"/>
        <v>REFUNDED</v>
      </c>
      <c r="AP782" t="str">
        <f t="shared" si="385"/>
        <v>REFUNDED_PAYMENT</v>
      </c>
      <c r="AQ782" t="s">
        <v>77</v>
      </c>
      <c r="AR782" t="str">
        <f t="shared" si="377"/>
        <v>CANCELLED</v>
      </c>
      <c r="AS782" t="str">
        <f t="shared" si="386"/>
        <v>EXCLUDE_FROM_SALES</v>
      </c>
      <c r="AT782">
        <f t="shared" si="387"/>
        <v>32013.791999999998</v>
      </c>
      <c r="AU782">
        <f t="shared" si="388"/>
        <v>11116.911999999997</v>
      </c>
      <c r="AV782" s="6">
        <f t="shared" si="389"/>
        <v>0.12867797729178726</v>
      </c>
      <c r="AW782" t="str">
        <f t="shared" si="390"/>
        <v>CLEAN</v>
      </c>
      <c r="AX782" s="10" t="str">
        <f t="shared" si="391"/>
        <v>MATCH</v>
      </c>
      <c r="AY782" t="str">
        <f t="shared" si="392"/>
        <v>MATCH</v>
      </c>
    </row>
    <row r="783" spans="1:51">
      <c r="A783" t="s">
        <v>2836</v>
      </c>
      <c r="B783">
        <f t="shared" si="368"/>
        <v>1</v>
      </c>
      <c r="C783" t="s">
        <v>1357</v>
      </c>
      <c r="D783" s="3">
        <v>45927</v>
      </c>
      <c r="E783" t="str">
        <f t="shared" si="369"/>
        <v>2025/09/27</v>
      </c>
      <c r="F783" t="str">
        <f t="shared" si="378"/>
        <v>September</v>
      </c>
      <c r="G783">
        <f t="shared" si="379"/>
        <v>2025</v>
      </c>
      <c r="H783" t="s">
        <v>2837</v>
      </c>
      <c r="I783" s="4">
        <v>45929</v>
      </c>
      <c r="J783" s="8">
        <f t="shared" si="370"/>
        <v>2</v>
      </c>
      <c r="K783" s="8" t="str">
        <f t="shared" si="380"/>
        <v>OK</v>
      </c>
      <c r="L783" t="s">
        <v>2528</v>
      </c>
      <c r="M783" t="s">
        <v>60</v>
      </c>
      <c r="N783" t="str">
        <f t="shared" si="371"/>
        <v>Arjun Bose</v>
      </c>
      <c r="O783" t="s">
        <v>114</v>
      </c>
      <c r="P783" t="str">
        <f t="shared" si="394"/>
        <v>Home Office</v>
      </c>
      <c r="Q783" t="s">
        <v>26</v>
      </c>
      <c r="R783" t="str">
        <f t="shared" si="367"/>
        <v>North</v>
      </c>
      <c r="S783" t="str">
        <f t="shared" si="381"/>
        <v>OK</v>
      </c>
      <c r="T783" t="s">
        <v>173</v>
      </c>
      <c r="U783" t="str">
        <f t="shared" si="372"/>
        <v>Uttar Pradesh</v>
      </c>
      <c r="V783" t="s">
        <v>174</v>
      </c>
      <c r="W783" t="str">
        <f t="shared" si="373"/>
        <v>Noida</v>
      </c>
      <c r="X783" t="str">
        <f t="shared" si="374"/>
        <v>Furniture</v>
      </c>
      <c r="Y783" t="s">
        <v>44</v>
      </c>
      <c r="Z783" t="s">
        <v>45</v>
      </c>
      <c r="AA783" t="str">
        <f t="shared" si="375"/>
        <v>Tables</v>
      </c>
      <c r="AB783" t="s">
        <v>2838</v>
      </c>
      <c r="AC783" t="s">
        <v>32</v>
      </c>
      <c r="AD783" t="str">
        <f t="shared" si="393"/>
        <v>Second Class</v>
      </c>
      <c r="AE783" t="str">
        <f t="shared" si="382"/>
        <v>OK</v>
      </c>
      <c r="AF783">
        <v>9</v>
      </c>
      <c r="AG783">
        <v>4100.1099999999997</v>
      </c>
      <c r="AH783">
        <v>0.25</v>
      </c>
      <c r="AI783">
        <f t="shared" si="383"/>
        <v>0.25</v>
      </c>
      <c r="AJ783" t="str">
        <f t="shared" si="384"/>
        <v>OK</v>
      </c>
      <c r="AK783">
        <v>27675.74</v>
      </c>
      <c r="AL783">
        <v>15571.08</v>
      </c>
      <c r="AM783">
        <v>12104.66</v>
      </c>
      <c r="AN783" t="s">
        <v>33</v>
      </c>
      <c r="AO783" t="str">
        <f t="shared" si="376"/>
        <v>PAID</v>
      </c>
      <c r="AP783" t="str">
        <f t="shared" si="385"/>
        <v>OK</v>
      </c>
      <c r="AQ783" t="s">
        <v>34</v>
      </c>
      <c r="AR783" t="str">
        <f t="shared" si="377"/>
        <v>COMPLETED</v>
      </c>
      <c r="AS783" t="str">
        <f t="shared" si="386"/>
        <v>OK</v>
      </c>
      <c r="AT783">
        <f t="shared" si="387"/>
        <v>27675.7425</v>
      </c>
      <c r="AU783">
        <f t="shared" si="388"/>
        <v>12104.6625</v>
      </c>
      <c r="AV783" s="6">
        <f t="shared" si="389"/>
        <v>1.2421202430250971E-2</v>
      </c>
      <c r="AW783" t="str">
        <f t="shared" si="390"/>
        <v>CLEAN</v>
      </c>
      <c r="AX783" s="10" t="str">
        <f t="shared" si="391"/>
        <v>MATCH</v>
      </c>
      <c r="AY783" t="str">
        <f t="shared" si="392"/>
        <v>MATCH</v>
      </c>
    </row>
    <row r="784" spans="1:51">
      <c r="A784" t="s">
        <v>2843</v>
      </c>
      <c r="B784">
        <f t="shared" si="368"/>
        <v>1</v>
      </c>
      <c r="C784" t="s">
        <v>2844</v>
      </c>
      <c r="D784" s="3">
        <v>45963</v>
      </c>
      <c r="E784" t="str">
        <f t="shared" si="369"/>
        <v>2025/11/02</v>
      </c>
      <c r="F784" t="str">
        <f t="shared" si="378"/>
        <v>November</v>
      </c>
      <c r="G784">
        <f t="shared" si="379"/>
        <v>2025</v>
      </c>
      <c r="H784" t="s">
        <v>2845</v>
      </c>
      <c r="I784" s="4">
        <v>45704</v>
      </c>
      <c r="J784" s="8">
        <f t="shared" si="370"/>
        <v>-259</v>
      </c>
      <c r="K784" s="8" t="str">
        <f t="shared" si="380"/>
        <v>INVAILD_SHIPPING</v>
      </c>
      <c r="L784" t="s">
        <v>2846</v>
      </c>
      <c r="M784" t="s">
        <v>39</v>
      </c>
      <c r="N784" t="str">
        <f t="shared" si="371"/>
        <v>Mira Das</v>
      </c>
      <c r="O784" t="s">
        <v>107</v>
      </c>
      <c r="P784" t="str">
        <f t="shared" si="394"/>
        <v>Corporate</v>
      </c>
      <c r="Q784" t="s">
        <v>26</v>
      </c>
      <c r="R784" t="str">
        <f t="shared" si="367"/>
        <v>North</v>
      </c>
      <c r="S784" t="str">
        <f t="shared" si="381"/>
        <v>OK</v>
      </c>
      <c r="T784" t="s">
        <v>173</v>
      </c>
      <c r="U784" t="str">
        <f t="shared" si="372"/>
        <v>Uttar Pradesh</v>
      </c>
      <c r="V784" t="s">
        <v>174</v>
      </c>
      <c r="W784" t="str">
        <f t="shared" si="373"/>
        <v>Noida</v>
      </c>
      <c r="X784" t="str">
        <f t="shared" si="374"/>
        <v>Technology</v>
      </c>
      <c r="Y784" t="s">
        <v>85</v>
      </c>
      <c r="Z784" t="s">
        <v>222</v>
      </c>
      <c r="AA784" t="str">
        <f t="shared" si="375"/>
        <v>Phones</v>
      </c>
      <c r="AB784" t="s">
        <v>2847</v>
      </c>
      <c r="AC784" t="s">
        <v>55</v>
      </c>
      <c r="AD784" t="str">
        <f t="shared" si="393"/>
        <v>First Class</v>
      </c>
      <c r="AE784" t="str">
        <f t="shared" si="382"/>
        <v>OK</v>
      </c>
      <c r="AF784">
        <v>8</v>
      </c>
      <c r="AG784">
        <v>1825.56</v>
      </c>
      <c r="AH784">
        <v>0.1</v>
      </c>
      <c r="AI784">
        <f t="shared" si="383"/>
        <v>0.1</v>
      </c>
      <c r="AJ784" t="str">
        <f t="shared" si="384"/>
        <v>OK</v>
      </c>
      <c r="AK784">
        <v>13144.03</v>
      </c>
      <c r="AL784">
        <v>9764</v>
      </c>
      <c r="AM784">
        <v>3380.03</v>
      </c>
      <c r="AN784" t="s">
        <v>33</v>
      </c>
      <c r="AO784" t="str">
        <f t="shared" si="376"/>
        <v>PAID</v>
      </c>
      <c r="AP784" t="str">
        <f t="shared" si="385"/>
        <v>OK</v>
      </c>
      <c r="AQ784" t="s">
        <v>34</v>
      </c>
      <c r="AR784" t="str">
        <f t="shared" si="377"/>
        <v>COMPLETED</v>
      </c>
      <c r="AS784" t="str">
        <f t="shared" si="386"/>
        <v>OK</v>
      </c>
      <c r="AT784">
        <f t="shared" si="387"/>
        <v>13144.031999999999</v>
      </c>
      <c r="AU784">
        <f t="shared" si="388"/>
        <v>3380.0319999999992</v>
      </c>
      <c r="AV784" s="6">
        <f t="shared" si="389"/>
        <v>0.21636207215563688</v>
      </c>
      <c r="AW784" t="str">
        <f t="shared" si="390"/>
        <v>CLEAN</v>
      </c>
      <c r="AX784" s="10" t="str">
        <f t="shared" si="391"/>
        <v>MATCH</v>
      </c>
      <c r="AY784" t="str">
        <f t="shared" si="392"/>
        <v>MATCH</v>
      </c>
    </row>
    <row r="785" spans="1:51">
      <c r="A785" t="s">
        <v>2851</v>
      </c>
      <c r="B785">
        <f t="shared" si="368"/>
        <v>1</v>
      </c>
      <c r="C785" t="s">
        <v>2852</v>
      </c>
      <c r="D785" s="2">
        <v>45876</v>
      </c>
      <c r="E785" t="str">
        <f t="shared" si="369"/>
        <v>2025/08/07</v>
      </c>
      <c r="F785" t="str">
        <f t="shared" si="378"/>
        <v>August</v>
      </c>
      <c r="G785">
        <f t="shared" si="379"/>
        <v>2025</v>
      </c>
      <c r="H785" t="s">
        <v>487</v>
      </c>
      <c r="I785" s="4">
        <v>45846</v>
      </c>
      <c r="J785" s="8">
        <f t="shared" si="370"/>
        <v>-30</v>
      </c>
      <c r="K785" s="8" t="str">
        <f t="shared" si="380"/>
        <v>INVAILD_SHIPPING</v>
      </c>
      <c r="L785" t="s">
        <v>2853</v>
      </c>
      <c r="M785" t="s">
        <v>106</v>
      </c>
      <c r="N785" t="str">
        <f t="shared" si="371"/>
        <v>Aditi Sen</v>
      </c>
      <c r="O785" t="s">
        <v>25</v>
      </c>
      <c r="P785" t="str">
        <f t="shared" si="394"/>
        <v>Consumer</v>
      </c>
      <c r="Q785" t="s">
        <v>61</v>
      </c>
      <c r="R785" t="str">
        <f t="shared" si="367"/>
        <v>South</v>
      </c>
      <c r="S785" t="str">
        <f t="shared" si="381"/>
        <v>OK</v>
      </c>
      <c r="T785" t="s">
        <v>62</v>
      </c>
      <c r="U785" t="str">
        <f t="shared" si="372"/>
        <v>Telangana</v>
      </c>
      <c r="V785" t="s">
        <v>63</v>
      </c>
      <c r="W785" t="str">
        <f t="shared" si="373"/>
        <v>Hyderabad</v>
      </c>
      <c r="X785" t="str">
        <f t="shared" si="374"/>
        <v>Technology</v>
      </c>
      <c r="Y785" t="s">
        <v>85</v>
      </c>
      <c r="Z785" t="s">
        <v>93</v>
      </c>
      <c r="AA785" t="str">
        <f t="shared" si="375"/>
        <v>Copiers</v>
      </c>
      <c r="AB785" t="s">
        <v>2854</v>
      </c>
      <c r="AC785" t="s">
        <v>47</v>
      </c>
      <c r="AD785" t="str">
        <f t="shared" si="393"/>
        <v>Same Day</v>
      </c>
      <c r="AE785" t="str">
        <f t="shared" si="382"/>
        <v>OK</v>
      </c>
      <c r="AF785">
        <v>9</v>
      </c>
      <c r="AG785">
        <v>274.88</v>
      </c>
      <c r="AH785">
        <v>0.25</v>
      </c>
      <c r="AI785">
        <f t="shared" si="383"/>
        <v>0.25</v>
      </c>
      <c r="AJ785" t="str">
        <f t="shared" si="384"/>
        <v>OK</v>
      </c>
      <c r="AK785">
        <v>1855.44</v>
      </c>
      <c r="AL785">
        <v>1262.74</v>
      </c>
      <c r="AM785">
        <v>592.70000000000005</v>
      </c>
      <c r="AN785" t="s">
        <v>33</v>
      </c>
      <c r="AO785" t="str">
        <f t="shared" si="376"/>
        <v>PAID</v>
      </c>
      <c r="AP785" t="str">
        <f t="shared" si="385"/>
        <v>OK</v>
      </c>
      <c r="AQ785" t="s">
        <v>34</v>
      </c>
      <c r="AR785" t="str">
        <f t="shared" si="377"/>
        <v>COMPLETED</v>
      </c>
      <c r="AS785" t="str">
        <f t="shared" si="386"/>
        <v>OK</v>
      </c>
      <c r="AT785">
        <f t="shared" si="387"/>
        <v>1855.44</v>
      </c>
      <c r="AU785">
        <f t="shared" si="388"/>
        <v>592.70000000000005</v>
      </c>
      <c r="AV785" s="6">
        <f t="shared" si="389"/>
        <v>1.7975014012848698</v>
      </c>
      <c r="AW785" t="str">
        <f t="shared" si="390"/>
        <v>CLEAN</v>
      </c>
      <c r="AX785" s="10" t="str">
        <f t="shared" si="391"/>
        <v>MATCH</v>
      </c>
      <c r="AY785" t="str">
        <f t="shared" si="392"/>
        <v>MATCH</v>
      </c>
    </row>
    <row r="786" spans="1:51">
      <c r="A786" t="s">
        <v>2863</v>
      </c>
      <c r="B786">
        <f t="shared" si="368"/>
        <v>1</v>
      </c>
      <c r="C786" t="s">
        <v>2864</v>
      </c>
      <c r="D786" s="3">
        <v>45721</v>
      </c>
      <c r="E786" t="str">
        <f t="shared" si="369"/>
        <v>2025/03/05</v>
      </c>
      <c r="F786" t="str">
        <f t="shared" si="378"/>
        <v>March</v>
      </c>
      <c r="G786">
        <f t="shared" si="379"/>
        <v>2025</v>
      </c>
      <c r="H786" t="s">
        <v>2865</v>
      </c>
      <c r="I786" s="4">
        <v>45728</v>
      </c>
      <c r="J786" s="8">
        <f t="shared" si="370"/>
        <v>7</v>
      </c>
      <c r="K786" s="8" t="str">
        <f t="shared" si="380"/>
        <v>OK</v>
      </c>
      <c r="L786" t="s">
        <v>2866</v>
      </c>
      <c r="M786" t="s">
        <v>71</v>
      </c>
      <c r="N786" t="str">
        <f t="shared" si="371"/>
        <v>Ananya Rao</v>
      </c>
      <c r="O786" t="s">
        <v>107</v>
      </c>
      <c r="P786" t="str">
        <f t="shared" si="394"/>
        <v>Corporate</v>
      </c>
      <c r="Q786" t="s">
        <v>72</v>
      </c>
      <c r="R786" t="str">
        <f t="shared" si="367"/>
        <v>West</v>
      </c>
      <c r="S786" t="str">
        <f t="shared" si="381"/>
        <v>OK</v>
      </c>
      <c r="T786" t="s">
        <v>83</v>
      </c>
      <c r="U786" t="str">
        <f t="shared" si="372"/>
        <v>Madhya Pradesh</v>
      </c>
      <c r="V786" t="s">
        <v>84</v>
      </c>
      <c r="W786" t="str">
        <f t="shared" si="373"/>
        <v>Indore</v>
      </c>
      <c r="X786" t="str">
        <f t="shared" si="374"/>
        <v>Office Supplies</v>
      </c>
      <c r="Y786" t="s">
        <v>29</v>
      </c>
      <c r="Z786" t="s">
        <v>155</v>
      </c>
      <c r="AA786" t="str">
        <f t="shared" si="375"/>
        <v>Storage</v>
      </c>
      <c r="AB786" t="s">
        <v>2867</v>
      </c>
      <c r="AC786" t="s">
        <v>47</v>
      </c>
      <c r="AD786" t="str">
        <f t="shared" si="393"/>
        <v>Same Day</v>
      </c>
      <c r="AE786" t="str">
        <f t="shared" si="382"/>
        <v>OK</v>
      </c>
      <c r="AF786">
        <v>3</v>
      </c>
      <c r="AG786">
        <v>3682.75</v>
      </c>
      <c r="AI786">
        <f t="shared" si="383"/>
        <v>0</v>
      </c>
      <c r="AJ786" t="str">
        <f t="shared" si="384"/>
        <v>Missing Discount</v>
      </c>
      <c r="AK786">
        <v>11048.25</v>
      </c>
      <c r="AL786">
        <v>9062.7199999999993</v>
      </c>
      <c r="AM786">
        <v>1985.53</v>
      </c>
      <c r="AN786" t="s">
        <v>33</v>
      </c>
      <c r="AO786" t="str">
        <f t="shared" si="376"/>
        <v>PAID</v>
      </c>
      <c r="AP786" t="str">
        <f t="shared" si="385"/>
        <v>OK</v>
      </c>
      <c r="AQ786" t="s">
        <v>34</v>
      </c>
      <c r="AR786" t="str">
        <f t="shared" si="377"/>
        <v>COMPLETED</v>
      </c>
      <c r="AS786" t="str">
        <f t="shared" si="386"/>
        <v>OK</v>
      </c>
      <c r="AT786">
        <f t="shared" si="387"/>
        <v>11048.25</v>
      </c>
      <c r="AU786">
        <f t="shared" si="388"/>
        <v>1985.5300000000007</v>
      </c>
      <c r="AV786" s="6">
        <f t="shared" si="389"/>
        <v>0.32303921435521465</v>
      </c>
      <c r="AW786" t="str">
        <f t="shared" si="390"/>
        <v>INVALID</v>
      </c>
      <c r="AX786" s="10" t="str">
        <f t="shared" si="391"/>
        <v>MATCH</v>
      </c>
      <c r="AY786" t="str">
        <f t="shared" si="392"/>
        <v>MATCH</v>
      </c>
    </row>
    <row r="787" spans="1:51">
      <c r="A787" t="s">
        <v>2878</v>
      </c>
      <c r="B787">
        <f t="shared" si="368"/>
        <v>1</v>
      </c>
      <c r="C787" t="s">
        <v>2879</v>
      </c>
      <c r="D787" s="3">
        <v>45717</v>
      </c>
      <c r="E787" t="str">
        <f t="shared" si="369"/>
        <v>2025/03/01</v>
      </c>
      <c r="F787" t="str">
        <f t="shared" si="378"/>
        <v>March</v>
      </c>
      <c r="G787">
        <f t="shared" si="379"/>
        <v>2025</v>
      </c>
      <c r="H787" t="s">
        <v>591</v>
      </c>
      <c r="I787" s="4">
        <v>45962</v>
      </c>
      <c r="J787" s="8">
        <f t="shared" si="370"/>
        <v>245</v>
      </c>
      <c r="K787" s="8" t="str">
        <f t="shared" si="380"/>
        <v>OK</v>
      </c>
      <c r="L787" t="s">
        <v>479</v>
      </c>
      <c r="M787" t="s">
        <v>82</v>
      </c>
      <c r="N787" t="str">
        <f t="shared" si="371"/>
        <v>Vikram Iyer</v>
      </c>
      <c r="O787" t="s">
        <v>107</v>
      </c>
      <c r="P787" t="str">
        <f t="shared" si="394"/>
        <v>Corporate</v>
      </c>
      <c r="Q787" t="s">
        <v>41</v>
      </c>
      <c r="R787" t="str">
        <f t="shared" si="367"/>
        <v>East</v>
      </c>
      <c r="S787" t="str">
        <f t="shared" si="381"/>
        <v>OK</v>
      </c>
      <c r="T787" t="s">
        <v>185</v>
      </c>
      <c r="U787" t="str">
        <f t="shared" si="372"/>
        <v>Bihar</v>
      </c>
      <c r="V787" t="s">
        <v>186</v>
      </c>
      <c r="W787" t="str">
        <f t="shared" si="373"/>
        <v>Patna</v>
      </c>
      <c r="X787" t="str">
        <f t="shared" si="374"/>
        <v>Technology</v>
      </c>
      <c r="Y787" t="s">
        <v>85</v>
      </c>
      <c r="Z787" t="s">
        <v>86</v>
      </c>
      <c r="AA787" t="str">
        <f t="shared" si="375"/>
        <v>Accessories</v>
      </c>
      <c r="AB787" t="s">
        <v>2880</v>
      </c>
      <c r="AC787" t="s">
        <v>55</v>
      </c>
      <c r="AD787" t="str">
        <f t="shared" si="393"/>
        <v>First Class</v>
      </c>
      <c r="AE787" t="str">
        <f t="shared" si="382"/>
        <v>OK</v>
      </c>
      <c r="AF787">
        <v>8</v>
      </c>
      <c r="AG787">
        <v>2574.29</v>
      </c>
      <c r="AH787">
        <v>0.05</v>
      </c>
      <c r="AI787">
        <f t="shared" si="383"/>
        <v>0.05</v>
      </c>
      <c r="AJ787" t="str">
        <f t="shared" si="384"/>
        <v>OK</v>
      </c>
      <c r="AK787">
        <v>19564.599999999999</v>
      </c>
      <c r="AL787">
        <v>11154.59</v>
      </c>
      <c r="AM787">
        <v>8410.01</v>
      </c>
      <c r="AN787" t="s">
        <v>136</v>
      </c>
      <c r="AO787" t="str">
        <f t="shared" si="376"/>
        <v>PENDING</v>
      </c>
      <c r="AP787" t="str">
        <f t="shared" si="385"/>
        <v>OK</v>
      </c>
      <c r="AQ787" t="s">
        <v>77</v>
      </c>
      <c r="AR787" t="str">
        <f t="shared" si="377"/>
        <v>CANCELLED</v>
      </c>
      <c r="AS787" t="str">
        <f t="shared" si="386"/>
        <v>EXCLUDE_FROM_SALES</v>
      </c>
      <c r="AT787">
        <f t="shared" si="387"/>
        <v>19564.603999999999</v>
      </c>
      <c r="AU787">
        <f t="shared" si="388"/>
        <v>8410.0139999999992</v>
      </c>
      <c r="AV787" s="6">
        <f t="shared" si="389"/>
        <v>0.15030408997800315</v>
      </c>
      <c r="AW787" t="str">
        <f t="shared" si="390"/>
        <v>CLEAN</v>
      </c>
      <c r="AX787" s="10" t="str">
        <f t="shared" si="391"/>
        <v>MATCH</v>
      </c>
      <c r="AY787" t="str">
        <f t="shared" si="392"/>
        <v>MATCH</v>
      </c>
    </row>
    <row r="788" spans="1:51">
      <c r="A788" t="s">
        <v>2881</v>
      </c>
      <c r="B788">
        <f t="shared" si="368"/>
        <v>1</v>
      </c>
      <c r="C788" t="s">
        <v>2882</v>
      </c>
      <c r="D788" s="3">
        <v>45693</v>
      </c>
      <c r="E788" t="str">
        <f t="shared" si="369"/>
        <v>2025/02/05</v>
      </c>
      <c r="F788" t="str">
        <f t="shared" si="378"/>
        <v>February</v>
      </c>
      <c r="G788">
        <f t="shared" si="379"/>
        <v>2025</v>
      </c>
      <c r="H788" t="s">
        <v>2883</v>
      </c>
      <c r="I788" s="4">
        <v>45694</v>
      </c>
      <c r="J788" s="8">
        <f t="shared" si="370"/>
        <v>1</v>
      </c>
      <c r="K788" s="8" t="str">
        <f t="shared" si="380"/>
        <v>OK</v>
      </c>
      <c r="L788" t="s">
        <v>2884</v>
      </c>
      <c r="M788" t="s">
        <v>71</v>
      </c>
      <c r="N788" t="str">
        <f t="shared" si="371"/>
        <v>Ananya Rao</v>
      </c>
      <c r="O788" t="s">
        <v>25</v>
      </c>
      <c r="P788" t="str">
        <f t="shared" si="394"/>
        <v>Consumer</v>
      </c>
      <c r="Q788" t="s">
        <v>72</v>
      </c>
      <c r="R788" t="str">
        <f t="shared" ref="R788:R793" si="395">PROPER(TRIM(SUBSTITUTE(Q788,CHAR(160)," ")))</f>
        <v>West</v>
      </c>
      <c r="S788" t="str">
        <f t="shared" si="381"/>
        <v>OK</v>
      </c>
      <c r="T788" t="s">
        <v>83</v>
      </c>
      <c r="U788" t="str">
        <f t="shared" si="372"/>
        <v>Madhya Pradesh</v>
      </c>
      <c r="V788" t="s">
        <v>84</v>
      </c>
      <c r="W788" t="str">
        <f t="shared" si="373"/>
        <v>Indore</v>
      </c>
      <c r="X788" t="str">
        <f t="shared" si="374"/>
        <v>Office Supplies</v>
      </c>
      <c r="Y788" t="s">
        <v>29</v>
      </c>
      <c r="Z788" t="s">
        <v>197</v>
      </c>
      <c r="AA788" t="str">
        <f t="shared" si="375"/>
        <v>Binders</v>
      </c>
      <c r="AB788" t="s">
        <v>2885</v>
      </c>
      <c r="AC788" t="s">
        <v>47</v>
      </c>
      <c r="AD788" t="str">
        <f t="shared" si="393"/>
        <v>Same Day</v>
      </c>
      <c r="AE788" t="str">
        <f t="shared" si="382"/>
        <v>OK</v>
      </c>
      <c r="AF788">
        <v>3</v>
      </c>
      <c r="AG788">
        <v>1076.3</v>
      </c>
      <c r="AH788">
        <v>0</v>
      </c>
      <c r="AI788">
        <f t="shared" si="383"/>
        <v>0</v>
      </c>
      <c r="AJ788" t="str">
        <f t="shared" si="384"/>
        <v>OK</v>
      </c>
      <c r="AK788">
        <v>3228.9</v>
      </c>
      <c r="AL788">
        <v>1853.23</v>
      </c>
      <c r="AM788">
        <v>1375.67</v>
      </c>
      <c r="AN788" t="s">
        <v>33</v>
      </c>
      <c r="AO788" t="str">
        <f t="shared" si="376"/>
        <v>PAID</v>
      </c>
      <c r="AP788" t="str">
        <f t="shared" si="385"/>
        <v>OK</v>
      </c>
      <c r="AQ788" t="s">
        <v>34</v>
      </c>
      <c r="AR788" t="str">
        <f t="shared" si="377"/>
        <v>COMPLETED</v>
      </c>
      <c r="AS788" t="str">
        <f t="shared" si="386"/>
        <v>OK</v>
      </c>
      <c r="AT788">
        <f t="shared" si="387"/>
        <v>3228.8999999999996</v>
      </c>
      <c r="AU788">
        <f t="shared" si="388"/>
        <v>1375.6699999999996</v>
      </c>
      <c r="AV788" s="6">
        <f t="shared" si="389"/>
        <v>0.24743101365790204</v>
      </c>
      <c r="AW788" t="str">
        <f t="shared" si="390"/>
        <v>CLEAN</v>
      </c>
      <c r="AX788" s="10" t="str">
        <f t="shared" si="391"/>
        <v>MATCH</v>
      </c>
      <c r="AY788" t="str">
        <f t="shared" si="392"/>
        <v>MATCH</v>
      </c>
    </row>
    <row r="789" spans="1:51">
      <c r="A789" t="s">
        <v>2886</v>
      </c>
      <c r="B789">
        <f t="shared" si="368"/>
        <v>1</v>
      </c>
      <c r="C789" t="s">
        <v>2612</v>
      </c>
      <c r="D789" s="3">
        <v>45907</v>
      </c>
      <c r="E789" t="str">
        <f t="shared" si="369"/>
        <v>2025/09/07</v>
      </c>
      <c r="F789" t="str">
        <f t="shared" si="378"/>
        <v>September</v>
      </c>
      <c r="G789">
        <f t="shared" si="379"/>
        <v>2025</v>
      </c>
      <c r="H789" t="s">
        <v>2887</v>
      </c>
      <c r="I789" s="4">
        <v>45851</v>
      </c>
      <c r="J789" s="8">
        <f t="shared" si="370"/>
        <v>-56</v>
      </c>
      <c r="K789" s="8" t="str">
        <f t="shared" si="380"/>
        <v>INVAILD_SHIPPING</v>
      </c>
      <c r="L789" t="s">
        <v>2888</v>
      </c>
      <c r="M789" t="s">
        <v>365</v>
      </c>
      <c r="N789" t="str">
        <f t="shared" si="371"/>
        <v>Kabir Singh</v>
      </c>
      <c r="O789" t="s">
        <v>107</v>
      </c>
      <c r="P789" t="str">
        <f t="shared" si="394"/>
        <v>Corporate</v>
      </c>
      <c r="Q789" t="s">
        <v>72</v>
      </c>
      <c r="R789" t="str">
        <f t="shared" si="395"/>
        <v>West</v>
      </c>
      <c r="S789" t="str">
        <f t="shared" si="381"/>
        <v>OK</v>
      </c>
      <c r="T789" t="s">
        <v>248</v>
      </c>
      <c r="U789" t="str">
        <f t="shared" si="372"/>
        <v>Goa</v>
      </c>
      <c r="V789" t="s">
        <v>249</v>
      </c>
      <c r="W789" t="str">
        <f t="shared" si="373"/>
        <v>Panaji</v>
      </c>
      <c r="X789" t="str">
        <f t="shared" si="374"/>
        <v>Furniture</v>
      </c>
      <c r="Y789" t="s">
        <v>44</v>
      </c>
      <c r="Z789" t="s">
        <v>64</v>
      </c>
      <c r="AA789" t="str">
        <f t="shared" si="375"/>
        <v>Furnishings</v>
      </c>
      <c r="AB789" t="s">
        <v>2889</v>
      </c>
      <c r="AC789" t="s">
        <v>32</v>
      </c>
      <c r="AD789" t="str">
        <f t="shared" si="393"/>
        <v>Second Class</v>
      </c>
      <c r="AE789" t="str">
        <f t="shared" si="382"/>
        <v>OK</v>
      </c>
      <c r="AF789">
        <v>5</v>
      </c>
      <c r="AG789">
        <v>1680.01</v>
      </c>
      <c r="AH789" t="s">
        <v>1169</v>
      </c>
      <c r="AI789">
        <f t="shared" si="383"/>
        <v>0.85</v>
      </c>
      <c r="AJ789" t="str">
        <f t="shared" si="384"/>
        <v>OK</v>
      </c>
      <c r="AK789">
        <v>7560.04</v>
      </c>
      <c r="AL789">
        <v>6448.05</v>
      </c>
      <c r="AM789">
        <v>1111.99</v>
      </c>
      <c r="AN789" t="s">
        <v>33</v>
      </c>
      <c r="AO789" t="str">
        <f t="shared" si="376"/>
        <v>PAID</v>
      </c>
      <c r="AP789" t="str">
        <f t="shared" si="385"/>
        <v>OK</v>
      </c>
      <c r="AQ789" t="s">
        <v>77</v>
      </c>
      <c r="AR789" t="str">
        <f t="shared" si="377"/>
        <v>CANCELLED</v>
      </c>
      <c r="AS789" t="str">
        <f t="shared" si="386"/>
        <v>EXCLUDE_FROM_SALES</v>
      </c>
      <c r="AT789">
        <f t="shared" si="387"/>
        <v>1260.0075000000002</v>
      </c>
      <c r="AU789">
        <f t="shared" si="388"/>
        <v>-5188.0424999999996</v>
      </c>
      <c r="AV789" s="6">
        <f t="shared" si="389"/>
        <v>5.7369003755930024</v>
      </c>
      <c r="AW789" t="str">
        <f t="shared" si="390"/>
        <v>CLEAN</v>
      </c>
      <c r="AX789" s="10" t="str">
        <f t="shared" si="391"/>
        <v>MISMATCH</v>
      </c>
      <c r="AY789" t="str">
        <f t="shared" si="392"/>
        <v>MISMATCH</v>
      </c>
    </row>
    <row r="790" spans="1:51">
      <c r="A790" t="s">
        <v>2890</v>
      </c>
      <c r="B790">
        <f t="shared" si="368"/>
        <v>1</v>
      </c>
      <c r="C790" t="s">
        <v>2891</v>
      </c>
      <c r="D790" s="2">
        <v>45710</v>
      </c>
      <c r="E790" t="str">
        <f t="shared" si="369"/>
        <v>2025/02/22</v>
      </c>
      <c r="F790" t="str">
        <f t="shared" si="378"/>
        <v>February</v>
      </c>
      <c r="G790">
        <f t="shared" si="379"/>
        <v>2025</v>
      </c>
      <c r="H790" t="s">
        <v>2527</v>
      </c>
      <c r="I790" s="4">
        <v>45716</v>
      </c>
      <c r="J790" s="8">
        <f t="shared" si="370"/>
        <v>6</v>
      </c>
      <c r="K790" s="8" t="str">
        <f t="shared" si="380"/>
        <v>OK</v>
      </c>
      <c r="L790" t="s">
        <v>2892</v>
      </c>
      <c r="M790" t="s">
        <v>147</v>
      </c>
      <c r="N790" t="str">
        <f t="shared" si="371"/>
        <v>Rahul Verma</v>
      </c>
      <c r="O790" t="s">
        <v>114</v>
      </c>
      <c r="P790" t="str">
        <f t="shared" si="394"/>
        <v>Home Office</v>
      </c>
      <c r="Q790" t="s">
        <v>72</v>
      </c>
      <c r="R790" t="str">
        <f t="shared" si="395"/>
        <v>West</v>
      </c>
      <c r="S790" t="str">
        <f t="shared" si="381"/>
        <v>OK</v>
      </c>
      <c r="T790" t="s">
        <v>83</v>
      </c>
      <c r="U790" t="str">
        <f t="shared" si="372"/>
        <v>Madhya Pradesh</v>
      </c>
      <c r="V790" t="s">
        <v>84</v>
      </c>
      <c r="W790" t="str">
        <f t="shared" si="373"/>
        <v>Indore</v>
      </c>
      <c r="X790" t="str">
        <f t="shared" si="374"/>
        <v>Technology</v>
      </c>
      <c r="Y790" t="s">
        <v>85</v>
      </c>
      <c r="Z790" t="s">
        <v>93</v>
      </c>
      <c r="AA790" t="str">
        <f t="shared" si="375"/>
        <v>Copiers</v>
      </c>
      <c r="AB790" t="s">
        <v>2893</v>
      </c>
      <c r="AC790" t="s">
        <v>47</v>
      </c>
      <c r="AD790" t="str">
        <f t="shared" si="393"/>
        <v>Same Day</v>
      </c>
      <c r="AE790" t="str">
        <f t="shared" si="382"/>
        <v>OK</v>
      </c>
      <c r="AF790">
        <v>3</v>
      </c>
      <c r="AG790">
        <v>3890.81</v>
      </c>
      <c r="AH790">
        <v>0.25</v>
      </c>
      <c r="AI790">
        <f t="shared" si="383"/>
        <v>0.25</v>
      </c>
      <c r="AJ790" t="str">
        <f t="shared" si="384"/>
        <v>OK</v>
      </c>
      <c r="AK790">
        <v>8754.32</v>
      </c>
      <c r="AL790">
        <v>6238.9</v>
      </c>
      <c r="AM790">
        <v>2515.42</v>
      </c>
      <c r="AN790" t="s">
        <v>33</v>
      </c>
      <c r="AO790" t="str">
        <f t="shared" si="376"/>
        <v>PAID</v>
      </c>
      <c r="AP790" t="str">
        <f t="shared" si="385"/>
        <v>OK</v>
      </c>
      <c r="AQ790" t="s">
        <v>34</v>
      </c>
      <c r="AR790" t="str">
        <f t="shared" si="377"/>
        <v>COMPLETED</v>
      </c>
      <c r="AS790" t="str">
        <f t="shared" si="386"/>
        <v>OK</v>
      </c>
      <c r="AT790">
        <f t="shared" si="387"/>
        <v>8754.3225000000002</v>
      </c>
      <c r="AU790">
        <f t="shared" si="388"/>
        <v>2515.4225000000006</v>
      </c>
      <c r="AV790" s="6">
        <f t="shared" si="389"/>
        <v>0.679708052793349</v>
      </c>
      <c r="AW790" t="str">
        <f t="shared" si="390"/>
        <v>CLEAN</v>
      </c>
      <c r="AX790" s="10" t="str">
        <f t="shared" si="391"/>
        <v>MATCH</v>
      </c>
      <c r="AY790" t="str">
        <f t="shared" si="392"/>
        <v>MATCH</v>
      </c>
    </row>
    <row r="791" spans="1:51">
      <c r="A791" t="s">
        <v>2894</v>
      </c>
      <c r="B791">
        <f t="shared" si="368"/>
        <v>1</v>
      </c>
      <c r="C791" t="s">
        <v>2845</v>
      </c>
      <c r="D791" s="3">
        <v>45704</v>
      </c>
      <c r="E791" t="str">
        <f t="shared" si="369"/>
        <v>2025/02/16</v>
      </c>
      <c r="F791" t="str">
        <f t="shared" si="378"/>
        <v>February</v>
      </c>
      <c r="G791">
        <f t="shared" si="379"/>
        <v>2025</v>
      </c>
      <c r="H791" t="s">
        <v>2891</v>
      </c>
      <c r="I791" s="4">
        <v>45710</v>
      </c>
      <c r="J791" s="8">
        <f t="shared" si="370"/>
        <v>6</v>
      </c>
      <c r="K791" s="8" t="str">
        <f t="shared" si="380"/>
        <v>OK</v>
      </c>
      <c r="L791" t="s">
        <v>2895</v>
      </c>
      <c r="M791" t="s">
        <v>167</v>
      </c>
      <c r="N791" t="str">
        <f t="shared" si="371"/>
        <v>Sneha Kapoor</v>
      </c>
      <c r="O791" t="s">
        <v>114</v>
      </c>
      <c r="P791" t="str">
        <f t="shared" si="394"/>
        <v>Home Office</v>
      </c>
      <c r="Q791" t="s">
        <v>41</v>
      </c>
      <c r="R791" t="str">
        <f t="shared" si="395"/>
        <v>East</v>
      </c>
      <c r="S791" t="str">
        <f t="shared" si="381"/>
        <v>OK</v>
      </c>
      <c r="T791" t="s">
        <v>185</v>
      </c>
      <c r="U791" t="str">
        <f t="shared" si="372"/>
        <v>Bihar</v>
      </c>
      <c r="V791" t="s">
        <v>186</v>
      </c>
      <c r="W791" t="str">
        <f t="shared" si="373"/>
        <v>Patna</v>
      </c>
      <c r="X791" t="str">
        <f t="shared" si="374"/>
        <v>Office Supplies</v>
      </c>
      <c r="Y791" t="s">
        <v>29</v>
      </c>
      <c r="Z791" t="s">
        <v>155</v>
      </c>
      <c r="AA791" t="str">
        <f t="shared" si="375"/>
        <v>Storage</v>
      </c>
      <c r="AB791" t="s">
        <v>2896</v>
      </c>
      <c r="AC791" t="s">
        <v>47</v>
      </c>
      <c r="AD791" t="str">
        <f t="shared" si="393"/>
        <v>Same Day</v>
      </c>
      <c r="AE791" t="str">
        <f t="shared" si="382"/>
        <v>OK</v>
      </c>
      <c r="AF791">
        <v>5</v>
      </c>
      <c r="AG791">
        <v>954.67</v>
      </c>
      <c r="AH791">
        <v>0.15</v>
      </c>
      <c r="AI791">
        <f t="shared" si="383"/>
        <v>0.15</v>
      </c>
      <c r="AJ791" t="str">
        <f t="shared" si="384"/>
        <v>OK</v>
      </c>
      <c r="AK791">
        <v>4057.35</v>
      </c>
      <c r="AL791">
        <v>2862.03</v>
      </c>
      <c r="AM791">
        <v>1195.32</v>
      </c>
      <c r="AN791" t="s">
        <v>33</v>
      </c>
      <c r="AO791" t="str">
        <f t="shared" si="376"/>
        <v>PAID</v>
      </c>
      <c r="AP791" t="str">
        <f t="shared" si="385"/>
        <v>OK</v>
      </c>
      <c r="AQ791" t="s">
        <v>34</v>
      </c>
      <c r="AR791" t="str">
        <f t="shared" si="377"/>
        <v>COMPLETED</v>
      </c>
      <c r="AS791" t="str">
        <f t="shared" si="386"/>
        <v>OK</v>
      </c>
      <c r="AT791">
        <f t="shared" si="387"/>
        <v>4057.3474999999994</v>
      </c>
      <c r="AU791">
        <f t="shared" si="388"/>
        <v>1195.3174999999992</v>
      </c>
      <c r="AV791" s="6">
        <f t="shared" si="389"/>
        <v>9.7023486403370718E-2</v>
      </c>
      <c r="AW791" t="str">
        <f t="shared" si="390"/>
        <v>CLEAN</v>
      </c>
      <c r="AX791" s="10" t="str">
        <f t="shared" si="391"/>
        <v>MATCH</v>
      </c>
      <c r="AY791" t="str">
        <f t="shared" si="392"/>
        <v>MATCH</v>
      </c>
    </row>
    <row r="792" spans="1:51">
      <c r="A792" t="s">
        <v>2899</v>
      </c>
      <c r="B792">
        <f t="shared" si="368"/>
        <v>1</v>
      </c>
      <c r="C792" t="s">
        <v>2054</v>
      </c>
      <c r="D792" s="3">
        <v>45870</v>
      </c>
      <c r="E792" t="str">
        <f t="shared" si="369"/>
        <v>2025/08/01</v>
      </c>
      <c r="F792" t="str">
        <f t="shared" si="378"/>
        <v>August</v>
      </c>
      <c r="G792">
        <f t="shared" si="379"/>
        <v>2025</v>
      </c>
      <c r="H792" t="s">
        <v>1175</v>
      </c>
      <c r="I792" s="4">
        <v>45992</v>
      </c>
      <c r="J792" s="8">
        <f t="shared" si="370"/>
        <v>122</v>
      </c>
      <c r="K792" s="8" t="str">
        <f t="shared" si="380"/>
        <v>OK</v>
      </c>
      <c r="L792" t="s">
        <v>2900</v>
      </c>
      <c r="M792" t="s">
        <v>167</v>
      </c>
      <c r="N792" t="str">
        <f t="shared" si="371"/>
        <v>Sneha Kapoor</v>
      </c>
      <c r="O792" t="s">
        <v>114</v>
      </c>
      <c r="P792" t="str">
        <f t="shared" si="394"/>
        <v>Home Office</v>
      </c>
      <c r="Q792" t="s">
        <v>61</v>
      </c>
      <c r="R792" t="str">
        <f t="shared" si="395"/>
        <v>South</v>
      </c>
      <c r="S792" t="str">
        <f t="shared" si="381"/>
        <v>OK</v>
      </c>
      <c r="T792" t="s">
        <v>228</v>
      </c>
      <c r="U792" t="str">
        <f t="shared" si="372"/>
        <v>Karnataka</v>
      </c>
      <c r="V792" t="s">
        <v>229</v>
      </c>
      <c r="W792" t="str">
        <f t="shared" si="373"/>
        <v>Bengaluru</v>
      </c>
      <c r="X792" t="str">
        <f t="shared" si="374"/>
        <v>Furniture</v>
      </c>
      <c r="Y792" t="s">
        <v>44</v>
      </c>
      <c r="Z792" t="s">
        <v>75</v>
      </c>
      <c r="AA792" t="str">
        <f t="shared" si="375"/>
        <v>Chairs</v>
      </c>
      <c r="AB792" t="s">
        <v>2901</v>
      </c>
      <c r="AC792" t="s">
        <v>66</v>
      </c>
      <c r="AD792" t="str">
        <f t="shared" si="393"/>
        <v>Standard Class</v>
      </c>
      <c r="AE792" t="str">
        <f t="shared" si="382"/>
        <v>OK</v>
      </c>
      <c r="AF792">
        <v>7</v>
      </c>
      <c r="AG792">
        <v>4337.4799999999996</v>
      </c>
      <c r="AH792">
        <v>0</v>
      </c>
      <c r="AI792">
        <f t="shared" si="383"/>
        <v>0</v>
      </c>
      <c r="AJ792" t="str">
        <f t="shared" si="384"/>
        <v>OK</v>
      </c>
      <c r="AK792">
        <v>30362.36</v>
      </c>
      <c r="AL792">
        <v>25065.4</v>
      </c>
      <c r="AM792">
        <v>5296.96</v>
      </c>
      <c r="AN792" t="s">
        <v>33</v>
      </c>
      <c r="AO792" t="str">
        <f t="shared" si="376"/>
        <v>PAID</v>
      </c>
      <c r="AP792" t="str">
        <f t="shared" si="385"/>
        <v>OK</v>
      </c>
      <c r="AQ792" t="s">
        <v>34</v>
      </c>
      <c r="AR792" t="str">
        <f t="shared" si="377"/>
        <v>COMPLETED</v>
      </c>
      <c r="AS792" t="str">
        <f t="shared" si="386"/>
        <v>OK</v>
      </c>
      <c r="AT792">
        <f t="shared" si="387"/>
        <v>30362.359999999997</v>
      </c>
      <c r="AU792">
        <f t="shared" si="388"/>
        <v>5296.9599999999955</v>
      </c>
      <c r="AV792" s="6">
        <f t="shared" si="389"/>
        <v>0.11472329555410056</v>
      </c>
      <c r="AW792" t="str">
        <f t="shared" si="390"/>
        <v>CLEAN</v>
      </c>
      <c r="AX792" s="10" t="str">
        <f t="shared" si="391"/>
        <v>MATCH</v>
      </c>
      <c r="AY792" t="str">
        <f t="shared" si="392"/>
        <v>MATCH</v>
      </c>
    </row>
    <row r="793" spans="1:51">
      <c r="A793" t="s">
        <v>2906</v>
      </c>
      <c r="B793">
        <f t="shared" si="368"/>
        <v>1</v>
      </c>
      <c r="C793" t="s">
        <v>2611</v>
      </c>
      <c r="D793" s="3">
        <v>45846</v>
      </c>
      <c r="E793" t="str">
        <f t="shared" si="369"/>
        <v>2025/07/08</v>
      </c>
      <c r="F793" t="str">
        <f t="shared" si="378"/>
        <v>July</v>
      </c>
      <c r="G793">
        <f t="shared" si="379"/>
        <v>2025</v>
      </c>
      <c r="H793" t="s">
        <v>2907</v>
      </c>
      <c r="I793" s="4">
        <v>45853</v>
      </c>
      <c r="J793" s="8">
        <f t="shared" si="370"/>
        <v>7</v>
      </c>
      <c r="K793" s="8" t="str">
        <f t="shared" si="380"/>
        <v>OK</v>
      </c>
      <c r="L793" t="s">
        <v>2908</v>
      </c>
      <c r="M793" t="s">
        <v>71</v>
      </c>
      <c r="N793" t="str">
        <f t="shared" si="371"/>
        <v>Ananya Rao</v>
      </c>
      <c r="O793" t="s">
        <v>40</v>
      </c>
      <c r="P793" t="str">
        <f t="shared" si="394"/>
        <v>Small Business</v>
      </c>
      <c r="Q793" t="s">
        <v>26</v>
      </c>
      <c r="R793" t="str">
        <f t="shared" si="395"/>
        <v>North</v>
      </c>
      <c r="S793" t="str">
        <f t="shared" si="381"/>
        <v>OK</v>
      </c>
      <c r="T793" t="s">
        <v>27</v>
      </c>
      <c r="U793" t="str">
        <f t="shared" si="372"/>
        <v>Rajasthan</v>
      </c>
      <c r="V793" t="s">
        <v>28</v>
      </c>
      <c r="W793" t="str">
        <f t="shared" si="373"/>
        <v>Jaipur</v>
      </c>
      <c r="X793" t="str">
        <f t="shared" si="374"/>
        <v>Office Supplies</v>
      </c>
      <c r="Y793" t="s">
        <v>29</v>
      </c>
      <c r="Z793" t="s">
        <v>197</v>
      </c>
      <c r="AA793" t="str">
        <f t="shared" si="375"/>
        <v>Binders</v>
      </c>
      <c r="AB793" t="s">
        <v>2909</v>
      </c>
      <c r="AC793" t="s">
        <v>47</v>
      </c>
      <c r="AD793" t="str">
        <f t="shared" si="393"/>
        <v>Same Day</v>
      </c>
      <c r="AE793" t="str">
        <f t="shared" si="382"/>
        <v>OK</v>
      </c>
      <c r="AF793">
        <v>8</v>
      </c>
      <c r="AG793">
        <v>655.28</v>
      </c>
      <c r="AH793">
        <v>0.1</v>
      </c>
      <c r="AI793">
        <f t="shared" si="383"/>
        <v>0.1</v>
      </c>
      <c r="AJ793" t="str">
        <f t="shared" si="384"/>
        <v>OK</v>
      </c>
      <c r="AK793">
        <v>4718.0200000000004</v>
      </c>
      <c r="AL793">
        <v>3908.23</v>
      </c>
      <c r="AM793">
        <v>809.79</v>
      </c>
      <c r="AN793" t="s">
        <v>33</v>
      </c>
      <c r="AO793" t="str">
        <f t="shared" si="376"/>
        <v>PAID</v>
      </c>
      <c r="AP793" t="str">
        <f t="shared" si="385"/>
        <v>OK</v>
      </c>
      <c r="AQ793" t="s">
        <v>34</v>
      </c>
      <c r="AR793" t="str">
        <f t="shared" si="377"/>
        <v>COMPLETED</v>
      </c>
      <c r="AS793" t="str">
        <f t="shared" si="386"/>
        <v>OK</v>
      </c>
      <c r="AT793">
        <f t="shared" si="387"/>
        <v>4718.0159999999996</v>
      </c>
      <c r="AU793">
        <f t="shared" si="388"/>
        <v>809.7859999999996</v>
      </c>
      <c r="AV793" s="6">
        <f t="shared" si="389"/>
        <v>0.15718259539603088</v>
      </c>
      <c r="AW793" t="str">
        <f t="shared" si="390"/>
        <v>CLEAN</v>
      </c>
      <c r="AX793" s="10" t="str">
        <f t="shared" si="391"/>
        <v>MATCH</v>
      </c>
      <c r="AY793" t="str">
        <f t="shared" si="392"/>
        <v>MATCH</v>
      </c>
    </row>
    <row r="794" spans="1:51">
      <c r="A794" t="s">
        <v>2910</v>
      </c>
      <c r="B794">
        <f t="shared" si="368"/>
        <v>1</v>
      </c>
      <c r="C794" t="s">
        <v>2911</v>
      </c>
      <c r="D794" s="2">
        <v>45812</v>
      </c>
      <c r="E794" t="str">
        <f t="shared" si="369"/>
        <v>2025/06/04</v>
      </c>
      <c r="F794" t="str">
        <f t="shared" si="378"/>
        <v>June</v>
      </c>
      <c r="G794">
        <f t="shared" si="379"/>
        <v>2025</v>
      </c>
      <c r="H794" t="s">
        <v>2912</v>
      </c>
      <c r="I794" s="4">
        <v>45760</v>
      </c>
      <c r="J794" s="8">
        <f t="shared" si="370"/>
        <v>-52</v>
      </c>
      <c r="K794" s="8" t="str">
        <f t="shared" si="380"/>
        <v>INVAILD_SHIPPING</v>
      </c>
      <c r="L794" t="s">
        <v>2913</v>
      </c>
      <c r="M794" t="s">
        <v>106</v>
      </c>
      <c r="N794" t="str">
        <f t="shared" si="371"/>
        <v>Aditi Sen</v>
      </c>
      <c r="O794" t="s">
        <v>25</v>
      </c>
      <c r="P794" t="str">
        <f t="shared" si="394"/>
        <v>Consumer</v>
      </c>
      <c r="R794" t="s">
        <v>4109</v>
      </c>
      <c r="S794" t="str">
        <f t="shared" si="381"/>
        <v>MISSING_REGION</v>
      </c>
      <c r="T794" t="s">
        <v>42</v>
      </c>
      <c r="U794" t="str">
        <f t="shared" si="372"/>
        <v>Odisha</v>
      </c>
      <c r="V794" t="s">
        <v>43</v>
      </c>
      <c r="W794" t="str">
        <f t="shared" si="373"/>
        <v>Bhubaneswar</v>
      </c>
      <c r="X794" t="str">
        <f t="shared" si="374"/>
        <v>Technology</v>
      </c>
      <c r="Y794" t="s">
        <v>85</v>
      </c>
      <c r="Z794" t="s">
        <v>222</v>
      </c>
      <c r="AA794" t="str">
        <f t="shared" si="375"/>
        <v>Phones</v>
      </c>
      <c r="AB794" t="s">
        <v>2914</v>
      </c>
      <c r="AC794" t="s">
        <v>66</v>
      </c>
      <c r="AD794" t="str">
        <f t="shared" si="393"/>
        <v>Standard Class</v>
      </c>
      <c r="AE794" t="str">
        <f t="shared" si="382"/>
        <v>OK</v>
      </c>
      <c r="AF794">
        <v>1</v>
      </c>
      <c r="AG794">
        <v>3844.01</v>
      </c>
      <c r="AH794">
        <v>0</v>
      </c>
      <c r="AI794">
        <f t="shared" si="383"/>
        <v>0</v>
      </c>
      <c r="AJ794" t="str">
        <f t="shared" si="384"/>
        <v>OK</v>
      </c>
      <c r="AK794">
        <v>3844.01</v>
      </c>
      <c r="AL794">
        <v>2195.79</v>
      </c>
      <c r="AM794">
        <v>1648.22</v>
      </c>
      <c r="AN794" t="s">
        <v>33</v>
      </c>
      <c r="AO794" t="str">
        <f t="shared" si="376"/>
        <v>PAID</v>
      </c>
      <c r="AP794" t="str">
        <f t="shared" si="385"/>
        <v>OK</v>
      </c>
      <c r="AQ794" t="s">
        <v>34</v>
      </c>
      <c r="AR794" t="str">
        <f t="shared" si="377"/>
        <v>COMPLETED</v>
      </c>
      <c r="AS794" t="str">
        <f t="shared" si="386"/>
        <v>OK</v>
      </c>
      <c r="AT794">
        <f t="shared" si="387"/>
        <v>3844.01</v>
      </c>
      <c r="AU794">
        <f t="shared" si="388"/>
        <v>1648.2200000000003</v>
      </c>
      <c r="AV794" s="6">
        <f t="shared" si="389"/>
        <v>1.8928436710622507</v>
      </c>
      <c r="AW794" t="str">
        <f t="shared" si="390"/>
        <v>WARNING</v>
      </c>
      <c r="AX794" s="10" t="str">
        <f t="shared" si="391"/>
        <v>MATCH</v>
      </c>
      <c r="AY794" t="str">
        <f t="shared" si="392"/>
        <v>MATCH</v>
      </c>
    </row>
    <row r="795" spans="1:51">
      <c r="A795" t="s">
        <v>2953</v>
      </c>
      <c r="B795">
        <f t="shared" si="368"/>
        <v>1</v>
      </c>
      <c r="C795" t="s">
        <v>2954</v>
      </c>
      <c r="D795" s="3">
        <v>45686</v>
      </c>
      <c r="E795" t="str">
        <f t="shared" si="369"/>
        <v>2025/01/29</v>
      </c>
      <c r="F795" t="str">
        <f t="shared" si="378"/>
        <v>January</v>
      </c>
      <c r="G795">
        <f t="shared" si="379"/>
        <v>2025</v>
      </c>
      <c r="H795" t="s">
        <v>2955</v>
      </c>
      <c r="I795" s="4">
        <v>45694</v>
      </c>
      <c r="J795" s="8">
        <f t="shared" si="370"/>
        <v>8</v>
      </c>
      <c r="K795" s="8" t="str">
        <f t="shared" si="380"/>
        <v>OK</v>
      </c>
      <c r="L795" t="s">
        <v>2956</v>
      </c>
      <c r="M795" t="s">
        <v>82</v>
      </c>
      <c r="N795" t="str">
        <f t="shared" si="371"/>
        <v>Vikram Iyer</v>
      </c>
      <c r="O795" t="s">
        <v>25</v>
      </c>
      <c r="P795" t="str">
        <f t="shared" si="394"/>
        <v>Consumer</v>
      </c>
      <c r="Q795" t="s">
        <v>41</v>
      </c>
      <c r="R795" t="str">
        <f t="shared" ref="R795:R814" si="396">PROPER(TRIM(SUBSTITUTE(Q795,CHAR(160)," ")))</f>
        <v>East</v>
      </c>
      <c r="S795" t="str">
        <f t="shared" si="381"/>
        <v>OK</v>
      </c>
      <c r="T795" t="s">
        <v>185</v>
      </c>
      <c r="U795" t="str">
        <f t="shared" si="372"/>
        <v>Bihar</v>
      </c>
      <c r="V795" t="s">
        <v>186</v>
      </c>
      <c r="W795" t="str">
        <f t="shared" si="373"/>
        <v>Patna</v>
      </c>
      <c r="X795" t="str">
        <f t="shared" si="374"/>
        <v>Office Supplies</v>
      </c>
      <c r="Y795" t="s">
        <v>29</v>
      </c>
      <c r="Z795" t="s">
        <v>155</v>
      </c>
      <c r="AA795" t="str">
        <f t="shared" si="375"/>
        <v>Storage</v>
      </c>
      <c r="AB795" t="s">
        <v>2957</v>
      </c>
      <c r="AC795" t="s">
        <v>66</v>
      </c>
      <c r="AD795" t="str">
        <f t="shared" si="393"/>
        <v>Standard Class</v>
      </c>
      <c r="AE795" t="str">
        <f t="shared" si="382"/>
        <v>OK</v>
      </c>
      <c r="AF795">
        <v>4</v>
      </c>
      <c r="AG795">
        <v>2759.01</v>
      </c>
      <c r="AH795">
        <v>0.05</v>
      </c>
      <c r="AI795">
        <f t="shared" si="383"/>
        <v>0.05</v>
      </c>
      <c r="AJ795" t="str">
        <f t="shared" si="384"/>
        <v>OK</v>
      </c>
      <c r="AK795">
        <v>10484.24</v>
      </c>
      <c r="AL795">
        <v>6680.15</v>
      </c>
      <c r="AM795">
        <v>3804.09</v>
      </c>
      <c r="AN795" t="s">
        <v>33</v>
      </c>
      <c r="AO795" t="str">
        <f t="shared" si="376"/>
        <v>PAID</v>
      </c>
      <c r="AP795" t="str">
        <f t="shared" si="385"/>
        <v>OK</v>
      </c>
      <c r="AQ795" t="s">
        <v>34</v>
      </c>
      <c r="AR795" t="str">
        <f t="shared" si="377"/>
        <v>COMPLETED</v>
      </c>
      <c r="AS795" t="str">
        <f t="shared" si="386"/>
        <v>OK</v>
      </c>
      <c r="AT795">
        <f t="shared" si="387"/>
        <v>10484.238000000001</v>
      </c>
      <c r="AU795">
        <f t="shared" si="388"/>
        <v>3804.0880000000016</v>
      </c>
      <c r="AV795" s="6">
        <f t="shared" si="389"/>
        <v>1.8791637503841486E-2</v>
      </c>
      <c r="AW795" t="str">
        <f t="shared" si="390"/>
        <v>CLEAN</v>
      </c>
      <c r="AX795" s="10" t="str">
        <f t="shared" si="391"/>
        <v>MATCH</v>
      </c>
      <c r="AY795" t="str">
        <f t="shared" si="392"/>
        <v>MATCH</v>
      </c>
    </row>
    <row r="796" spans="1:51">
      <c r="A796" t="s">
        <v>2972</v>
      </c>
      <c r="B796">
        <f t="shared" si="368"/>
        <v>1</v>
      </c>
      <c r="C796" t="s">
        <v>1388</v>
      </c>
      <c r="D796" s="3">
        <v>45812</v>
      </c>
      <c r="E796" t="str">
        <f t="shared" si="369"/>
        <v>2025/06/04</v>
      </c>
      <c r="F796" t="str">
        <f t="shared" si="378"/>
        <v>June</v>
      </c>
      <c r="G796">
        <f t="shared" si="379"/>
        <v>2025</v>
      </c>
      <c r="H796" t="s">
        <v>2973</v>
      </c>
      <c r="I796" s="4">
        <v>45815</v>
      </c>
      <c r="J796" s="8">
        <f t="shared" si="370"/>
        <v>3</v>
      </c>
      <c r="K796" s="8" t="str">
        <f t="shared" si="380"/>
        <v>OK</v>
      </c>
      <c r="L796" t="s">
        <v>2974</v>
      </c>
      <c r="M796" t="s">
        <v>167</v>
      </c>
      <c r="N796" t="str">
        <f t="shared" si="371"/>
        <v>Sneha Kapoor</v>
      </c>
      <c r="O796" t="s">
        <v>114</v>
      </c>
      <c r="P796" t="str">
        <f t="shared" si="394"/>
        <v>Home Office</v>
      </c>
      <c r="Q796" t="s">
        <v>41</v>
      </c>
      <c r="R796" t="str">
        <f t="shared" si="396"/>
        <v>East</v>
      </c>
      <c r="S796" t="str">
        <f t="shared" si="381"/>
        <v>OK</v>
      </c>
      <c r="T796" t="s">
        <v>215</v>
      </c>
      <c r="U796" t="str">
        <f t="shared" si="372"/>
        <v>Assam</v>
      </c>
      <c r="V796" t="s">
        <v>216</v>
      </c>
      <c r="W796" t="str">
        <f t="shared" si="373"/>
        <v>Guwahati</v>
      </c>
      <c r="X796" t="str">
        <f t="shared" si="374"/>
        <v>Technology</v>
      </c>
      <c r="Y796" t="s">
        <v>85</v>
      </c>
      <c r="Z796" t="s">
        <v>381</v>
      </c>
      <c r="AA796" t="str">
        <f t="shared" si="375"/>
        <v>Machines</v>
      </c>
      <c r="AB796" t="s">
        <v>2975</v>
      </c>
      <c r="AC796" t="s">
        <v>66</v>
      </c>
      <c r="AD796" t="str">
        <f t="shared" si="393"/>
        <v>Standard Class</v>
      </c>
      <c r="AE796" t="str">
        <f t="shared" si="382"/>
        <v>OK</v>
      </c>
      <c r="AF796">
        <v>8</v>
      </c>
      <c r="AG796">
        <v>1434.13</v>
      </c>
      <c r="AH796">
        <v>0</v>
      </c>
      <c r="AI796">
        <f t="shared" si="383"/>
        <v>0</v>
      </c>
      <c r="AJ796" t="str">
        <f t="shared" si="384"/>
        <v>OK</v>
      </c>
      <c r="AK796">
        <v>11473.04</v>
      </c>
      <c r="AL796">
        <v>8931.33</v>
      </c>
      <c r="AM796">
        <v>2541.71</v>
      </c>
      <c r="AN796" t="s">
        <v>136</v>
      </c>
      <c r="AO796" t="str">
        <f t="shared" si="376"/>
        <v>PENDING</v>
      </c>
      <c r="AP796" t="str">
        <f t="shared" si="385"/>
        <v>OK</v>
      </c>
      <c r="AQ796" t="s">
        <v>124</v>
      </c>
      <c r="AR796" t="str">
        <f t="shared" si="377"/>
        <v>RETURNED</v>
      </c>
      <c r="AS796" t="str">
        <f t="shared" si="386"/>
        <v>RETURNED_ORDER</v>
      </c>
      <c r="AT796">
        <f t="shared" si="387"/>
        <v>11473.04</v>
      </c>
      <c r="AU796">
        <f t="shared" si="388"/>
        <v>2541.7100000000009</v>
      </c>
      <c r="AV796" s="6">
        <f t="shared" si="389"/>
        <v>0.59009608612887254</v>
      </c>
      <c r="AW796" t="str">
        <f t="shared" si="390"/>
        <v>CLEAN</v>
      </c>
      <c r="AX796" s="10" t="str">
        <f t="shared" si="391"/>
        <v>MATCH</v>
      </c>
      <c r="AY796" t="str">
        <f t="shared" si="392"/>
        <v>MATCH</v>
      </c>
    </row>
    <row r="797" spans="1:51">
      <c r="A797" t="s">
        <v>2976</v>
      </c>
      <c r="B797">
        <f t="shared" si="368"/>
        <v>1</v>
      </c>
      <c r="C797" t="s">
        <v>1413</v>
      </c>
      <c r="D797" s="3">
        <v>45701</v>
      </c>
      <c r="E797" t="str">
        <f t="shared" si="369"/>
        <v>2025/02/13</v>
      </c>
      <c r="F797" t="str">
        <f t="shared" si="378"/>
        <v>February</v>
      </c>
      <c r="G797">
        <f t="shared" si="379"/>
        <v>2025</v>
      </c>
      <c r="H797" t="s">
        <v>1774</v>
      </c>
      <c r="I797" s="4">
        <v>45709</v>
      </c>
      <c r="J797" s="8">
        <f t="shared" si="370"/>
        <v>8</v>
      </c>
      <c r="K797" s="8" t="str">
        <f t="shared" si="380"/>
        <v>OK</v>
      </c>
      <c r="L797" t="s">
        <v>2977</v>
      </c>
      <c r="M797" t="s">
        <v>24</v>
      </c>
      <c r="N797" t="str">
        <f t="shared" si="371"/>
        <v>Karan Malhotra</v>
      </c>
      <c r="O797" t="s">
        <v>40</v>
      </c>
      <c r="P797" t="str">
        <f t="shared" si="394"/>
        <v>Small Business</v>
      </c>
      <c r="Q797" t="s">
        <v>61</v>
      </c>
      <c r="R797" t="str">
        <f t="shared" si="396"/>
        <v>South</v>
      </c>
      <c r="S797" t="str">
        <f t="shared" si="381"/>
        <v>OK</v>
      </c>
      <c r="T797" t="s">
        <v>241</v>
      </c>
      <c r="U797" t="str">
        <f t="shared" si="372"/>
        <v>Kerala</v>
      </c>
      <c r="V797" t="s">
        <v>242</v>
      </c>
      <c r="W797" t="str">
        <f t="shared" si="373"/>
        <v>Kochi</v>
      </c>
      <c r="X797" t="str">
        <f t="shared" si="374"/>
        <v>Technology</v>
      </c>
      <c r="Y797" t="s">
        <v>85</v>
      </c>
      <c r="Z797" t="s">
        <v>222</v>
      </c>
      <c r="AA797" t="str">
        <f t="shared" si="375"/>
        <v>Phones</v>
      </c>
      <c r="AB797" t="s">
        <v>2978</v>
      </c>
      <c r="AC797" t="s">
        <v>32</v>
      </c>
      <c r="AD797" t="str">
        <f t="shared" si="393"/>
        <v>Second Class</v>
      </c>
      <c r="AE797" t="str">
        <f t="shared" si="382"/>
        <v>OK</v>
      </c>
      <c r="AF797">
        <v>2</v>
      </c>
      <c r="AG797">
        <v>2360.02</v>
      </c>
      <c r="AH797">
        <v>0.15</v>
      </c>
      <c r="AI797">
        <f t="shared" si="383"/>
        <v>0.15</v>
      </c>
      <c r="AJ797" t="str">
        <f t="shared" si="384"/>
        <v>OK</v>
      </c>
      <c r="AK797">
        <v>4012.03</v>
      </c>
      <c r="AL797">
        <v>3142.92</v>
      </c>
      <c r="AM797">
        <v>869.11</v>
      </c>
      <c r="AN797" t="s">
        <v>136</v>
      </c>
      <c r="AO797" t="str">
        <f t="shared" si="376"/>
        <v>PENDING</v>
      </c>
      <c r="AP797" t="str">
        <f t="shared" si="385"/>
        <v>OK</v>
      </c>
      <c r="AQ797" t="s">
        <v>77</v>
      </c>
      <c r="AR797" t="str">
        <f t="shared" si="377"/>
        <v>CANCELLED</v>
      </c>
      <c r="AS797" t="str">
        <f t="shared" si="386"/>
        <v>EXCLUDE_FROM_SALES</v>
      </c>
      <c r="AT797">
        <f t="shared" si="387"/>
        <v>4012.0339999999997</v>
      </c>
      <c r="AU797">
        <f t="shared" si="388"/>
        <v>869.11399999999958</v>
      </c>
      <c r="AV797" s="6">
        <f t="shared" si="389"/>
        <v>0.51283563399512566</v>
      </c>
      <c r="AW797" t="str">
        <f t="shared" si="390"/>
        <v>CLEAN</v>
      </c>
      <c r="AX797" s="10" t="str">
        <f t="shared" si="391"/>
        <v>MATCH</v>
      </c>
      <c r="AY797" t="str">
        <f t="shared" si="392"/>
        <v>MATCH</v>
      </c>
    </row>
    <row r="798" spans="1:51">
      <c r="A798" t="s">
        <v>2979</v>
      </c>
      <c r="B798">
        <f t="shared" si="368"/>
        <v>1</v>
      </c>
      <c r="C798" t="s">
        <v>2552</v>
      </c>
      <c r="D798" s="3">
        <v>45787</v>
      </c>
      <c r="E798" t="str">
        <f t="shared" si="369"/>
        <v>2025/05/10</v>
      </c>
      <c r="F798" t="str">
        <f t="shared" si="378"/>
        <v>May</v>
      </c>
      <c r="G798">
        <f t="shared" si="379"/>
        <v>2025</v>
      </c>
      <c r="H798" t="s">
        <v>2980</v>
      </c>
      <c r="I798" s="4">
        <v>45942</v>
      </c>
      <c r="J798" s="8">
        <f t="shared" si="370"/>
        <v>155</v>
      </c>
      <c r="K798" s="8" t="str">
        <f t="shared" si="380"/>
        <v>OK</v>
      </c>
      <c r="L798" t="s">
        <v>2981</v>
      </c>
      <c r="M798" t="s">
        <v>71</v>
      </c>
      <c r="N798" t="str">
        <f t="shared" si="371"/>
        <v>Ananya Rao</v>
      </c>
      <c r="O798" t="s">
        <v>114</v>
      </c>
      <c r="P798" t="str">
        <f t="shared" si="394"/>
        <v>Home Office</v>
      </c>
      <c r="Q798" t="s">
        <v>41</v>
      </c>
      <c r="R798" t="str">
        <f t="shared" si="396"/>
        <v>East</v>
      </c>
      <c r="S798" t="str">
        <f t="shared" si="381"/>
        <v>OK</v>
      </c>
      <c r="T798" t="s">
        <v>310</v>
      </c>
      <c r="U798" t="str">
        <f t="shared" si="372"/>
        <v>Jharkhand</v>
      </c>
      <c r="V798" t="s">
        <v>311</v>
      </c>
      <c r="W798" t="str">
        <f t="shared" si="373"/>
        <v>Ranchi</v>
      </c>
      <c r="X798" t="str">
        <f t="shared" si="374"/>
        <v>Technology</v>
      </c>
      <c r="Y798" t="s">
        <v>85</v>
      </c>
      <c r="Z798" t="s">
        <v>86</v>
      </c>
      <c r="AA798" t="str">
        <f t="shared" si="375"/>
        <v>Accessories</v>
      </c>
      <c r="AB798" t="s">
        <v>2982</v>
      </c>
      <c r="AC798" t="s">
        <v>47</v>
      </c>
      <c r="AD798" t="str">
        <f t="shared" si="393"/>
        <v>Same Day</v>
      </c>
      <c r="AE798" t="str">
        <f t="shared" si="382"/>
        <v>OK</v>
      </c>
      <c r="AF798">
        <v>7</v>
      </c>
      <c r="AG798">
        <v>806.67</v>
      </c>
      <c r="AH798">
        <v>0.05</v>
      </c>
      <c r="AI798">
        <f t="shared" si="383"/>
        <v>0.05</v>
      </c>
      <c r="AJ798" t="str">
        <f t="shared" si="384"/>
        <v>OK</v>
      </c>
      <c r="AK798">
        <v>5364.36</v>
      </c>
      <c r="AL798">
        <v>4391.29</v>
      </c>
      <c r="AM798">
        <v>973.07</v>
      </c>
      <c r="AN798" t="s">
        <v>33</v>
      </c>
      <c r="AO798" t="str">
        <f t="shared" si="376"/>
        <v>PAID</v>
      </c>
      <c r="AP798" t="str">
        <f t="shared" si="385"/>
        <v>OK</v>
      </c>
      <c r="AQ798" t="s">
        <v>34</v>
      </c>
      <c r="AR798" t="str">
        <f t="shared" si="377"/>
        <v>COMPLETED</v>
      </c>
      <c r="AS798" t="str">
        <f t="shared" si="386"/>
        <v>OK</v>
      </c>
      <c r="AT798">
        <f t="shared" si="387"/>
        <v>5364.3554999999997</v>
      </c>
      <c r="AU798">
        <f t="shared" si="388"/>
        <v>973.0654999999997</v>
      </c>
      <c r="AV798" s="6">
        <f t="shared" si="389"/>
        <v>0.13414659039655363</v>
      </c>
      <c r="AW798" t="str">
        <f t="shared" si="390"/>
        <v>CLEAN</v>
      </c>
      <c r="AX798" s="10" t="str">
        <f t="shared" si="391"/>
        <v>MATCH</v>
      </c>
      <c r="AY798" t="str">
        <f t="shared" si="392"/>
        <v>MATCH</v>
      </c>
    </row>
    <row r="799" spans="1:51">
      <c r="A799" t="s">
        <v>2983</v>
      </c>
      <c r="B799">
        <f t="shared" si="368"/>
        <v>1</v>
      </c>
      <c r="C799" t="s">
        <v>572</v>
      </c>
      <c r="D799" s="3">
        <v>45939</v>
      </c>
      <c r="E799" t="str">
        <f t="shared" si="369"/>
        <v>2025/10/09</v>
      </c>
      <c r="F799" t="str">
        <f t="shared" si="378"/>
        <v>October</v>
      </c>
      <c r="G799">
        <f t="shared" si="379"/>
        <v>2025</v>
      </c>
      <c r="H799" t="s">
        <v>2984</v>
      </c>
      <c r="I799" s="4">
        <v>45914</v>
      </c>
      <c r="J799" s="8">
        <f t="shared" si="370"/>
        <v>-25</v>
      </c>
      <c r="K799" s="8" t="str">
        <f t="shared" si="380"/>
        <v>INVAILD_SHIPPING</v>
      </c>
      <c r="L799" t="s">
        <v>2985</v>
      </c>
      <c r="M799" t="s">
        <v>60</v>
      </c>
      <c r="N799" t="str">
        <f t="shared" si="371"/>
        <v>Arjun Bose</v>
      </c>
      <c r="O799" t="s">
        <v>114</v>
      </c>
      <c r="P799" t="str">
        <f t="shared" si="394"/>
        <v>Home Office</v>
      </c>
      <c r="Q799" t="s">
        <v>72</v>
      </c>
      <c r="R799" t="str">
        <f t="shared" si="396"/>
        <v>West</v>
      </c>
      <c r="S799" t="str">
        <f t="shared" si="381"/>
        <v>OK</v>
      </c>
      <c r="T799" t="s">
        <v>234</v>
      </c>
      <c r="U799" t="str">
        <f t="shared" si="372"/>
        <v>Gujarat</v>
      </c>
      <c r="V799" t="s">
        <v>235</v>
      </c>
      <c r="W799" t="str">
        <f t="shared" si="373"/>
        <v>Ahmedabad</v>
      </c>
      <c r="X799" t="str">
        <f t="shared" si="374"/>
        <v>Furniture</v>
      </c>
      <c r="Y799" t="s">
        <v>44</v>
      </c>
      <c r="Z799" t="s">
        <v>45</v>
      </c>
      <c r="AA799" t="str">
        <f t="shared" si="375"/>
        <v>Tables</v>
      </c>
      <c r="AB799" t="s">
        <v>2986</v>
      </c>
      <c r="AC799" t="s">
        <v>47</v>
      </c>
      <c r="AD799" t="str">
        <f t="shared" si="393"/>
        <v>Same Day</v>
      </c>
      <c r="AE799" t="str">
        <f t="shared" si="382"/>
        <v>OK</v>
      </c>
      <c r="AF799">
        <v>3</v>
      </c>
      <c r="AG799">
        <v>4198.46</v>
      </c>
      <c r="AH799">
        <v>0.15</v>
      </c>
      <c r="AI799">
        <f t="shared" si="383"/>
        <v>0.15</v>
      </c>
      <c r="AJ799" t="str">
        <f t="shared" si="384"/>
        <v>OK</v>
      </c>
      <c r="AK799">
        <v>10706.07</v>
      </c>
      <c r="AL799">
        <v>5927.1</v>
      </c>
      <c r="AM799">
        <v>4778.97</v>
      </c>
      <c r="AN799" t="s">
        <v>33</v>
      </c>
      <c r="AO799" t="str">
        <f t="shared" si="376"/>
        <v>PAID</v>
      </c>
      <c r="AP799" t="str">
        <f t="shared" si="385"/>
        <v>OK</v>
      </c>
      <c r="AQ799" t="s">
        <v>34</v>
      </c>
      <c r="AR799" t="str">
        <f t="shared" si="377"/>
        <v>COMPLETED</v>
      </c>
      <c r="AS799" t="str">
        <f t="shared" si="386"/>
        <v>OK</v>
      </c>
      <c r="AT799">
        <f t="shared" si="387"/>
        <v>10706.073</v>
      </c>
      <c r="AU799">
        <f t="shared" si="388"/>
        <v>4778.973</v>
      </c>
      <c r="AV799" s="6">
        <f t="shared" si="389"/>
        <v>0.24431292407589603</v>
      </c>
      <c r="AW799" t="str">
        <f t="shared" si="390"/>
        <v>CLEAN</v>
      </c>
      <c r="AX799" s="10" t="str">
        <f t="shared" si="391"/>
        <v>MATCH</v>
      </c>
      <c r="AY799" t="str">
        <f t="shared" si="392"/>
        <v>MATCH</v>
      </c>
    </row>
    <row r="800" spans="1:51">
      <c r="A800" t="s">
        <v>2993</v>
      </c>
      <c r="B800">
        <f t="shared" si="368"/>
        <v>2</v>
      </c>
      <c r="C800" t="s">
        <v>2994</v>
      </c>
      <c r="D800" s="3">
        <v>45762</v>
      </c>
      <c r="E800" t="str">
        <f t="shared" si="369"/>
        <v>2025/04/15</v>
      </c>
      <c r="F800" t="str">
        <f t="shared" si="378"/>
        <v>April</v>
      </c>
      <c r="G800">
        <f t="shared" si="379"/>
        <v>2025</v>
      </c>
      <c r="H800" t="s">
        <v>2995</v>
      </c>
      <c r="I800" s="4">
        <v>45763</v>
      </c>
      <c r="J800" s="8">
        <f t="shared" si="370"/>
        <v>1</v>
      </c>
      <c r="K800" s="8" t="str">
        <f t="shared" si="380"/>
        <v>OK</v>
      </c>
      <c r="L800" t="s">
        <v>2996</v>
      </c>
      <c r="M800" t="s">
        <v>167</v>
      </c>
      <c r="N800" t="str">
        <f t="shared" si="371"/>
        <v>Sneha Kapoor</v>
      </c>
      <c r="O800" t="s">
        <v>40</v>
      </c>
      <c r="P800" t="str">
        <f t="shared" si="394"/>
        <v>Small Business</v>
      </c>
      <c r="Q800" t="s">
        <v>61</v>
      </c>
      <c r="R800" t="str">
        <f t="shared" si="396"/>
        <v>South</v>
      </c>
      <c r="S800" t="str">
        <f t="shared" si="381"/>
        <v>OK</v>
      </c>
      <c r="T800" t="s">
        <v>228</v>
      </c>
      <c r="U800" t="str">
        <f t="shared" si="372"/>
        <v>Karnataka</v>
      </c>
      <c r="V800" t="s">
        <v>229</v>
      </c>
      <c r="W800" t="str">
        <f t="shared" si="373"/>
        <v>Bengaluru</v>
      </c>
      <c r="X800" t="str">
        <f t="shared" si="374"/>
        <v>Furniture</v>
      </c>
      <c r="Y800" t="s">
        <v>44</v>
      </c>
      <c r="Z800" t="s">
        <v>64</v>
      </c>
      <c r="AA800" t="str">
        <f t="shared" si="375"/>
        <v>Furnishings</v>
      </c>
      <c r="AB800" t="s">
        <v>2997</v>
      </c>
      <c r="AC800" t="s">
        <v>55</v>
      </c>
      <c r="AD800" t="str">
        <f t="shared" si="393"/>
        <v>First Class</v>
      </c>
      <c r="AE800" t="str">
        <f t="shared" si="382"/>
        <v>OK</v>
      </c>
      <c r="AF800">
        <v>5</v>
      </c>
      <c r="AG800">
        <v>2850.53</v>
      </c>
      <c r="AH800">
        <v>0</v>
      </c>
      <c r="AI800">
        <f t="shared" si="383"/>
        <v>0</v>
      </c>
      <c r="AJ800" t="str">
        <f t="shared" si="384"/>
        <v>OK</v>
      </c>
      <c r="AK800">
        <v>14252.65</v>
      </c>
      <c r="AL800">
        <v>11558.31</v>
      </c>
      <c r="AM800">
        <v>2694.34</v>
      </c>
      <c r="AN800" t="s">
        <v>33</v>
      </c>
      <c r="AO800" t="str">
        <f t="shared" si="376"/>
        <v>PAID</v>
      </c>
      <c r="AP800" t="str">
        <f t="shared" si="385"/>
        <v>OK</v>
      </c>
      <c r="AQ800" t="s">
        <v>34</v>
      </c>
      <c r="AR800" t="str">
        <f t="shared" si="377"/>
        <v>COMPLETED</v>
      </c>
      <c r="AS800" t="str">
        <f t="shared" si="386"/>
        <v>OK</v>
      </c>
      <c r="AT800">
        <f t="shared" si="387"/>
        <v>14252.650000000001</v>
      </c>
      <c r="AU800">
        <f t="shared" si="388"/>
        <v>2694.340000000002</v>
      </c>
      <c r="AV800" s="6">
        <f t="shared" si="389"/>
        <v>0.37719862622038702</v>
      </c>
      <c r="AW800" t="str">
        <f t="shared" si="390"/>
        <v>CLEAN</v>
      </c>
      <c r="AX800" s="10" t="str">
        <f t="shared" si="391"/>
        <v>MATCH</v>
      </c>
      <c r="AY800" t="str">
        <f t="shared" si="392"/>
        <v>MATCH</v>
      </c>
    </row>
    <row r="801" spans="1:51">
      <c r="A801" t="s">
        <v>2993</v>
      </c>
      <c r="B801">
        <f t="shared" si="368"/>
        <v>2</v>
      </c>
      <c r="C801" t="s">
        <v>2994</v>
      </c>
      <c r="D801" s="3">
        <v>45762</v>
      </c>
      <c r="E801" t="str">
        <f t="shared" si="369"/>
        <v>2025/04/15</v>
      </c>
      <c r="F801" t="str">
        <f t="shared" si="378"/>
        <v>April</v>
      </c>
      <c r="G801">
        <f t="shared" si="379"/>
        <v>2025</v>
      </c>
      <c r="H801" t="s">
        <v>2995</v>
      </c>
      <c r="I801" s="4">
        <v>45763</v>
      </c>
      <c r="J801" s="8">
        <f t="shared" si="370"/>
        <v>1</v>
      </c>
      <c r="K801" s="8" t="str">
        <f t="shared" si="380"/>
        <v>OK</v>
      </c>
      <c r="L801" t="s">
        <v>2996</v>
      </c>
      <c r="M801" t="s">
        <v>167</v>
      </c>
      <c r="N801" t="str">
        <f t="shared" si="371"/>
        <v>Sneha Kapoor</v>
      </c>
      <c r="O801" t="s">
        <v>40</v>
      </c>
      <c r="P801" t="str">
        <f t="shared" si="394"/>
        <v>Small Business</v>
      </c>
      <c r="Q801" t="s">
        <v>61</v>
      </c>
      <c r="R801" t="str">
        <f t="shared" si="396"/>
        <v>South</v>
      </c>
      <c r="S801" t="str">
        <f t="shared" si="381"/>
        <v>OK</v>
      </c>
      <c r="T801" t="s">
        <v>228</v>
      </c>
      <c r="U801" t="str">
        <f t="shared" si="372"/>
        <v>Karnataka</v>
      </c>
      <c r="V801" t="s">
        <v>229</v>
      </c>
      <c r="W801" t="str">
        <f t="shared" si="373"/>
        <v>Bengaluru</v>
      </c>
      <c r="X801" t="str">
        <f t="shared" si="374"/>
        <v>Furniture</v>
      </c>
      <c r="Y801" t="s">
        <v>44</v>
      </c>
      <c r="Z801" t="s">
        <v>64</v>
      </c>
      <c r="AA801" t="str">
        <f t="shared" si="375"/>
        <v>Furnishings</v>
      </c>
      <c r="AB801" t="s">
        <v>2997</v>
      </c>
      <c r="AC801" t="s">
        <v>55</v>
      </c>
      <c r="AD801" t="str">
        <f t="shared" si="393"/>
        <v>First Class</v>
      </c>
      <c r="AE801" t="str">
        <f t="shared" si="382"/>
        <v>OK</v>
      </c>
      <c r="AF801">
        <v>5</v>
      </c>
      <c r="AG801">
        <v>2850.53</v>
      </c>
      <c r="AH801">
        <v>0</v>
      </c>
      <c r="AI801">
        <f t="shared" si="383"/>
        <v>0</v>
      </c>
      <c r="AJ801" t="str">
        <f t="shared" si="384"/>
        <v>OK</v>
      </c>
      <c r="AK801">
        <v>14252.65</v>
      </c>
      <c r="AL801">
        <v>11558.31</v>
      </c>
      <c r="AM801">
        <v>2694.34</v>
      </c>
      <c r="AN801" t="s">
        <v>33</v>
      </c>
      <c r="AO801" t="str">
        <f t="shared" si="376"/>
        <v>PAID</v>
      </c>
      <c r="AP801" t="str">
        <f t="shared" si="385"/>
        <v>OK</v>
      </c>
      <c r="AQ801" t="s">
        <v>34</v>
      </c>
      <c r="AR801" t="str">
        <f t="shared" si="377"/>
        <v>COMPLETED</v>
      </c>
      <c r="AS801" t="str">
        <f t="shared" si="386"/>
        <v>OK</v>
      </c>
      <c r="AT801">
        <f t="shared" si="387"/>
        <v>14252.650000000001</v>
      </c>
      <c r="AU801">
        <f t="shared" si="388"/>
        <v>2694.340000000002</v>
      </c>
      <c r="AV801" s="6">
        <f t="shared" si="389"/>
        <v>7.5673646655183391E-2</v>
      </c>
      <c r="AW801" t="str">
        <f t="shared" si="390"/>
        <v>CLEAN</v>
      </c>
      <c r="AX801" s="10" t="str">
        <f t="shared" si="391"/>
        <v>MATCH</v>
      </c>
      <c r="AY801" t="str">
        <f t="shared" si="392"/>
        <v>MATCH</v>
      </c>
    </row>
    <row r="802" spans="1:51">
      <c r="A802" t="s">
        <v>2998</v>
      </c>
      <c r="B802">
        <f t="shared" si="368"/>
        <v>1</v>
      </c>
      <c r="C802" t="s">
        <v>2999</v>
      </c>
      <c r="D802" s="3">
        <v>45765</v>
      </c>
      <c r="E802" t="str">
        <f t="shared" si="369"/>
        <v>2025/04/18</v>
      </c>
      <c r="F802" t="str">
        <f t="shared" si="378"/>
        <v>April</v>
      </c>
      <c r="G802">
        <f t="shared" si="379"/>
        <v>2025</v>
      </c>
      <c r="H802" t="s">
        <v>3000</v>
      </c>
      <c r="I802" s="4">
        <v>45767</v>
      </c>
      <c r="J802" s="8">
        <f t="shared" si="370"/>
        <v>2</v>
      </c>
      <c r="K802" s="8" t="str">
        <f t="shared" si="380"/>
        <v>OK</v>
      </c>
      <c r="L802" t="s">
        <v>3001</v>
      </c>
      <c r="M802" t="s">
        <v>161</v>
      </c>
      <c r="N802" t="str">
        <f t="shared" si="371"/>
        <v>Aarav Sharma</v>
      </c>
      <c r="O802" t="s">
        <v>40</v>
      </c>
      <c r="P802" t="str">
        <f t="shared" si="394"/>
        <v>Small Business</v>
      </c>
      <c r="Q802" t="s">
        <v>61</v>
      </c>
      <c r="R802" t="str">
        <f t="shared" si="396"/>
        <v>South</v>
      </c>
      <c r="S802" t="str">
        <f t="shared" si="381"/>
        <v>OK</v>
      </c>
      <c r="T802" t="s">
        <v>338</v>
      </c>
      <c r="U802" t="str">
        <f t="shared" si="372"/>
        <v>Tamil Nadu</v>
      </c>
      <c r="V802" t="s">
        <v>339</v>
      </c>
      <c r="W802" t="str">
        <f t="shared" si="373"/>
        <v>Chennai</v>
      </c>
      <c r="X802" t="str">
        <f t="shared" si="374"/>
        <v>Technology</v>
      </c>
      <c r="Y802" t="s">
        <v>85</v>
      </c>
      <c r="Z802" t="s">
        <v>86</v>
      </c>
      <c r="AA802" t="str">
        <f t="shared" si="375"/>
        <v>Accessories</v>
      </c>
      <c r="AB802" t="s">
        <v>3002</v>
      </c>
      <c r="AC802" t="s">
        <v>32</v>
      </c>
      <c r="AD802" t="str">
        <f t="shared" si="393"/>
        <v>Second Class</v>
      </c>
      <c r="AE802" t="str">
        <f t="shared" si="382"/>
        <v>OK</v>
      </c>
      <c r="AF802">
        <v>1</v>
      </c>
      <c r="AG802">
        <v>1626.08</v>
      </c>
      <c r="AH802">
        <v>0.15</v>
      </c>
      <c r="AI802">
        <f t="shared" si="383"/>
        <v>0.15</v>
      </c>
      <c r="AJ802" t="str">
        <f t="shared" si="384"/>
        <v>OK</v>
      </c>
      <c r="AK802">
        <v>1382.17</v>
      </c>
      <c r="AL802">
        <v>810.03</v>
      </c>
      <c r="AM802">
        <v>572.14</v>
      </c>
      <c r="AN802" t="s">
        <v>33</v>
      </c>
      <c r="AO802" t="str">
        <f t="shared" si="376"/>
        <v>PAID</v>
      </c>
      <c r="AP802" t="str">
        <f t="shared" si="385"/>
        <v>OK</v>
      </c>
      <c r="AQ802" t="s">
        <v>34</v>
      </c>
      <c r="AR802" t="str">
        <f t="shared" si="377"/>
        <v>COMPLETED</v>
      </c>
      <c r="AS802" t="str">
        <f t="shared" si="386"/>
        <v>OK</v>
      </c>
      <c r="AT802">
        <f t="shared" si="387"/>
        <v>1382.1679999999999</v>
      </c>
      <c r="AU802">
        <f t="shared" si="388"/>
        <v>572.13799999999992</v>
      </c>
      <c r="AV802" s="6">
        <f t="shared" si="389"/>
        <v>3.8894182906853567</v>
      </c>
      <c r="AW802" t="str">
        <f t="shared" si="390"/>
        <v>CLEAN</v>
      </c>
      <c r="AX802" s="10" t="str">
        <f t="shared" si="391"/>
        <v>MATCH</v>
      </c>
      <c r="AY802" t="str">
        <f t="shared" si="392"/>
        <v>MATCH</v>
      </c>
    </row>
    <row r="803" spans="1:51">
      <c r="A803" t="s">
        <v>3003</v>
      </c>
      <c r="B803">
        <f t="shared" si="368"/>
        <v>1</v>
      </c>
      <c r="C803" t="s">
        <v>3004</v>
      </c>
      <c r="D803" s="3">
        <v>45962</v>
      </c>
      <c r="E803" t="str">
        <f t="shared" si="369"/>
        <v>2025/11/01</v>
      </c>
      <c r="F803" t="str">
        <f t="shared" si="378"/>
        <v>November</v>
      </c>
      <c r="G803">
        <f t="shared" si="379"/>
        <v>2025</v>
      </c>
      <c r="H803" t="s">
        <v>2177</v>
      </c>
      <c r="I803" s="4">
        <v>45669</v>
      </c>
      <c r="J803" s="8">
        <f t="shared" si="370"/>
        <v>-293</v>
      </c>
      <c r="K803" s="8" t="str">
        <f t="shared" si="380"/>
        <v>INVAILD_SHIPPING</v>
      </c>
      <c r="L803" t="s">
        <v>3005</v>
      </c>
      <c r="M803" t="s">
        <v>106</v>
      </c>
      <c r="N803" t="str">
        <f t="shared" si="371"/>
        <v>Aditi Sen</v>
      </c>
      <c r="O803" t="s">
        <v>25</v>
      </c>
      <c r="P803" t="str">
        <f t="shared" si="394"/>
        <v>Consumer</v>
      </c>
      <c r="Q803" t="s">
        <v>61</v>
      </c>
      <c r="R803" t="str">
        <f t="shared" si="396"/>
        <v>South</v>
      </c>
      <c r="S803" t="str">
        <f t="shared" si="381"/>
        <v>OK</v>
      </c>
      <c r="T803" t="s">
        <v>62</v>
      </c>
      <c r="U803" t="str">
        <f t="shared" si="372"/>
        <v>Telangana</v>
      </c>
      <c r="V803" t="s">
        <v>63</v>
      </c>
      <c r="W803" t="str">
        <f t="shared" si="373"/>
        <v>Hyderabad</v>
      </c>
      <c r="X803" t="str">
        <f t="shared" si="374"/>
        <v>Furniture</v>
      </c>
      <c r="Y803" t="s">
        <v>44</v>
      </c>
      <c r="Z803" t="s">
        <v>75</v>
      </c>
      <c r="AA803" t="str">
        <f t="shared" si="375"/>
        <v>Chairs</v>
      </c>
      <c r="AB803" t="s">
        <v>3006</v>
      </c>
      <c r="AC803" t="s">
        <v>32</v>
      </c>
      <c r="AD803" t="str">
        <f t="shared" si="393"/>
        <v>Second Class</v>
      </c>
      <c r="AE803" t="str">
        <f t="shared" si="382"/>
        <v>OK</v>
      </c>
      <c r="AF803">
        <v>4</v>
      </c>
      <c r="AG803">
        <v>2427.15</v>
      </c>
      <c r="AH803">
        <v>0.05</v>
      </c>
      <c r="AI803">
        <f t="shared" si="383"/>
        <v>0.05</v>
      </c>
      <c r="AJ803" t="str">
        <f t="shared" si="384"/>
        <v>OK</v>
      </c>
      <c r="AK803">
        <v>9223.17</v>
      </c>
      <c r="AL803">
        <v>5103.7</v>
      </c>
      <c r="AM803">
        <v>4119.47</v>
      </c>
      <c r="AN803" t="s">
        <v>33</v>
      </c>
      <c r="AO803" t="str">
        <f t="shared" si="376"/>
        <v>PAID</v>
      </c>
      <c r="AP803" t="str">
        <f t="shared" si="385"/>
        <v>OK</v>
      </c>
      <c r="AQ803" t="s">
        <v>34</v>
      </c>
      <c r="AR803" t="str">
        <f t="shared" si="377"/>
        <v>COMPLETED</v>
      </c>
      <c r="AS803" t="str">
        <f t="shared" si="386"/>
        <v>OK</v>
      </c>
      <c r="AT803">
        <f t="shared" si="387"/>
        <v>9223.17</v>
      </c>
      <c r="AU803">
        <f t="shared" si="388"/>
        <v>4119.47</v>
      </c>
      <c r="AV803" s="6">
        <f t="shared" si="389"/>
        <v>0.58286136978934555</v>
      </c>
      <c r="AW803" t="str">
        <f t="shared" si="390"/>
        <v>CLEAN</v>
      </c>
      <c r="AX803" s="10" t="str">
        <f t="shared" si="391"/>
        <v>MATCH</v>
      </c>
      <c r="AY803" t="str">
        <f t="shared" si="392"/>
        <v>MATCH</v>
      </c>
    </row>
    <row r="804" spans="1:51">
      <c r="A804" t="s">
        <v>3029</v>
      </c>
      <c r="B804">
        <f t="shared" si="368"/>
        <v>1</v>
      </c>
      <c r="C804" t="s">
        <v>3030</v>
      </c>
      <c r="D804" s="3">
        <v>45671</v>
      </c>
      <c r="E804" t="str">
        <f t="shared" si="369"/>
        <v>2025/01/14</v>
      </c>
      <c r="F804" t="str">
        <f t="shared" si="378"/>
        <v>January</v>
      </c>
      <c r="G804">
        <f t="shared" si="379"/>
        <v>2025</v>
      </c>
      <c r="H804" t="s">
        <v>3031</v>
      </c>
      <c r="I804" s="4">
        <v>45674</v>
      </c>
      <c r="J804" s="8">
        <f t="shared" si="370"/>
        <v>3</v>
      </c>
      <c r="K804" s="8" t="str">
        <f t="shared" si="380"/>
        <v>OK</v>
      </c>
      <c r="L804" t="s">
        <v>3032</v>
      </c>
      <c r="M804" t="s">
        <v>82</v>
      </c>
      <c r="N804" t="str">
        <f t="shared" si="371"/>
        <v>Vikram Iyer</v>
      </c>
      <c r="O804" t="s">
        <v>25</v>
      </c>
      <c r="P804" t="str">
        <f t="shared" si="394"/>
        <v>Consumer</v>
      </c>
      <c r="Q804" t="s">
        <v>72</v>
      </c>
      <c r="R804" t="str">
        <f t="shared" si="396"/>
        <v>West</v>
      </c>
      <c r="S804" t="str">
        <f t="shared" si="381"/>
        <v>OK</v>
      </c>
      <c r="T804" t="s">
        <v>248</v>
      </c>
      <c r="U804" t="str">
        <f t="shared" si="372"/>
        <v>Goa</v>
      </c>
      <c r="V804" t="s">
        <v>249</v>
      </c>
      <c r="W804" t="str">
        <f t="shared" si="373"/>
        <v>Panaji</v>
      </c>
      <c r="X804" t="str">
        <f t="shared" si="374"/>
        <v>Office Supplies</v>
      </c>
      <c r="Y804" t="s">
        <v>29</v>
      </c>
      <c r="Z804" t="s">
        <v>155</v>
      </c>
      <c r="AA804" t="str">
        <f t="shared" si="375"/>
        <v>Storage</v>
      </c>
      <c r="AB804" t="s">
        <v>3033</v>
      </c>
      <c r="AC804" t="s">
        <v>55</v>
      </c>
      <c r="AD804" t="str">
        <f t="shared" si="393"/>
        <v>First Class</v>
      </c>
      <c r="AE804" t="str">
        <f t="shared" si="382"/>
        <v>OK</v>
      </c>
      <c r="AF804">
        <v>1</v>
      </c>
      <c r="AG804">
        <v>1584.12</v>
      </c>
      <c r="AH804">
        <v>0.2</v>
      </c>
      <c r="AI804">
        <f t="shared" si="383"/>
        <v>0.2</v>
      </c>
      <c r="AJ804" t="str">
        <f t="shared" si="384"/>
        <v>OK</v>
      </c>
      <c r="AK804">
        <v>1267.3</v>
      </c>
      <c r="AL804">
        <v>923.53</v>
      </c>
      <c r="AM804">
        <v>343.77</v>
      </c>
      <c r="AN804" t="s">
        <v>33</v>
      </c>
      <c r="AO804" t="str">
        <f t="shared" si="376"/>
        <v>PAID</v>
      </c>
      <c r="AP804" t="str">
        <f t="shared" si="385"/>
        <v>OK</v>
      </c>
      <c r="AQ804" t="s">
        <v>34</v>
      </c>
      <c r="AR804" t="str">
        <f t="shared" si="377"/>
        <v>COMPLETED</v>
      </c>
      <c r="AS804" t="str">
        <f t="shared" si="386"/>
        <v>OK</v>
      </c>
      <c r="AT804">
        <f t="shared" si="387"/>
        <v>1267.296</v>
      </c>
      <c r="AU804">
        <f t="shared" si="388"/>
        <v>343.76600000000008</v>
      </c>
      <c r="AV804" s="6">
        <f t="shared" si="389"/>
        <v>-1.7271623993131833</v>
      </c>
      <c r="AW804" t="str">
        <f t="shared" si="390"/>
        <v>CLEAN</v>
      </c>
      <c r="AX804" s="10" t="str">
        <f t="shared" si="391"/>
        <v>MATCH</v>
      </c>
      <c r="AY804" t="str">
        <f t="shared" si="392"/>
        <v>MATCH</v>
      </c>
    </row>
    <row r="805" spans="1:51">
      <c r="A805" t="s">
        <v>3034</v>
      </c>
      <c r="B805">
        <f t="shared" si="368"/>
        <v>1</v>
      </c>
      <c r="C805" t="s">
        <v>3035</v>
      </c>
      <c r="D805" s="3">
        <v>45904</v>
      </c>
      <c r="E805" t="str">
        <f t="shared" si="369"/>
        <v>2025/09/04</v>
      </c>
      <c r="F805" t="str">
        <f t="shared" si="378"/>
        <v>September</v>
      </c>
      <c r="G805">
        <f t="shared" si="379"/>
        <v>2025</v>
      </c>
      <c r="H805" t="s">
        <v>1961</v>
      </c>
      <c r="I805" s="4">
        <v>45761</v>
      </c>
      <c r="J805" s="8">
        <f t="shared" si="370"/>
        <v>-143</v>
      </c>
      <c r="K805" s="8" t="str">
        <f t="shared" si="380"/>
        <v>INVAILD_SHIPPING</v>
      </c>
      <c r="L805" t="s">
        <v>3036</v>
      </c>
      <c r="M805" t="s">
        <v>24</v>
      </c>
      <c r="N805" t="str">
        <f t="shared" si="371"/>
        <v>Karan Malhotra</v>
      </c>
      <c r="O805" t="s">
        <v>25</v>
      </c>
      <c r="P805" t="str">
        <f t="shared" si="394"/>
        <v>Consumer</v>
      </c>
      <c r="Q805" t="s">
        <v>26</v>
      </c>
      <c r="R805" t="str">
        <f t="shared" si="396"/>
        <v>North</v>
      </c>
      <c r="S805" t="str">
        <f t="shared" si="381"/>
        <v>OK</v>
      </c>
      <c r="T805" t="s">
        <v>505</v>
      </c>
      <c r="U805" t="str">
        <f t="shared" si="372"/>
        <v>Delhi</v>
      </c>
      <c r="V805" t="s">
        <v>506</v>
      </c>
      <c r="W805" t="str">
        <f t="shared" si="373"/>
        <v>New Delhi</v>
      </c>
      <c r="X805" t="str">
        <f t="shared" si="374"/>
        <v>Furniture</v>
      </c>
      <c r="Y805" t="s">
        <v>44</v>
      </c>
      <c r="Z805" t="s">
        <v>64</v>
      </c>
      <c r="AA805" t="str">
        <f t="shared" si="375"/>
        <v>Furnishings</v>
      </c>
      <c r="AB805" t="s">
        <v>3037</v>
      </c>
      <c r="AC805" t="s">
        <v>47</v>
      </c>
      <c r="AD805" t="str">
        <f t="shared" si="393"/>
        <v>Same Day</v>
      </c>
      <c r="AE805" t="str">
        <f t="shared" si="382"/>
        <v>OK</v>
      </c>
      <c r="AF805">
        <v>2</v>
      </c>
      <c r="AG805">
        <v>3202.87</v>
      </c>
      <c r="AH805">
        <v>0</v>
      </c>
      <c r="AI805">
        <f t="shared" si="383"/>
        <v>0</v>
      </c>
      <c r="AJ805" t="str">
        <f t="shared" si="384"/>
        <v>OK</v>
      </c>
      <c r="AK805">
        <v>6405.74</v>
      </c>
      <c r="AL805">
        <v>3561.87</v>
      </c>
      <c r="AM805">
        <v>2843.87</v>
      </c>
      <c r="AN805" t="s">
        <v>33</v>
      </c>
      <c r="AO805" t="str">
        <f t="shared" si="376"/>
        <v>PAID</v>
      </c>
      <c r="AP805" t="str">
        <f t="shared" si="385"/>
        <v>OK</v>
      </c>
      <c r="AQ805" t="s">
        <v>34</v>
      </c>
      <c r="AR805" t="str">
        <f t="shared" si="377"/>
        <v>COMPLETED</v>
      </c>
      <c r="AS805" t="str">
        <f t="shared" si="386"/>
        <v>OK</v>
      </c>
      <c r="AT805">
        <f t="shared" si="387"/>
        <v>6405.74</v>
      </c>
      <c r="AU805">
        <f t="shared" si="388"/>
        <v>2843.87</v>
      </c>
      <c r="AV805" s="6">
        <f t="shared" si="389"/>
        <v>0.57115649401942636</v>
      </c>
      <c r="AW805" t="str">
        <f t="shared" si="390"/>
        <v>CLEAN</v>
      </c>
      <c r="AX805" s="10" t="str">
        <f t="shared" si="391"/>
        <v>MATCH</v>
      </c>
      <c r="AY805" t="str">
        <f t="shared" si="392"/>
        <v>MATCH</v>
      </c>
    </row>
    <row r="806" spans="1:51">
      <c r="A806" t="s">
        <v>3046</v>
      </c>
      <c r="B806">
        <f t="shared" si="368"/>
        <v>1</v>
      </c>
      <c r="C806" t="s">
        <v>2590</v>
      </c>
      <c r="D806" s="3">
        <v>45934</v>
      </c>
      <c r="E806" t="str">
        <f t="shared" si="369"/>
        <v>2025/10/04</v>
      </c>
      <c r="F806" t="str">
        <f t="shared" si="378"/>
        <v>October</v>
      </c>
      <c r="G806">
        <f t="shared" si="379"/>
        <v>2025</v>
      </c>
      <c r="H806" t="s">
        <v>3047</v>
      </c>
      <c r="I806" s="4">
        <v>45764</v>
      </c>
      <c r="J806" s="8">
        <f t="shared" si="370"/>
        <v>-170</v>
      </c>
      <c r="K806" s="8" t="str">
        <f t="shared" si="380"/>
        <v>INVAILD_SHIPPING</v>
      </c>
      <c r="L806" t="s">
        <v>3048</v>
      </c>
      <c r="M806" t="s">
        <v>82</v>
      </c>
      <c r="N806" t="str">
        <f t="shared" si="371"/>
        <v>Vikram Iyer</v>
      </c>
      <c r="O806" t="s">
        <v>25</v>
      </c>
      <c r="P806" t="str">
        <f t="shared" si="394"/>
        <v>Consumer</v>
      </c>
      <c r="Q806" t="s">
        <v>41</v>
      </c>
      <c r="R806" t="str">
        <f t="shared" si="396"/>
        <v>East</v>
      </c>
      <c r="S806" t="str">
        <f t="shared" si="381"/>
        <v>OK</v>
      </c>
      <c r="T806" t="s">
        <v>120</v>
      </c>
      <c r="U806" t="str">
        <f t="shared" si="372"/>
        <v>West Bengal</v>
      </c>
      <c r="V806" t="s">
        <v>121</v>
      </c>
      <c r="W806" t="str">
        <f t="shared" si="373"/>
        <v>Kolkata</v>
      </c>
      <c r="X806" t="str">
        <f t="shared" si="374"/>
        <v>Furniture</v>
      </c>
      <c r="Y806" t="s">
        <v>44</v>
      </c>
      <c r="Z806" t="s">
        <v>75</v>
      </c>
      <c r="AA806" t="str">
        <f t="shared" si="375"/>
        <v>Chairs</v>
      </c>
      <c r="AB806" t="s">
        <v>3049</v>
      </c>
      <c r="AC806" t="s">
        <v>66</v>
      </c>
      <c r="AD806" t="str">
        <f t="shared" ref="AD806:AD835" si="397">PROPER(TRIM(SUBSTITUTE(AC806,CHAR(160)," ")))</f>
        <v>Standard Class</v>
      </c>
      <c r="AE806" t="str">
        <f t="shared" si="382"/>
        <v>OK</v>
      </c>
      <c r="AF806">
        <v>4</v>
      </c>
      <c r="AG806">
        <v>3750.02</v>
      </c>
      <c r="AH806">
        <v>0.05</v>
      </c>
      <c r="AI806">
        <f t="shared" si="383"/>
        <v>0.05</v>
      </c>
      <c r="AJ806" t="str">
        <f t="shared" si="384"/>
        <v>OK</v>
      </c>
      <c r="AK806">
        <v>14250.08</v>
      </c>
      <c r="AL806">
        <v>10914.92</v>
      </c>
      <c r="AM806">
        <v>3335.16</v>
      </c>
      <c r="AN806" t="s">
        <v>33</v>
      </c>
      <c r="AO806" t="str">
        <f t="shared" si="376"/>
        <v>PAID</v>
      </c>
      <c r="AP806" t="str">
        <f t="shared" si="385"/>
        <v>OK</v>
      </c>
      <c r="AQ806" t="s">
        <v>34</v>
      </c>
      <c r="AR806" t="str">
        <f t="shared" si="377"/>
        <v>COMPLETED</v>
      </c>
      <c r="AS806" t="str">
        <f t="shared" si="386"/>
        <v>OK</v>
      </c>
      <c r="AT806">
        <f t="shared" si="387"/>
        <v>14250.075999999999</v>
      </c>
      <c r="AU806">
        <f t="shared" si="388"/>
        <v>3335.155999999999</v>
      </c>
      <c r="AV806" s="6">
        <f t="shared" si="389"/>
        <v>0.16778366655728721</v>
      </c>
      <c r="AW806" t="str">
        <f t="shared" si="390"/>
        <v>CLEAN</v>
      </c>
      <c r="AX806" s="10" t="str">
        <f t="shared" si="391"/>
        <v>MATCH</v>
      </c>
      <c r="AY806" t="str">
        <f t="shared" si="392"/>
        <v>MATCH</v>
      </c>
    </row>
    <row r="807" spans="1:51">
      <c r="A807" t="s">
        <v>3059</v>
      </c>
      <c r="B807">
        <f t="shared" si="368"/>
        <v>1</v>
      </c>
      <c r="C807" t="s">
        <v>1328</v>
      </c>
      <c r="D807" s="3">
        <v>45658</v>
      </c>
      <c r="E807" t="str">
        <f t="shared" si="369"/>
        <v>2025/01/01</v>
      </c>
      <c r="F807" t="str">
        <f t="shared" si="378"/>
        <v>January</v>
      </c>
      <c r="G807">
        <f t="shared" si="379"/>
        <v>2025</v>
      </c>
      <c r="H807" t="s">
        <v>3060</v>
      </c>
      <c r="I807" s="4">
        <v>45901</v>
      </c>
      <c r="J807" s="8">
        <f t="shared" si="370"/>
        <v>243</v>
      </c>
      <c r="K807" s="8" t="str">
        <f t="shared" si="380"/>
        <v>OK</v>
      </c>
      <c r="L807" t="s">
        <v>3061</v>
      </c>
      <c r="M807" t="s">
        <v>3062</v>
      </c>
      <c r="N807" t="str">
        <f t="shared" si="371"/>
        <v>Rohan Mehta</v>
      </c>
      <c r="O807" t="s">
        <v>40</v>
      </c>
      <c r="P807" t="str">
        <f t="shared" si="394"/>
        <v>Small Business</v>
      </c>
      <c r="Q807" t="s">
        <v>26</v>
      </c>
      <c r="R807" t="str">
        <f t="shared" si="396"/>
        <v>North</v>
      </c>
      <c r="S807" t="str">
        <f t="shared" si="381"/>
        <v>OK</v>
      </c>
      <c r="T807" t="s">
        <v>153</v>
      </c>
      <c r="U807" t="str">
        <f t="shared" si="372"/>
        <v>Punjab</v>
      </c>
      <c r="V807" t="s">
        <v>154</v>
      </c>
      <c r="W807" t="str">
        <f t="shared" si="373"/>
        <v>Ludhiana</v>
      </c>
      <c r="X807" t="str">
        <f t="shared" si="374"/>
        <v>Office Supplies</v>
      </c>
      <c r="Y807" t="s">
        <v>29</v>
      </c>
      <c r="Z807" t="s">
        <v>53</v>
      </c>
      <c r="AA807" t="str">
        <f t="shared" si="375"/>
        <v>Art</v>
      </c>
      <c r="AB807" t="s">
        <v>3063</v>
      </c>
      <c r="AC807" t="s">
        <v>55</v>
      </c>
      <c r="AD807" t="str">
        <f t="shared" si="397"/>
        <v>First Class</v>
      </c>
      <c r="AE807" t="str">
        <f t="shared" si="382"/>
        <v>OK</v>
      </c>
      <c r="AF807">
        <v>8</v>
      </c>
      <c r="AG807">
        <v>2123.81</v>
      </c>
      <c r="AH807">
        <v>0.15</v>
      </c>
      <c r="AI807">
        <f t="shared" si="383"/>
        <v>0.15</v>
      </c>
      <c r="AJ807" t="str">
        <f t="shared" si="384"/>
        <v>OK</v>
      </c>
      <c r="AK807">
        <v>14441.91</v>
      </c>
      <c r="AL807">
        <v>10872.89</v>
      </c>
      <c r="AM807">
        <v>3569.02</v>
      </c>
      <c r="AN807" t="s">
        <v>33</v>
      </c>
      <c r="AO807" t="str">
        <f t="shared" si="376"/>
        <v>PAID</v>
      </c>
      <c r="AP807" t="str">
        <f t="shared" si="385"/>
        <v>OK</v>
      </c>
      <c r="AQ807" t="s">
        <v>34</v>
      </c>
      <c r="AR807" t="str">
        <f t="shared" si="377"/>
        <v>COMPLETED</v>
      </c>
      <c r="AS807" t="str">
        <f t="shared" si="386"/>
        <v>OK</v>
      </c>
      <c r="AT807">
        <f t="shared" si="387"/>
        <v>14441.907999999999</v>
      </c>
      <c r="AU807">
        <f t="shared" si="388"/>
        <v>3569.018</v>
      </c>
      <c r="AV807" s="6">
        <f t="shared" si="389"/>
        <v>0.51695108430271119</v>
      </c>
      <c r="AW807" t="str">
        <f t="shared" si="390"/>
        <v>CLEAN</v>
      </c>
      <c r="AX807" s="10" t="str">
        <f t="shared" si="391"/>
        <v>MATCH</v>
      </c>
      <c r="AY807" t="str">
        <f t="shared" si="392"/>
        <v>MATCH</v>
      </c>
    </row>
    <row r="808" spans="1:51">
      <c r="A808" t="s">
        <v>3068</v>
      </c>
      <c r="B808">
        <f t="shared" si="368"/>
        <v>1</v>
      </c>
      <c r="C808" t="s">
        <v>3069</v>
      </c>
      <c r="D808" s="2">
        <v>45969</v>
      </c>
      <c r="E808" t="str">
        <f t="shared" si="369"/>
        <v>2025/11/08</v>
      </c>
      <c r="F808" t="str">
        <f t="shared" si="378"/>
        <v>November</v>
      </c>
      <c r="G808">
        <f t="shared" si="379"/>
        <v>2025</v>
      </c>
      <c r="H808" t="s">
        <v>3070</v>
      </c>
      <c r="I808" s="4">
        <v>45888</v>
      </c>
      <c r="J808" s="8">
        <f t="shared" si="370"/>
        <v>-81</v>
      </c>
      <c r="K808" s="8" t="str">
        <f t="shared" si="380"/>
        <v>INVAILD_SHIPPING</v>
      </c>
      <c r="L808" t="s">
        <v>3071</v>
      </c>
      <c r="M808" t="s">
        <v>365</v>
      </c>
      <c r="N808" t="str">
        <f t="shared" si="371"/>
        <v>Kabir Singh</v>
      </c>
      <c r="O808" t="s">
        <v>40</v>
      </c>
      <c r="P808" t="str">
        <f t="shared" si="394"/>
        <v>Small Business</v>
      </c>
      <c r="Q808" t="s">
        <v>61</v>
      </c>
      <c r="R808" t="str">
        <f t="shared" si="396"/>
        <v>South</v>
      </c>
      <c r="S808" t="str">
        <f t="shared" si="381"/>
        <v>OK</v>
      </c>
      <c r="T808" t="s">
        <v>241</v>
      </c>
      <c r="U808" t="str">
        <f t="shared" si="372"/>
        <v>Kerala</v>
      </c>
      <c r="V808" t="s">
        <v>242</v>
      </c>
      <c r="W808" t="str">
        <f t="shared" si="373"/>
        <v>Kochi</v>
      </c>
      <c r="X808" t="str">
        <f t="shared" si="374"/>
        <v>Technology</v>
      </c>
      <c r="Y808" t="s">
        <v>85</v>
      </c>
      <c r="Z808" t="s">
        <v>86</v>
      </c>
      <c r="AA808" t="str">
        <f t="shared" si="375"/>
        <v>Accessories</v>
      </c>
      <c r="AB808" t="s">
        <v>3072</v>
      </c>
      <c r="AC808" t="s">
        <v>66</v>
      </c>
      <c r="AD808" t="str">
        <f t="shared" si="397"/>
        <v>Standard Class</v>
      </c>
      <c r="AE808" t="str">
        <f t="shared" si="382"/>
        <v>OK</v>
      </c>
      <c r="AF808">
        <v>4</v>
      </c>
      <c r="AG808">
        <v>2258.96</v>
      </c>
      <c r="AH808">
        <v>0.25</v>
      </c>
      <c r="AI808">
        <f t="shared" si="383"/>
        <v>0.25</v>
      </c>
      <c r="AJ808" t="str">
        <f t="shared" si="384"/>
        <v>OK</v>
      </c>
      <c r="AK808">
        <v>6776.88</v>
      </c>
      <c r="AL808">
        <v>3836.24</v>
      </c>
      <c r="AM808">
        <v>2940.64</v>
      </c>
      <c r="AN808" t="s">
        <v>33</v>
      </c>
      <c r="AO808" t="str">
        <f t="shared" si="376"/>
        <v>PAID</v>
      </c>
      <c r="AP808" t="str">
        <f t="shared" si="385"/>
        <v>OK</v>
      </c>
      <c r="AQ808" t="s">
        <v>34</v>
      </c>
      <c r="AR808" t="str">
        <f t="shared" si="377"/>
        <v>COMPLETED</v>
      </c>
      <c r="AS808" t="str">
        <f t="shared" si="386"/>
        <v>OK</v>
      </c>
      <c r="AT808">
        <f t="shared" si="387"/>
        <v>6776.88</v>
      </c>
      <c r="AU808">
        <f t="shared" si="388"/>
        <v>2940.6400000000003</v>
      </c>
      <c r="AV808" s="6">
        <f t="shared" si="389"/>
        <v>-0.33839797960123252</v>
      </c>
      <c r="AW808" t="str">
        <f t="shared" si="390"/>
        <v>CLEAN</v>
      </c>
      <c r="AX808" s="10" t="str">
        <f t="shared" si="391"/>
        <v>MATCH</v>
      </c>
      <c r="AY808" t="str">
        <f t="shared" si="392"/>
        <v>MATCH</v>
      </c>
    </row>
    <row r="809" spans="1:51">
      <c r="A809" t="s">
        <v>3077</v>
      </c>
      <c r="B809">
        <f t="shared" si="368"/>
        <v>1</v>
      </c>
      <c r="C809" t="s">
        <v>1370</v>
      </c>
      <c r="D809" s="2">
        <v>45816</v>
      </c>
      <c r="E809" t="str">
        <f t="shared" si="369"/>
        <v>2025/06/08</v>
      </c>
      <c r="F809" t="str">
        <f t="shared" si="378"/>
        <v>June</v>
      </c>
      <c r="G809">
        <f t="shared" si="379"/>
        <v>2025</v>
      </c>
      <c r="H809" t="s">
        <v>3078</v>
      </c>
      <c r="I809" s="4">
        <v>45908</v>
      </c>
      <c r="J809" s="8">
        <f t="shared" si="370"/>
        <v>92</v>
      </c>
      <c r="K809" s="8" t="str">
        <f t="shared" si="380"/>
        <v>OK</v>
      </c>
      <c r="L809" t="s">
        <v>3079</v>
      </c>
      <c r="M809" t="s">
        <v>39</v>
      </c>
      <c r="N809" t="str">
        <f t="shared" si="371"/>
        <v>Mira Das</v>
      </c>
      <c r="O809" t="s">
        <v>40</v>
      </c>
      <c r="P809" t="str">
        <f t="shared" si="394"/>
        <v>Small Business</v>
      </c>
      <c r="Q809" t="s">
        <v>61</v>
      </c>
      <c r="R809" t="str">
        <f t="shared" si="396"/>
        <v>South</v>
      </c>
      <c r="S809" t="str">
        <f t="shared" si="381"/>
        <v>OK</v>
      </c>
      <c r="T809" t="s">
        <v>99</v>
      </c>
      <c r="U809" t="str">
        <f t="shared" si="372"/>
        <v>Andhra Pradesh</v>
      </c>
      <c r="V809" t="s">
        <v>100</v>
      </c>
      <c r="W809" t="str">
        <f t="shared" si="373"/>
        <v>Vijayawada</v>
      </c>
      <c r="X809" t="str">
        <f t="shared" si="374"/>
        <v>Office Supplies</v>
      </c>
      <c r="Y809" t="s">
        <v>29</v>
      </c>
      <c r="Z809" t="s">
        <v>30</v>
      </c>
      <c r="AA809" t="str">
        <f t="shared" si="375"/>
        <v>Paper</v>
      </c>
      <c r="AB809" t="s">
        <v>3080</v>
      </c>
      <c r="AC809" t="s">
        <v>32</v>
      </c>
      <c r="AD809" t="str">
        <f t="shared" si="397"/>
        <v>Second Class</v>
      </c>
      <c r="AE809" t="str">
        <f t="shared" si="382"/>
        <v>OK</v>
      </c>
      <c r="AF809">
        <v>3</v>
      </c>
      <c r="AG809">
        <v>598.54999999999995</v>
      </c>
      <c r="AH809">
        <v>0</v>
      </c>
      <c r="AI809">
        <f t="shared" si="383"/>
        <v>0</v>
      </c>
      <c r="AJ809" t="str">
        <f t="shared" si="384"/>
        <v>OK</v>
      </c>
      <c r="AK809">
        <v>1795.65</v>
      </c>
      <c r="AL809">
        <v>996.72</v>
      </c>
      <c r="AM809">
        <v>798.93</v>
      </c>
      <c r="AN809" t="s">
        <v>33</v>
      </c>
      <c r="AO809" t="str">
        <f t="shared" si="376"/>
        <v>PAID</v>
      </c>
      <c r="AP809" t="str">
        <f t="shared" si="385"/>
        <v>OK</v>
      </c>
      <c r="AQ809" t="s">
        <v>34</v>
      </c>
      <c r="AR809" t="str">
        <f t="shared" si="377"/>
        <v>COMPLETED</v>
      </c>
      <c r="AS809" t="str">
        <f t="shared" si="386"/>
        <v>OK</v>
      </c>
      <c r="AT809">
        <f t="shared" si="387"/>
        <v>1795.6499999999999</v>
      </c>
      <c r="AU809">
        <f t="shared" si="388"/>
        <v>798.92999999999984</v>
      </c>
      <c r="AV809" s="6">
        <f t="shared" si="389"/>
        <v>0.10610085484364996</v>
      </c>
      <c r="AW809" t="str">
        <f t="shared" si="390"/>
        <v>CLEAN</v>
      </c>
      <c r="AX809" s="10" t="str">
        <f t="shared" si="391"/>
        <v>MATCH</v>
      </c>
      <c r="AY809" t="str">
        <f t="shared" si="392"/>
        <v>MATCH</v>
      </c>
    </row>
    <row r="810" spans="1:51">
      <c r="A810" t="s">
        <v>3081</v>
      </c>
      <c r="B810">
        <f t="shared" si="368"/>
        <v>1</v>
      </c>
      <c r="C810" t="s">
        <v>3082</v>
      </c>
      <c r="D810" s="3">
        <v>45733</v>
      </c>
      <c r="E810" t="str">
        <f t="shared" si="369"/>
        <v>2025/03/17</v>
      </c>
      <c r="F810" t="str">
        <f t="shared" si="378"/>
        <v>March</v>
      </c>
      <c r="G810">
        <f t="shared" si="379"/>
        <v>2025</v>
      </c>
      <c r="H810" t="s">
        <v>3083</v>
      </c>
      <c r="I810" s="4">
        <v>45737</v>
      </c>
      <c r="J810" s="8">
        <f t="shared" si="370"/>
        <v>4</v>
      </c>
      <c r="K810" s="8" t="str">
        <f t="shared" si="380"/>
        <v>OK</v>
      </c>
      <c r="L810" t="s">
        <v>2566</v>
      </c>
      <c r="M810" t="s">
        <v>167</v>
      </c>
      <c r="N810" t="str">
        <f t="shared" si="371"/>
        <v>Sneha Kapoor</v>
      </c>
      <c r="O810" t="s">
        <v>25</v>
      </c>
      <c r="P810" t="str">
        <f t="shared" si="394"/>
        <v>Consumer</v>
      </c>
      <c r="Q810" t="s">
        <v>26</v>
      </c>
      <c r="R810" t="str">
        <f t="shared" si="396"/>
        <v>North</v>
      </c>
      <c r="S810" t="str">
        <f t="shared" si="381"/>
        <v>OK</v>
      </c>
      <c r="T810" t="s">
        <v>173</v>
      </c>
      <c r="U810" t="str">
        <f t="shared" si="372"/>
        <v>Uttar Pradesh</v>
      </c>
      <c r="V810" t="s">
        <v>174</v>
      </c>
      <c r="W810" t="str">
        <f t="shared" si="373"/>
        <v>Noida</v>
      </c>
      <c r="X810" t="str">
        <f t="shared" si="374"/>
        <v>Office Supplies</v>
      </c>
      <c r="Y810" t="s">
        <v>29</v>
      </c>
      <c r="Z810" t="s">
        <v>197</v>
      </c>
      <c r="AA810" t="str">
        <f t="shared" si="375"/>
        <v>Binders</v>
      </c>
      <c r="AB810" t="s">
        <v>3084</v>
      </c>
      <c r="AC810" t="s">
        <v>66</v>
      </c>
      <c r="AD810" t="str">
        <f t="shared" si="397"/>
        <v>Standard Class</v>
      </c>
      <c r="AE810" t="str">
        <f t="shared" si="382"/>
        <v>OK</v>
      </c>
      <c r="AF810">
        <v>5</v>
      </c>
      <c r="AG810">
        <v>4320.59</v>
      </c>
      <c r="AH810">
        <v>0.15</v>
      </c>
      <c r="AI810">
        <f t="shared" si="383"/>
        <v>0.15</v>
      </c>
      <c r="AJ810" t="str">
        <f t="shared" si="384"/>
        <v>OK</v>
      </c>
      <c r="AK810">
        <v>18362.509999999998</v>
      </c>
      <c r="AL810">
        <v>11133.97</v>
      </c>
      <c r="AM810">
        <v>7228.54</v>
      </c>
      <c r="AN810" t="s">
        <v>33</v>
      </c>
      <c r="AO810" t="str">
        <f t="shared" si="376"/>
        <v>PAID</v>
      </c>
      <c r="AP810" t="str">
        <f t="shared" si="385"/>
        <v>OK</v>
      </c>
      <c r="AQ810" t="s">
        <v>34</v>
      </c>
      <c r="AR810" t="str">
        <f t="shared" si="377"/>
        <v>COMPLETED</v>
      </c>
      <c r="AS810" t="str">
        <f t="shared" si="386"/>
        <v>OK</v>
      </c>
      <c r="AT810">
        <f t="shared" si="387"/>
        <v>18362.5075</v>
      </c>
      <c r="AU810">
        <f t="shared" si="388"/>
        <v>7228.5375000000004</v>
      </c>
      <c r="AV810" s="6">
        <f t="shared" si="389"/>
        <v>0.15852061598885661</v>
      </c>
      <c r="AW810" t="str">
        <f t="shared" si="390"/>
        <v>CLEAN</v>
      </c>
      <c r="AX810" s="10" t="str">
        <f t="shared" si="391"/>
        <v>MATCH</v>
      </c>
      <c r="AY810" t="str">
        <f t="shared" si="392"/>
        <v>MATCH</v>
      </c>
    </row>
    <row r="811" spans="1:51">
      <c r="A811" t="s">
        <v>3085</v>
      </c>
      <c r="B811">
        <f t="shared" si="368"/>
        <v>1</v>
      </c>
      <c r="C811" t="s">
        <v>3086</v>
      </c>
      <c r="D811" s="3">
        <v>45751</v>
      </c>
      <c r="E811" t="str">
        <f t="shared" si="369"/>
        <v>2025/04/04</v>
      </c>
      <c r="F811" t="str">
        <f t="shared" si="378"/>
        <v>April</v>
      </c>
      <c r="G811">
        <f t="shared" si="379"/>
        <v>2025</v>
      </c>
      <c r="H811" t="s">
        <v>3087</v>
      </c>
      <c r="I811" s="4">
        <v>45754</v>
      </c>
      <c r="J811" s="8">
        <f t="shared" si="370"/>
        <v>3</v>
      </c>
      <c r="K811" s="8" t="str">
        <f t="shared" si="380"/>
        <v>OK</v>
      </c>
      <c r="L811" t="s">
        <v>3088</v>
      </c>
      <c r="M811" t="s">
        <v>141</v>
      </c>
      <c r="N811" t="str">
        <f t="shared" si="371"/>
        <v>Priya Menon</v>
      </c>
      <c r="O811" t="s">
        <v>40</v>
      </c>
      <c r="P811" t="str">
        <f t="shared" si="394"/>
        <v>Small Business</v>
      </c>
      <c r="Q811" t="s">
        <v>61</v>
      </c>
      <c r="R811" t="str">
        <f t="shared" si="396"/>
        <v>South</v>
      </c>
      <c r="S811" t="str">
        <f t="shared" si="381"/>
        <v>OK</v>
      </c>
      <c r="T811" t="s">
        <v>338</v>
      </c>
      <c r="U811" t="str">
        <f t="shared" si="372"/>
        <v>Tamil Nadu</v>
      </c>
      <c r="V811" t="s">
        <v>339</v>
      </c>
      <c r="W811" t="str">
        <f t="shared" si="373"/>
        <v>Chennai</v>
      </c>
      <c r="X811" t="str">
        <f t="shared" si="374"/>
        <v>Technology</v>
      </c>
      <c r="Y811" t="s">
        <v>85</v>
      </c>
      <c r="Z811" t="s">
        <v>93</v>
      </c>
      <c r="AA811" t="str">
        <f t="shared" si="375"/>
        <v>Copiers</v>
      </c>
      <c r="AB811" t="s">
        <v>3089</v>
      </c>
      <c r="AC811" t="s">
        <v>32</v>
      </c>
      <c r="AD811" t="str">
        <f t="shared" si="397"/>
        <v>Second Class</v>
      </c>
      <c r="AE811" t="str">
        <f t="shared" si="382"/>
        <v>OK</v>
      </c>
      <c r="AF811">
        <v>7</v>
      </c>
      <c r="AG811">
        <v>4457.93</v>
      </c>
      <c r="AH811">
        <v>0.15</v>
      </c>
      <c r="AI811">
        <f t="shared" si="383"/>
        <v>0.15</v>
      </c>
      <c r="AJ811" t="str">
        <f t="shared" si="384"/>
        <v>OK</v>
      </c>
      <c r="AK811">
        <v>26524.68</v>
      </c>
      <c r="AL811">
        <v>20574.3</v>
      </c>
      <c r="AM811">
        <v>5950.38</v>
      </c>
      <c r="AN811" t="s">
        <v>33</v>
      </c>
      <c r="AO811" t="str">
        <f t="shared" si="376"/>
        <v>PAID</v>
      </c>
      <c r="AP811" t="str">
        <f t="shared" si="385"/>
        <v>OK</v>
      </c>
      <c r="AQ811" t="s">
        <v>34</v>
      </c>
      <c r="AR811" t="str">
        <f t="shared" si="377"/>
        <v>COMPLETED</v>
      </c>
      <c r="AS811" t="str">
        <f t="shared" si="386"/>
        <v>OK</v>
      </c>
      <c r="AT811">
        <f t="shared" si="387"/>
        <v>26524.683500000003</v>
      </c>
      <c r="AU811">
        <f t="shared" si="388"/>
        <v>5950.3835000000036</v>
      </c>
      <c r="AV811" s="6">
        <f t="shared" si="389"/>
        <v>9.8498366625185171E-2</v>
      </c>
      <c r="AW811" t="str">
        <f t="shared" si="390"/>
        <v>CLEAN</v>
      </c>
      <c r="AX811" s="10" t="str">
        <f t="shared" si="391"/>
        <v>MATCH</v>
      </c>
      <c r="AY811" t="str">
        <f t="shared" si="392"/>
        <v>MATCH</v>
      </c>
    </row>
    <row r="812" spans="1:51">
      <c r="A812" t="s">
        <v>3090</v>
      </c>
      <c r="B812">
        <f t="shared" si="368"/>
        <v>1</v>
      </c>
      <c r="C812" t="s">
        <v>3091</v>
      </c>
      <c r="D812" s="3">
        <v>46001</v>
      </c>
      <c r="E812" t="str">
        <f t="shared" si="369"/>
        <v>2025/12/10</v>
      </c>
      <c r="F812" t="str">
        <f t="shared" si="378"/>
        <v>December</v>
      </c>
      <c r="G812">
        <f t="shared" si="379"/>
        <v>2025</v>
      </c>
      <c r="H812" t="s">
        <v>139</v>
      </c>
      <c r="I812" s="4">
        <v>45946</v>
      </c>
      <c r="J812" s="8">
        <f t="shared" si="370"/>
        <v>-55</v>
      </c>
      <c r="K812" s="8" t="str">
        <f t="shared" si="380"/>
        <v>INVAILD_SHIPPING</v>
      </c>
      <c r="L812" t="s">
        <v>1415</v>
      </c>
      <c r="M812" t="s">
        <v>209</v>
      </c>
      <c r="N812" t="str">
        <f t="shared" si="371"/>
        <v>Diya Patel</v>
      </c>
      <c r="O812" t="s">
        <v>107</v>
      </c>
      <c r="P812" t="str">
        <f t="shared" si="394"/>
        <v>Corporate</v>
      </c>
      <c r="Q812" t="s">
        <v>41</v>
      </c>
      <c r="R812" t="str">
        <f t="shared" si="396"/>
        <v>East</v>
      </c>
      <c r="S812" t="str">
        <f t="shared" si="381"/>
        <v>OK</v>
      </c>
      <c r="T812" t="s">
        <v>185</v>
      </c>
      <c r="U812" t="str">
        <f t="shared" si="372"/>
        <v>Bihar</v>
      </c>
      <c r="V812" t="s">
        <v>186</v>
      </c>
      <c r="W812" t="str">
        <f t="shared" si="373"/>
        <v>Patna</v>
      </c>
      <c r="X812" t="str">
        <f t="shared" si="374"/>
        <v>Technology</v>
      </c>
      <c r="Y812" t="s">
        <v>85</v>
      </c>
      <c r="Z812" t="s">
        <v>381</v>
      </c>
      <c r="AA812" t="str">
        <f t="shared" si="375"/>
        <v>Machines</v>
      </c>
      <c r="AB812" t="s">
        <v>3092</v>
      </c>
      <c r="AC812" t="s">
        <v>47</v>
      </c>
      <c r="AD812" t="str">
        <f t="shared" si="397"/>
        <v>Same Day</v>
      </c>
      <c r="AE812" t="str">
        <f t="shared" si="382"/>
        <v>OK</v>
      </c>
      <c r="AF812">
        <v>1</v>
      </c>
      <c r="AG812">
        <v>2570.06</v>
      </c>
      <c r="AH812">
        <v>0.2</v>
      </c>
      <c r="AI812">
        <f t="shared" si="383"/>
        <v>0.2</v>
      </c>
      <c r="AJ812" t="str">
        <f t="shared" si="384"/>
        <v>OK</v>
      </c>
      <c r="AK812">
        <v>2056.0500000000002</v>
      </c>
      <c r="AL812">
        <v>1662.39</v>
      </c>
      <c r="AM812">
        <v>393.66</v>
      </c>
      <c r="AN812" t="s">
        <v>33</v>
      </c>
      <c r="AO812" t="str">
        <f t="shared" si="376"/>
        <v>PAID</v>
      </c>
      <c r="AP812" t="str">
        <f t="shared" si="385"/>
        <v>OK</v>
      </c>
      <c r="AQ812" t="s">
        <v>34</v>
      </c>
      <c r="AR812" t="str">
        <f t="shared" si="377"/>
        <v>COMPLETED</v>
      </c>
      <c r="AS812" t="str">
        <f t="shared" si="386"/>
        <v>OK</v>
      </c>
      <c r="AT812">
        <f t="shared" si="387"/>
        <v>2056.0480000000002</v>
      </c>
      <c r="AU812">
        <f t="shared" si="388"/>
        <v>393.65800000000013</v>
      </c>
      <c r="AV812" s="6">
        <f t="shared" si="389"/>
        <v>1.8437723730185291</v>
      </c>
      <c r="AW812" t="str">
        <f t="shared" si="390"/>
        <v>CLEAN</v>
      </c>
      <c r="AX812" s="10" t="str">
        <f t="shared" si="391"/>
        <v>MATCH</v>
      </c>
      <c r="AY812" t="str">
        <f t="shared" si="392"/>
        <v>MATCH</v>
      </c>
    </row>
    <row r="813" spans="1:51">
      <c r="A813" t="s">
        <v>3093</v>
      </c>
      <c r="B813">
        <f t="shared" si="368"/>
        <v>1</v>
      </c>
      <c r="C813" t="s">
        <v>698</v>
      </c>
      <c r="D813" s="3">
        <v>45895</v>
      </c>
      <c r="E813" t="str">
        <f t="shared" si="369"/>
        <v>2025/08/26</v>
      </c>
      <c r="F813" t="str">
        <f t="shared" si="378"/>
        <v>August</v>
      </c>
      <c r="G813">
        <f t="shared" si="379"/>
        <v>2025</v>
      </c>
      <c r="H813" t="s">
        <v>698</v>
      </c>
      <c r="I813" s="4">
        <v>45895</v>
      </c>
      <c r="J813" s="8">
        <f t="shared" si="370"/>
        <v>0</v>
      </c>
      <c r="K813" s="8" t="str">
        <f t="shared" si="380"/>
        <v>OK</v>
      </c>
      <c r="L813" t="s">
        <v>3094</v>
      </c>
      <c r="M813" t="s">
        <v>92</v>
      </c>
      <c r="N813" t="str">
        <f t="shared" si="371"/>
        <v>Neha Gupta</v>
      </c>
      <c r="O813" t="s">
        <v>114</v>
      </c>
      <c r="P813" t="str">
        <f t="shared" si="394"/>
        <v>Home Office</v>
      </c>
      <c r="Q813" t="s">
        <v>41</v>
      </c>
      <c r="R813" t="str">
        <f t="shared" si="396"/>
        <v>East</v>
      </c>
      <c r="S813" t="str">
        <f t="shared" si="381"/>
        <v>OK</v>
      </c>
      <c r="T813" t="s">
        <v>120</v>
      </c>
      <c r="U813" t="str">
        <f t="shared" si="372"/>
        <v>West Bengal</v>
      </c>
      <c r="V813" t="s">
        <v>121</v>
      </c>
      <c r="W813" t="str">
        <f t="shared" si="373"/>
        <v>Kolkata</v>
      </c>
      <c r="X813" t="str">
        <f t="shared" si="374"/>
        <v>Furniture</v>
      </c>
      <c r="Y813" t="s">
        <v>44</v>
      </c>
      <c r="Z813" t="s">
        <v>64</v>
      </c>
      <c r="AA813" t="str">
        <f t="shared" si="375"/>
        <v>Furnishings</v>
      </c>
      <c r="AB813" t="s">
        <v>3095</v>
      </c>
      <c r="AC813" t="s">
        <v>66</v>
      </c>
      <c r="AD813" t="str">
        <f t="shared" si="397"/>
        <v>Standard Class</v>
      </c>
      <c r="AE813" t="str">
        <f t="shared" si="382"/>
        <v>OK</v>
      </c>
      <c r="AF813">
        <v>4</v>
      </c>
      <c r="AG813">
        <v>2151.8200000000002</v>
      </c>
      <c r="AH813">
        <v>0</v>
      </c>
      <c r="AI813">
        <f t="shared" si="383"/>
        <v>0</v>
      </c>
      <c r="AJ813" t="str">
        <f t="shared" si="384"/>
        <v>OK</v>
      </c>
      <c r="AK813">
        <v>8607.2800000000007</v>
      </c>
      <c r="AL813">
        <v>5124.01</v>
      </c>
      <c r="AM813">
        <v>3483.27</v>
      </c>
      <c r="AN813" t="s">
        <v>33</v>
      </c>
      <c r="AO813" t="str">
        <f t="shared" si="376"/>
        <v>PAID</v>
      </c>
      <c r="AP813" t="str">
        <f t="shared" si="385"/>
        <v>OK</v>
      </c>
      <c r="AQ813" t="s">
        <v>34</v>
      </c>
      <c r="AR813" t="str">
        <f t="shared" si="377"/>
        <v>COMPLETED</v>
      </c>
      <c r="AS813" t="str">
        <f t="shared" si="386"/>
        <v>OK</v>
      </c>
      <c r="AT813">
        <f t="shared" si="387"/>
        <v>8607.2800000000007</v>
      </c>
      <c r="AU813">
        <f t="shared" si="388"/>
        <v>3483.2700000000004</v>
      </c>
      <c r="AV813" s="6">
        <f t="shared" si="389"/>
        <v>0.2325717299774144</v>
      </c>
      <c r="AW813" t="str">
        <f t="shared" si="390"/>
        <v>CLEAN</v>
      </c>
      <c r="AX813" s="10" t="str">
        <f t="shared" si="391"/>
        <v>MATCH</v>
      </c>
      <c r="AY813" t="str">
        <f t="shared" si="392"/>
        <v>MATCH</v>
      </c>
    </row>
    <row r="814" spans="1:51">
      <c r="A814" t="s">
        <v>3100</v>
      </c>
      <c r="B814">
        <f t="shared" si="368"/>
        <v>1</v>
      </c>
      <c r="C814" t="s">
        <v>3101</v>
      </c>
      <c r="D814" s="3">
        <v>45846</v>
      </c>
      <c r="E814" t="str">
        <f t="shared" si="369"/>
        <v>2025/07/08</v>
      </c>
      <c r="F814" t="str">
        <f t="shared" si="378"/>
        <v>July</v>
      </c>
      <c r="G814">
        <f t="shared" si="379"/>
        <v>2025</v>
      </c>
      <c r="H814" t="s">
        <v>3102</v>
      </c>
      <c r="I814" s="4">
        <v>45879</v>
      </c>
      <c r="J814" s="8">
        <f t="shared" si="370"/>
        <v>33</v>
      </c>
      <c r="K814" s="8" t="str">
        <f t="shared" si="380"/>
        <v>OK</v>
      </c>
      <c r="L814" t="s">
        <v>3103</v>
      </c>
      <c r="M814" t="s">
        <v>106</v>
      </c>
      <c r="N814" t="str">
        <f t="shared" si="371"/>
        <v>Aditi Sen</v>
      </c>
      <c r="O814" t="s">
        <v>114</v>
      </c>
      <c r="P814" t="str">
        <f t="shared" si="394"/>
        <v>Home Office</v>
      </c>
      <c r="Q814" t="s">
        <v>41</v>
      </c>
      <c r="R814" t="str">
        <f t="shared" si="396"/>
        <v>East</v>
      </c>
      <c r="S814" t="str">
        <f t="shared" si="381"/>
        <v>OK</v>
      </c>
      <c r="T814" t="s">
        <v>185</v>
      </c>
      <c r="U814" t="str">
        <f t="shared" si="372"/>
        <v>Bihar</v>
      </c>
      <c r="V814" t="s">
        <v>186</v>
      </c>
      <c r="W814" t="str">
        <f t="shared" si="373"/>
        <v>Patna</v>
      </c>
      <c r="X814" t="str">
        <f t="shared" si="374"/>
        <v>Office Supplies</v>
      </c>
      <c r="Y814" t="s">
        <v>29</v>
      </c>
      <c r="Z814" t="s">
        <v>155</v>
      </c>
      <c r="AA814" t="str">
        <f t="shared" si="375"/>
        <v>Storage</v>
      </c>
      <c r="AB814" t="s">
        <v>3104</v>
      </c>
      <c r="AC814" t="s">
        <v>32</v>
      </c>
      <c r="AD814" t="str">
        <f t="shared" si="397"/>
        <v>Second Class</v>
      </c>
      <c r="AE814" t="str">
        <f t="shared" si="382"/>
        <v>OK</v>
      </c>
      <c r="AF814">
        <v>1</v>
      </c>
      <c r="AG814">
        <v>2541.25</v>
      </c>
      <c r="AH814">
        <v>0.2</v>
      </c>
      <c r="AI814">
        <f t="shared" si="383"/>
        <v>0.2</v>
      </c>
      <c r="AJ814" t="str">
        <f t="shared" si="384"/>
        <v>OK</v>
      </c>
      <c r="AK814">
        <v>2033</v>
      </c>
      <c r="AL814">
        <v>1291.4100000000001</v>
      </c>
      <c r="AM814">
        <v>741.59</v>
      </c>
      <c r="AN814" t="s">
        <v>33</v>
      </c>
      <c r="AO814" t="str">
        <f t="shared" si="376"/>
        <v>PAID</v>
      </c>
      <c r="AP814" t="str">
        <f t="shared" si="385"/>
        <v>OK</v>
      </c>
      <c r="AQ814" t="s">
        <v>34</v>
      </c>
      <c r="AR814" t="str">
        <f t="shared" si="377"/>
        <v>COMPLETED</v>
      </c>
      <c r="AS814" t="str">
        <f t="shared" si="386"/>
        <v>OK</v>
      </c>
      <c r="AT814">
        <f t="shared" si="387"/>
        <v>2033</v>
      </c>
      <c r="AU814">
        <f t="shared" si="388"/>
        <v>741.58999999999992</v>
      </c>
      <c r="AV814" s="6">
        <f t="shared" si="389"/>
        <v>0.98465814067879953</v>
      </c>
      <c r="AW814" t="str">
        <f t="shared" si="390"/>
        <v>CLEAN</v>
      </c>
      <c r="AX814" s="10" t="str">
        <f t="shared" si="391"/>
        <v>MATCH</v>
      </c>
      <c r="AY814" t="str">
        <f t="shared" si="392"/>
        <v>MATCH</v>
      </c>
    </row>
    <row r="815" spans="1:51">
      <c r="A815" t="s">
        <v>3105</v>
      </c>
      <c r="B815">
        <f t="shared" si="368"/>
        <v>1</v>
      </c>
      <c r="C815" t="s">
        <v>3106</v>
      </c>
      <c r="D815" s="3">
        <v>45906</v>
      </c>
      <c r="E815" t="str">
        <f t="shared" si="369"/>
        <v>2025/09/06</v>
      </c>
      <c r="F815" t="str">
        <f t="shared" si="378"/>
        <v>September</v>
      </c>
      <c r="G815">
        <f t="shared" si="379"/>
        <v>2025</v>
      </c>
      <c r="H815" t="s">
        <v>2212</v>
      </c>
      <c r="I815" s="4">
        <v>45820</v>
      </c>
      <c r="J815" s="8">
        <f t="shared" si="370"/>
        <v>-86</v>
      </c>
      <c r="K815" s="8" t="str">
        <f t="shared" si="380"/>
        <v>INVAILD_SHIPPING</v>
      </c>
      <c r="L815" t="s">
        <v>3107</v>
      </c>
      <c r="M815" t="s">
        <v>167</v>
      </c>
      <c r="N815" t="str">
        <f t="shared" si="371"/>
        <v>Sneha Kapoor</v>
      </c>
      <c r="O815" t="s">
        <v>25</v>
      </c>
      <c r="P815" t="str">
        <f t="shared" si="394"/>
        <v>Consumer</v>
      </c>
      <c r="R815" t="s">
        <v>4109</v>
      </c>
      <c r="S815" t="str">
        <f t="shared" si="381"/>
        <v>MISSING_REGION</v>
      </c>
      <c r="T815" t="s">
        <v>185</v>
      </c>
      <c r="U815" t="str">
        <f t="shared" si="372"/>
        <v>Bihar</v>
      </c>
      <c r="V815" t="s">
        <v>186</v>
      </c>
      <c r="W815" t="str">
        <f t="shared" si="373"/>
        <v>Patna</v>
      </c>
      <c r="X815" t="str">
        <f t="shared" si="374"/>
        <v>Office Supplies</v>
      </c>
      <c r="Y815" t="s">
        <v>29</v>
      </c>
      <c r="Z815" t="s">
        <v>53</v>
      </c>
      <c r="AA815" t="str">
        <f t="shared" si="375"/>
        <v>Art</v>
      </c>
      <c r="AB815" t="s">
        <v>3108</v>
      </c>
      <c r="AC815" t="s">
        <v>55</v>
      </c>
      <c r="AD815" t="str">
        <f t="shared" si="397"/>
        <v>First Class</v>
      </c>
      <c r="AE815" t="str">
        <f t="shared" si="382"/>
        <v>OK</v>
      </c>
      <c r="AF815">
        <v>7</v>
      </c>
      <c r="AG815">
        <v>2852.42</v>
      </c>
      <c r="AH815">
        <v>0</v>
      </c>
      <c r="AI815">
        <f t="shared" si="383"/>
        <v>0</v>
      </c>
      <c r="AJ815" t="str">
        <f t="shared" si="384"/>
        <v>OK</v>
      </c>
      <c r="AK815">
        <v>19966.939999999999</v>
      </c>
      <c r="AL815">
        <v>12690.83</v>
      </c>
      <c r="AM815">
        <v>7276.11</v>
      </c>
      <c r="AN815" t="s">
        <v>123</v>
      </c>
      <c r="AO815" t="str">
        <f t="shared" si="376"/>
        <v>REFUNDED</v>
      </c>
      <c r="AP815" t="str">
        <f t="shared" si="385"/>
        <v>REFUNDED_PAYMENT</v>
      </c>
      <c r="AQ815" t="s">
        <v>77</v>
      </c>
      <c r="AR815" t="str">
        <f t="shared" si="377"/>
        <v>CANCELLED</v>
      </c>
      <c r="AS815" t="str">
        <f t="shared" si="386"/>
        <v>EXCLUDE_FROM_SALES</v>
      </c>
      <c r="AT815">
        <f t="shared" si="387"/>
        <v>19966.940000000002</v>
      </c>
      <c r="AU815">
        <f t="shared" si="388"/>
        <v>7276.1100000000024</v>
      </c>
      <c r="AV815" s="6">
        <f t="shared" si="389"/>
        <v>7.1824225444659995E-2</v>
      </c>
      <c r="AW815" t="str">
        <f t="shared" si="390"/>
        <v>WARNING</v>
      </c>
      <c r="AX815" s="10" t="str">
        <f t="shared" si="391"/>
        <v>MATCH</v>
      </c>
      <c r="AY815" t="str">
        <f t="shared" si="392"/>
        <v>MATCH</v>
      </c>
    </row>
    <row r="816" spans="1:51">
      <c r="A816" t="s">
        <v>3109</v>
      </c>
      <c r="B816">
        <f t="shared" si="368"/>
        <v>1</v>
      </c>
      <c r="C816" t="s">
        <v>182</v>
      </c>
      <c r="D816" s="3">
        <v>45678</v>
      </c>
      <c r="E816" t="str">
        <f t="shared" si="369"/>
        <v>2025/01/21</v>
      </c>
      <c r="F816" t="str">
        <f t="shared" si="378"/>
        <v>January</v>
      </c>
      <c r="G816">
        <f t="shared" si="379"/>
        <v>2025</v>
      </c>
      <c r="H816" t="s">
        <v>1836</v>
      </c>
      <c r="I816" s="4">
        <v>45679</v>
      </c>
      <c r="J816" s="8">
        <f t="shared" si="370"/>
        <v>1</v>
      </c>
      <c r="K816" s="8" t="str">
        <f t="shared" si="380"/>
        <v>OK</v>
      </c>
      <c r="L816" t="s">
        <v>3110</v>
      </c>
      <c r="M816" t="s">
        <v>209</v>
      </c>
      <c r="N816" t="str">
        <f t="shared" si="371"/>
        <v>Diya Patel</v>
      </c>
      <c r="O816" t="s">
        <v>107</v>
      </c>
      <c r="P816" t="str">
        <f t="shared" si="394"/>
        <v>Corporate</v>
      </c>
      <c r="Q816" t="s">
        <v>61</v>
      </c>
      <c r="R816" t="str">
        <f t="shared" ref="R816:R861" si="398">PROPER(TRIM(SUBSTITUTE(Q816,CHAR(160)," ")))</f>
        <v>South</v>
      </c>
      <c r="S816" t="str">
        <f t="shared" si="381"/>
        <v>OK</v>
      </c>
      <c r="T816" t="s">
        <v>228</v>
      </c>
      <c r="U816" t="str">
        <f t="shared" si="372"/>
        <v>Karnataka</v>
      </c>
      <c r="V816" t="s">
        <v>229</v>
      </c>
      <c r="W816" t="str">
        <f t="shared" si="373"/>
        <v>Bengaluru</v>
      </c>
      <c r="X816" t="str">
        <f t="shared" si="374"/>
        <v>Technology</v>
      </c>
      <c r="Y816" t="s">
        <v>85</v>
      </c>
      <c r="Z816" t="s">
        <v>222</v>
      </c>
      <c r="AA816" t="str">
        <f t="shared" si="375"/>
        <v>Phones</v>
      </c>
      <c r="AB816" t="s">
        <v>3111</v>
      </c>
      <c r="AC816" t="s">
        <v>32</v>
      </c>
      <c r="AD816" t="str">
        <f t="shared" si="397"/>
        <v>Second Class</v>
      </c>
      <c r="AE816" t="str">
        <f t="shared" si="382"/>
        <v>OK</v>
      </c>
      <c r="AF816">
        <v>2</v>
      </c>
      <c r="AG816">
        <v>444.31</v>
      </c>
      <c r="AH816">
        <v>0.2</v>
      </c>
      <c r="AI816">
        <f t="shared" si="383"/>
        <v>0.2</v>
      </c>
      <c r="AJ816" t="str">
        <f t="shared" si="384"/>
        <v>OK</v>
      </c>
      <c r="AK816">
        <v>710.9</v>
      </c>
      <c r="AL816">
        <v>513.88</v>
      </c>
      <c r="AM816">
        <v>197.02</v>
      </c>
      <c r="AN816" t="s">
        <v>123</v>
      </c>
      <c r="AO816" t="str">
        <f t="shared" si="376"/>
        <v>REFUNDED</v>
      </c>
      <c r="AP816" t="str">
        <f t="shared" si="385"/>
        <v>REFUNDED_PAYMENT</v>
      </c>
      <c r="AQ816" t="s">
        <v>77</v>
      </c>
      <c r="AR816" t="str">
        <f t="shared" si="377"/>
        <v>CANCELLED</v>
      </c>
      <c r="AS816" t="str">
        <f t="shared" si="386"/>
        <v>EXCLUDE_FROM_SALES</v>
      </c>
      <c r="AT816">
        <f t="shared" si="387"/>
        <v>710.89600000000007</v>
      </c>
      <c r="AU816">
        <f t="shared" si="388"/>
        <v>197.01600000000008</v>
      </c>
      <c r="AV816" s="6">
        <f t="shared" si="389"/>
        <v>2.9832071076500637</v>
      </c>
      <c r="AW816" t="str">
        <f t="shared" si="390"/>
        <v>CLEAN</v>
      </c>
      <c r="AX816" s="10" t="str">
        <f t="shared" si="391"/>
        <v>MATCH</v>
      </c>
      <c r="AY816" t="str">
        <f t="shared" si="392"/>
        <v>MATCH</v>
      </c>
    </row>
    <row r="817" spans="1:51">
      <c r="A817" t="s">
        <v>3112</v>
      </c>
      <c r="B817">
        <f t="shared" si="368"/>
        <v>1</v>
      </c>
      <c r="C817" t="s">
        <v>170</v>
      </c>
      <c r="D817" s="3">
        <v>45853</v>
      </c>
      <c r="E817" t="str">
        <f t="shared" si="369"/>
        <v>2025/07/15</v>
      </c>
      <c r="F817" t="str">
        <f t="shared" si="378"/>
        <v>July</v>
      </c>
      <c r="G817">
        <f t="shared" si="379"/>
        <v>2025</v>
      </c>
      <c r="H817" t="s">
        <v>3113</v>
      </c>
      <c r="I817" s="4">
        <v>45853</v>
      </c>
      <c r="J817" s="8">
        <f t="shared" si="370"/>
        <v>0</v>
      </c>
      <c r="K817" s="8" t="str">
        <f t="shared" si="380"/>
        <v>OK</v>
      </c>
      <c r="L817" t="s">
        <v>3114</v>
      </c>
      <c r="M817" t="s">
        <v>60</v>
      </c>
      <c r="N817" t="str">
        <f t="shared" si="371"/>
        <v>Arjun Bose</v>
      </c>
      <c r="O817" t="s">
        <v>40</v>
      </c>
      <c r="P817" t="str">
        <f t="shared" si="394"/>
        <v>Small Business</v>
      </c>
      <c r="Q817" t="s">
        <v>41</v>
      </c>
      <c r="R817" t="str">
        <f t="shared" si="398"/>
        <v>East</v>
      </c>
      <c r="S817" t="str">
        <f t="shared" si="381"/>
        <v>OK</v>
      </c>
      <c r="T817" t="s">
        <v>310</v>
      </c>
      <c r="U817" t="str">
        <f t="shared" si="372"/>
        <v>Jharkhand</v>
      </c>
      <c r="V817" t="s">
        <v>311</v>
      </c>
      <c r="W817" t="str">
        <f t="shared" si="373"/>
        <v>Ranchi</v>
      </c>
      <c r="X817" t="str">
        <f t="shared" si="374"/>
        <v>Technology</v>
      </c>
      <c r="Y817" t="s">
        <v>85</v>
      </c>
      <c r="Z817" t="s">
        <v>222</v>
      </c>
      <c r="AA817" t="str">
        <f t="shared" si="375"/>
        <v>Phones</v>
      </c>
      <c r="AB817" t="s">
        <v>3115</v>
      </c>
      <c r="AC817" t="s">
        <v>47</v>
      </c>
      <c r="AD817" t="str">
        <f t="shared" si="397"/>
        <v>Same Day</v>
      </c>
      <c r="AE817" t="str">
        <f t="shared" si="382"/>
        <v>OK</v>
      </c>
      <c r="AF817">
        <v>4</v>
      </c>
      <c r="AG817">
        <v>4442.91</v>
      </c>
      <c r="AH817">
        <v>0.1</v>
      </c>
      <c r="AI817">
        <f t="shared" si="383"/>
        <v>0.1</v>
      </c>
      <c r="AJ817" t="str">
        <f t="shared" si="384"/>
        <v>OK</v>
      </c>
      <c r="AK817">
        <v>15994.48</v>
      </c>
      <c r="AL817">
        <v>9224.2800000000007</v>
      </c>
      <c r="AM817">
        <v>6770.2</v>
      </c>
      <c r="AN817" t="s">
        <v>33</v>
      </c>
      <c r="AO817" t="str">
        <f t="shared" si="376"/>
        <v>PAID</v>
      </c>
      <c r="AP817" t="str">
        <f t="shared" si="385"/>
        <v>OK</v>
      </c>
      <c r="AQ817" t="s">
        <v>34</v>
      </c>
      <c r="AR817" t="str">
        <f t="shared" si="377"/>
        <v>COMPLETED</v>
      </c>
      <c r="AS817" t="str">
        <f t="shared" si="386"/>
        <v>OK</v>
      </c>
      <c r="AT817">
        <f t="shared" si="387"/>
        <v>15994.476000000001</v>
      </c>
      <c r="AU817">
        <f t="shared" si="388"/>
        <v>6770.1959999999999</v>
      </c>
      <c r="AV817" s="6">
        <f t="shared" si="389"/>
        <v>5.4564963553666919E-2</v>
      </c>
      <c r="AW817" t="str">
        <f t="shared" si="390"/>
        <v>CLEAN</v>
      </c>
      <c r="AX817" s="10" t="str">
        <f t="shared" si="391"/>
        <v>MATCH</v>
      </c>
      <c r="AY817" t="str">
        <f t="shared" si="392"/>
        <v>MATCH</v>
      </c>
    </row>
    <row r="818" spans="1:51">
      <c r="A818" t="s">
        <v>3134</v>
      </c>
      <c r="B818">
        <f t="shared" si="368"/>
        <v>1</v>
      </c>
      <c r="C818" t="s">
        <v>3135</v>
      </c>
      <c r="D818" s="3">
        <v>45670</v>
      </c>
      <c r="E818" t="str">
        <f t="shared" si="369"/>
        <v>2025/01/13</v>
      </c>
      <c r="F818" t="str">
        <f t="shared" si="378"/>
        <v>January</v>
      </c>
      <c r="G818">
        <f t="shared" si="379"/>
        <v>2025</v>
      </c>
      <c r="H818" t="s">
        <v>3136</v>
      </c>
      <c r="I818" s="4">
        <v>45670</v>
      </c>
      <c r="J818" s="8">
        <f t="shared" si="370"/>
        <v>0</v>
      </c>
      <c r="K818" s="8" t="str">
        <f t="shared" si="380"/>
        <v>OK</v>
      </c>
      <c r="L818" t="s">
        <v>3137</v>
      </c>
      <c r="M818" t="s">
        <v>147</v>
      </c>
      <c r="N818" t="str">
        <f t="shared" si="371"/>
        <v>Rahul Verma</v>
      </c>
      <c r="O818" t="s">
        <v>114</v>
      </c>
      <c r="P818" t="str">
        <f t="shared" si="394"/>
        <v>Home Office</v>
      </c>
      <c r="Q818" t="s">
        <v>72</v>
      </c>
      <c r="R818" t="str">
        <f t="shared" si="398"/>
        <v>West</v>
      </c>
      <c r="S818" t="str">
        <f t="shared" si="381"/>
        <v>OK</v>
      </c>
      <c r="T818" t="s">
        <v>234</v>
      </c>
      <c r="U818" t="str">
        <f t="shared" si="372"/>
        <v>Gujarat</v>
      </c>
      <c r="V818" t="s">
        <v>235</v>
      </c>
      <c r="W818" t="str">
        <f t="shared" si="373"/>
        <v>Ahmedabad</v>
      </c>
      <c r="X818" t="str">
        <f t="shared" si="374"/>
        <v>Office Supplies</v>
      </c>
      <c r="Y818" t="s">
        <v>29</v>
      </c>
      <c r="Z818" t="s">
        <v>53</v>
      </c>
      <c r="AA818" t="str">
        <f t="shared" si="375"/>
        <v>Art</v>
      </c>
      <c r="AB818" t="s">
        <v>3138</v>
      </c>
      <c r="AC818" t="s">
        <v>66</v>
      </c>
      <c r="AD818" t="str">
        <f t="shared" si="397"/>
        <v>Standard Class</v>
      </c>
      <c r="AE818" t="str">
        <f t="shared" si="382"/>
        <v>OK</v>
      </c>
      <c r="AF818">
        <v>3</v>
      </c>
      <c r="AG818">
        <v>2110.52</v>
      </c>
      <c r="AH818">
        <v>0.1</v>
      </c>
      <c r="AI818">
        <f t="shared" si="383"/>
        <v>0.1</v>
      </c>
      <c r="AJ818" t="str">
        <f t="shared" si="384"/>
        <v>OK</v>
      </c>
      <c r="AK818">
        <v>5698.4</v>
      </c>
      <c r="AL818">
        <v>3640.89</v>
      </c>
      <c r="AM818">
        <v>2057.5100000000002</v>
      </c>
      <c r="AN818" t="s">
        <v>199</v>
      </c>
      <c r="AO818" t="str">
        <f t="shared" si="376"/>
        <v>FAILED</v>
      </c>
      <c r="AP818" t="str">
        <f t="shared" si="385"/>
        <v>EXCLUDE_FROM_SALES</v>
      </c>
      <c r="AQ818" t="s">
        <v>77</v>
      </c>
      <c r="AR818" t="str">
        <f t="shared" si="377"/>
        <v>CANCELLED</v>
      </c>
      <c r="AS818" t="str">
        <f t="shared" si="386"/>
        <v>EXCLUDE_FROM_SALES</v>
      </c>
      <c r="AT818">
        <f t="shared" si="387"/>
        <v>5698.4039999999995</v>
      </c>
      <c r="AU818">
        <f t="shared" si="388"/>
        <v>2057.5139999999997</v>
      </c>
      <c r="AV818" s="6">
        <f t="shared" si="389"/>
        <v>-0.57951928294308397</v>
      </c>
      <c r="AW818" t="str">
        <f t="shared" si="390"/>
        <v>CLEAN</v>
      </c>
      <c r="AX818" s="10" t="str">
        <f t="shared" si="391"/>
        <v>MATCH</v>
      </c>
      <c r="AY818" t="str">
        <f t="shared" si="392"/>
        <v>MATCH</v>
      </c>
    </row>
    <row r="819" spans="1:51">
      <c r="A819" t="s">
        <v>3142</v>
      </c>
      <c r="B819">
        <f t="shared" si="368"/>
        <v>1</v>
      </c>
      <c r="C819" t="s">
        <v>3143</v>
      </c>
      <c r="D819" s="3">
        <v>45797</v>
      </c>
      <c r="E819" t="str">
        <f t="shared" si="369"/>
        <v>2025/05/20</v>
      </c>
      <c r="F819" t="str">
        <f t="shared" si="378"/>
        <v>May</v>
      </c>
      <c r="G819">
        <f t="shared" si="379"/>
        <v>2025</v>
      </c>
      <c r="H819" t="s">
        <v>3144</v>
      </c>
      <c r="I819" s="4">
        <v>45804</v>
      </c>
      <c r="J819" s="8">
        <f t="shared" si="370"/>
        <v>7</v>
      </c>
      <c r="K819" s="8" t="str">
        <f t="shared" si="380"/>
        <v>OK</v>
      </c>
      <c r="L819" t="s">
        <v>3145</v>
      </c>
      <c r="M819" t="s">
        <v>209</v>
      </c>
      <c r="N819" t="str">
        <f t="shared" si="371"/>
        <v>Diya Patel</v>
      </c>
      <c r="O819" t="s">
        <v>40</v>
      </c>
      <c r="P819" t="str">
        <f t="shared" si="394"/>
        <v>Small Business</v>
      </c>
      <c r="Q819" t="s">
        <v>41</v>
      </c>
      <c r="R819" t="str">
        <f t="shared" si="398"/>
        <v>East</v>
      </c>
      <c r="S819" t="str">
        <f t="shared" si="381"/>
        <v>OK</v>
      </c>
      <c r="T819" t="s">
        <v>185</v>
      </c>
      <c r="U819" t="str">
        <f t="shared" si="372"/>
        <v>Bihar</v>
      </c>
      <c r="V819" t="s">
        <v>186</v>
      </c>
      <c r="W819" t="str">
        <f t="shared" si="373"/>
        <v>Patna</v>
      </c>
      <c r="X819" t="str">
        <f t="shared" si="374"/>
        <v>Technology</v>
      </c>
      <c r="Y819" t="s">
        <v>85</v>
      </c>
      <c r="Z819" t="s">
        <v>381</v>
      </c>
      <c r="AA819" t="str">
        <f t="shared" si="375"/>
        <v>Machines</v>
      </c>
      <c r="AB819" t="s">
        <v>3146</v>
      </c>
      <c r="AC819" t="s">
        <v>66</v>
      </c>
      <c r="AD819" t="str">
        <f t="shared" si="397"/>
        <v>Standard Class</v>
      </c>
      <c r="AE819" t="str">
        <f t="shared" si="382"/>
        <v>OK</v>
      </c>
      <c r="AF819">
        <v>1</v>
      </c>
      <c r="AG819">
        <v>3959.14</v>
      </c>
      <c r="AH819">
        <v>0</v>
      </c>
      <c r="AI819">
        <f t="shared" si="383"/>
        <v>0</v>
      </c>
      <c r="AJ819" t="str">
        <f t="shared" si="384"/>
        <v>OK</v>
      </c>
      <c r="AK819">
        <v>3959.14</v>
      </c>
      <c r="AL819">
        <v>3239.53</v>
      </c>
      <c r="AM819">
        <v>719.61</v>
      </c>
      <c r="AN819" t="s">
        <v>136</v>
      </c>
      <c r="AO819" t="str">
        <f t="shared" si="376"/>
        <v>PENDING</v>
      </c>
      <c r="AP819" t="str">
        <f t="shared" si="385"/>
        <v>OK</v>
      </c>
      <c r="AQ819" t="s">
        <v>124</v>
      </c>
      <c r="AR819" t="str">
        <f t="shared" si="377"/>
        <v>RETURNED</v>
      </c>
      <c r="AS819" t="str">
        <f t="shared" si="386"/>
        <v>RETURNED_ORDER</v>
      </c>
      <c r="AT819">
        <f t="shared" si="387"/>
        <v>3959.14</v>
      </c>
      <c r="AU819">
        <f t="shared" si="388"/>
        <v>719.60999999999967</v>
      </c>
      <c r="AV819" s="6">
        <f t="shared" si="389"/>
        <v>0.83990917219396122</v>
      </c>
      <c r="AW819" t="str">
        <f t="shared" si="390"/>
        <v>CLEAN</v>
      </c>
      <c r="AX819" s="10" t="str">
        <f t="shared" si="391"/>
        <v>MATCH</v>
      </c>
      <c r="AY819" t="str">
        <f t="shared" si="392"/>
        <v>MATCH</v>
      </c>
    </row>
    <row r="820" spans="1:51">
      <c r="A820" t="s">
        <v>3156</v>
      </c>
      <c r="B820">
        <f t="shared" si="368"/>
        <v>1</v>
      </c>
      <c r="C820" t="s">
        <v>3157</v>
      </c>
      <c r="D820" s="3">
        <v>45690</v>
      </c>
      <c r="E820" t="str">
        <f t="shared" si="369"/>
        <v>2025/02/02</v>
      </c>
      <c r="F820" t="str">
        <f t="shared" si="378"/>
        <v>February</v>
      </c>
      <c r="G820">
        <f t="shared" si="379"/>
        <v>2025</v>
      </c>
      <c r="H820" t="s">
        <v>2955</v>
      </c>
      <c r="I820" s="4">
        <v>45694</v>
      </c>
      <c r="J820" s="8">
        <f t="shared" si="370"/>
        <v>4</v>
      </c>
      <c r="K820" s="8" t="str">
        <f t="shared" si="380"/>
        <v>OK</v>
      </c>
      <c r="L820" t="s">
        <v>2430</v>
      </c>
      <c r="M820" t="s">
        <v>167</v>
      </c>
      <c r="N820" t="str">
        <f t="shared" si="371"/>
        <v>Sneha Kapoor</v>
      </c>
      <c r="O820" t="s">
        <v>107</v>
      </c>
      <c r="P820" t="str">
        <f t="shared" si="394"/>
        <v>Corporate</v>
      </c>
      <c r="Q820" t="s">
        <v>26</v>
      </c>
      <c r="R820" t="str">
        <f t="shared" si="398"/>
        <v>North</v>
      </c>
      <c r="S820" t="str">
        <f t="shared" si="381"/>
        <v>OK</v>
      </c>
      <c r="T820" t="s">
        <v>173</v>
      </c>
      <c r="U820" t="str">
        <f t="shared" si="372"/>
        <v>Uttar Pradesh</v>
      </c>
      <c r="V820" t="s">
        <v>174</v>
      </c>
      <c r="W820" t="str">
        <f t="shared" si="373"/>
        <v>Noida</v>
      </c>
      <c r="X820" t="str">
        <f t="shared" si="374"/>
        <v>Furniture</v>
      </c>
      <c r="Y820" t="s">
        <v>44</v>
      </c>
      <c r="Z820" t="s">
        <v>45</v>
      </c>
      <c r="AA820" t="str">
        <f t="shared" si="375"/>
        <v>Tables</v>
      </c>
      <c r="AB820" t="s">
        <v>3158</v>
      </c>
      <c r="AC820" t="s">
        <v>66</v>
      </c>
      <c r="AD820" t="str">
        <f t="shared" si="397"/>
        <v>Standard Class</v>
      </c>
      <c r="AE820" t="str">
        <f t="shared" si="382"/>
        <v>OK</v>
      </c>
      <c r="AF820">
        <v>8</v>
      </c>
      <c r="AG820">
        <v>857.86</v>
      </c>
      <c r="AH820">
        <v>0.1</v>
      </c>
      <c r="AI820">
        <f t="shared" si="383"/>
        <v>0.1</v>
      </c>
      <c r="AJ820" t="str">
        <f t="shared" si="384"/>
        <v>OK</v>
      </c>
      <c r="AK820">
        <v>6176.59</v>
      </c>
      <c r="AL820">
        <v>3560.96</v>
      </c>
      <c r="AM820">
        <v>2615.63</v>
      </c>
      <c r="AN820" t="s">
        <v>33</v>
      </c>
      <c r="AO820" t="str">
        <f t="shared" si="376"/>
        <v>PAID</v>
      </c>
      <c r="AP820" t="str">
        <f t="shared" si="385"/>
        <v>OK</v>
      </c>
      <c r="AQ820" t="s">
        <v>34</v>
      </c>
      <c r="AR820" t="str">
        <f t="shared" si="377"/>
        <v>COMPLETED</v>
      </c>
      <c r="AS820" t="str">
        <f t="shared" si="386"/>
        <v>OK</v>
      </c>
      <c r="AT820">
        <f t="shared" si="387"/>
        <v>6176.5920000000006</v>
      </c>
      <c r="AU820">
        <f t="shared" si="388"/>
        <v>2615.6320000000005</v>
      </c>
      <c r="AV820" s="6">
        <f t="shared" si="389"/>
        <v>0.27406181272779534</v>
      </c>
      <c r="AW820" t="str">
        <f t="shared" si="390"/>
        <v>CLEAN</v>
      </c>
      <c r="AX820" s="10" t="str">
        <f t="shared" si="391"/>
        <v>MATCH</v>
      </c>
      <c r="AY820" t="str">
        <f t="shared" si="392"/>
        <v>MATCH</v>
      </c>
    </row>
    <row r="821" spans="1:51">
      <c r="A821" t="s">
        <v>3170</v>
      </c>
      <c r="B821">
        <f t="shared" si="368"/>
        <v>1</v>
      </c>
      <c r="C821" t="s">
        <v>2400</v>
      </c>
      <c r="D821" s="3">
        <v>45701</v>
      </c>
      <c r="E821" t="str">
        <f t="shared" si="369"/>
        <v>2025/02/13</v>
      </c>
      <c r="F821" t="str">
        <f t="shared" si="378"/>
        <v>February</v>
      </c>
      <c r="G821">
        <f t="shared" si="379"/>
        <v>2025</v>
      </c>
      <c r="H821" t="s">
        <v>3171</v>
      </c>
      <c r="I821" s="4">
        <v>45704</v>
      </c>
      <c r="J821" s="8">
        <f t="shared" si="370"/>
        <v>3</v>
      </c>
      <c r="K821" s="8" t="str">
        <f t="shared" si="380"/>
        <v>OK</v>
      </c>
      <c r="L821" t="s">
        <v>3172</v>
      </c>
      <c r="M821" t="s">
        <v>60</v>
      </c>
      <c r="N821" t="str">
        <f t="shared" si="371"/>
        <v>Arjun Bose</v>
      </c>
      <c r="O821" t="s">
        <v>40</v>
      </c>
      <c r="P821" t="str">
        <f t="shared" si="394"/>
        <v>Small Business</v>
      </c>
      <c r="Q821" t="s">
        <v>72</v>
      </c>
      <c r="R821" t="str">
        <f t="shared" si="398"/>
        <v>West</v>
      </c>
      <c r="S821" t="str">
        <f t="shared" si="381"/>
        <v>OK</v>
      </c>
      <c r="T821" t="s">
        <v>27</v>
      </c>
      <c r="U821" t="str">
        <f t="shared" si="372"/>
        <v>Rajasthan</v>
      </c>
      <c r="V821" t="s">
        <v>134</v>
      </c>
      <c r="W821" t="str">
        <f t="shared" si="373"/>
        <v>Udaipur</v>
      </c>
      <c r="X821" t="str">
        <f t="shared" si="374"/>
        <v>Furniture</v>
      </c>
      <c r="Y821" t="s">
        <v>44</v>
      </c>
      <c r="Z821" t="s">
        <v>203</v>
      </c>
      <c r="AA821" t="str">
        <f t="shared" si="375"/>
        <v>Bookcases</v>
      </c>
      <c r="AB821" t="s">
        <v>3173</v>
      </c>
      <c r="AC821" t="s">
        <v>32</v>
      </c>
      <c r="AD821" t="str">
        <f t="shared" si="397"/>
        <v>Second Class</v>
      </c>
      <c r="AE821" t="str">
        <f t="shared" si="382"/>
        <v>OK</v>
      </c>
      <c r="AF821">
        <v>4</v>
      </c>
      <c r="AG821">
        <v>4072.9</v>
      </c>
      <c r="AH821">
        <v>0.15</v>
      </c>
      <c r="AI821">
        <f t="shared" si="383"/>
        <v>0.15</v>
      </c>
      <c r="AJ821" t="str">
        <f t="shared" si="384"/>
        <v>OK</v>
      </c>
      <c r="AK821">
        <v>13847.86</v>
      </c>
      <c r="AL821">
        <v>8471.7800000000007</v>
      </c>
      <c r="AM821">
        <v>5376.08</v>
      </c>
      <c r="AN821" t="s">
        <v>33</v>
      </c>
      <c r="AO821" t="str">
        <f t="shared" si="376"/>
        <v>PAID</v>
      </c>
      <c r="AP821" t="str">
        <f t="shared" si="385"/>
        <v>OK</v>
      </c>
      <c r="AQ821" t="s">
        <v>34</v>
      </c>
      <c r="AR821" t="str">
        <f t="shared" si="377"/>
        <v>COMPLETED</v>
      </c>
      <c r="AS821" t="str">
        <f t="shared" si="386"/>
        <v>OK</v>
      </c>
      <c r="AT821">
        <f t="shared" si="387"/>
        <v>13847.86</v>
      </c>
      <c r="AU821">
        <f t="shared" si="388"/>
        <v>5376.08</v>
      </c>
      <c r="AV821" s="6">
        <f t="shared" si="389"/>
        <v>0.1239377420049018</v>
      </c>
      <c r="AW821" t="str">
        <f t="shared" si="390"/>
        <v>CLEAN</v>
      </c>
      <c r="AX821" s="10" t="str">
        <f t="shared" si="391"/>
        <v>MATCH</v>
      </c>
      <c r="AY821" t="str">
        <f t="shared" si="392"/>
        <v>MATCH</v>
      </c>
    </row>
    <row r="822" spans="1:51">
      <c r="A822" t="s">
        <v>3179</v>
      </c>
      <c r="B822">
        <f t="shared" si="368"/>
        <v>1</v>
      </c>
      <c r="C822" t="s">
        <v>3180</v>
      </c>
      <c r="D822" s="3">
        <v>45815</v>
      </c>
      <c r="E822" t="str">
        <f t="shared" si="369"/>
        <v>2025/06/07</v>
      </c>
      <c r="F822" t="str">
        <f t="shared" si="378"/>
        <v>June</v>
      </c>
      <c r="G822">
        <f t="shared" si="379"/>
        <v>2025</v>
      </c>
      <c r="H822" t="s">
        <v>3181</v>
      </c>
      <c r="I822" s="4">
        <v>45818</v>
      </c>
      <c r="J822" s="8">
        <f t="shared" si="370"/>
        <v>3</v>
      </c>
      <c r="K822" s="8" t="str">
        <f t="shared" si="380"/>
        <v>OK</v>
      </c>
      <c r="L822" t="s">
        <v>3032</v>
      </c>
      <c r="M822" t="s">
        <v>161</v>
      </c>
      <c r="N822" t="str">
        <f t="shared" si="371"/>
        <v>Aarav Sharma</v>
      </c>
      <c r="O822" t="s">
        <v>25</v>
      </c>
      <c r="P822" t="str">
        <f t="shared" si="394"/>
        <v>Consumer</v>
      </c>
      <c r="Q822" t="s">
        <v>26</v>
      </c>
      <c r="R822" t="str">
        <f t="shared" si="398"/>
        <v>North</v>
      </c>
      <c r="S822" t="str">
        <f t="shared" si="381"/>
        <v>OK</v>
      </c>
      <c r="T822" t="s">
        <v>27</v>
      </c>
      <c r="U822" t="str">
        <f t="shared" si="372"/>
        <v>Rajasthan</v>
      </c>
      <c r="V822" t="s">
        <v>28</v>
      </c>
      <c r="W822" t="str">
        <f t="shared" si="373"/>
        <v>Jaipur</v>
      </c>
      <c r="X822" t="str">
        <f t="shared" si="374"/>
        <v>Furniture</v>
      </c>
      <c r="Y822" t="s">
        <v>44</v>
      </c>
      <c r="Z822" t="s">
        <v>64</v>
      </c>
      <c r="AA822" t="str">
        <f t="shared" si="375"/>
        <v>Furnishings</v>
      </c>
      <c r="AB822" t="s">
        <v>3182</v>
      </c>
      <c r="AC822" t="s">
        <v>47</v>
      </c>
      <c r="AD822" t="str">
        <f t="shared" si="397"/>
        <v>Same Day</v>
      </c>
      <c r="AE822" t="str">
        <f t="shared" si="382"/>
        <v>OK</v>
      </c>
      <c r="AF822">
        <v>3</v>
      </c>
      <c r="AG822">
        <v>963.26</v>
      </c>
      <c r="AH822">
        <v>0</v>
      </c>
      <c r="AI822">
        <f t="shared" si="383"/>
        <v>0</v>
      </c>
      <c r="AJ822" t="str">
        <f t="shared" si="384"/>
        <v>OK</v>
      </c>
      <c r="AK822">
        <v>2889.78</v>
      </c>
      <c r="AL822">
        <v>1811.23</v>
      </c>
      <c r="AM822">
        <v>1078.55</v>
      </c>
      <c r="AN822" t="s">
        <v>33</v>
      </c>
      <c r="AO822" t="str">
        <f t="shared" si="376"/>
        <v>PAID</v>
      </c>
      <c r="AP822" t="str">
        <f t="shared" si="385"/>
        <v>OK</v>
      </c>
      <c r="AQ822" t="s">
        <v>34</v>
      </c>
      <c r="AR822" t="str">
        <f t="shared" si="377"/>
        <v>COMPLETED</v>
      </c>
      <c r="AS822" t="str">
        <f t="shared" si="386"/>
        <v>OK</v>
      </c>
      <c r="AT822">
        <f t="shared" si="387"/>
        <v>2889.7799999999997</v>
      </c>
      <c r="AU822">
        <f t="shared" si="388"/>
        <v>1078.5499999999997</v>
      </c>
      <c r="AV822" s="6">
        <f t="shared" si="389"/>
        <v>2.9534255202818219E-2</v>
      </c>
      <c r="AW822" t="str">
        <f t="shared" si="390"/>
        <v>CLEAN</v>
      </c>
      <c r="AX822" s="10" t="str">
        <f t="shared" si="391"/>
        <v>MATCH</v>
      </c>
      <c r="AY822" t="str">
        <f t="shared" si="392"/>
        <v>MATCH</v>
      </c>
    </row>
    <row r="823" spans="1:51">
      <c r="A823" t="s">
        <v>3183</v>
      </c>
      <c r="B823">
        <f t="shared" si="368"/>
        <v>2</v>
      </c>
      <c r="C823" t="s">
        <v>3184</v>
      </c>
      <c r="D823" s="3">
        <v>45970</v>
      </c>
      <c r="E823" t="str">
        <f t="shared" si="369"/>
        <v>2025/11/09</v>
      </c>
      <c r="F823" t="str">
        <f t="shared" si="378"/>
        <v>November</v>
      </c>
      <c r="G823">
        <f t="shared" si="379"/>
        <v>2025</v>
      </c>
      <c r="H823" t="s">
        <v>3185</v>
      </c>
      <c r="I823" s="4">
        <v>45918</v>
      </c>
      <c r="J823" s="8">
        <f t="shared" si="370"/>
        <v>-52</v>
      </c>
      <c r="K823" s="8" t="str">
        <f t="shared" si="380"/>
        <v>INVAILD_SHIPPING</v>
      </c>
      <c r="L823" t="s">
        <v>3186</v>
      </c>
      <c r="M823" t="s">
        <v>147</v>
      </c>
      <c r="N823" t="str">
        <f t="shared" si="371"/>
        <v>Rahul Verma</v>
      </c>
      <c r="O823" t="s">
        <v>40</v>
      </c>
      <c r="P823" t="str">
        <f t="shared" si="394"/>
        <v>Small Business</v>
      </c>
      <c r="Q823" t="s">
        <v>26</v>
      </c>
      <c r="R823" t="str">
        <f t="shared" si="398"/>
        <v>North</v>
      </c>
      <c r="S823" t="str">
        <f t="shared" si="381"/>
        <v>OK</v>
      </c>
      <c r="T823" t="s">
        <v>505</v>
      </c>
      <c r="U823" t="str">
        <f t="shared" si="372"/>
        <v>Delhi</v>
      </c>
      <c r="V823" t="s">
        <v>506</v>
      </c>
      <c r="W823" t="str">
        <f t="shared" si="373"/>
        <v>New Delhi</v>
      </c>
      <c r="X823" t="str">
        <f t="shared" si="374"/>
        <v>Technology</v>
      </c>
      <c r="Y823" t="s">
        <v>85</v>
      </c>
      <c r="Z823" t="s">
        <v>222</v>
      </c>
      <c r="AA823" t="str">
        <f t="shared" si="375"/>
        <v>Phones</v>
      </c>
      <c r="AB823" t="s">
        <v>3187</v>
      </c>
      <c r="AC823" t="s">
        <v>47</v>
      </c>
      <c r="AD823" t="str">
        <f t="shared" si="397"/>
        <v>Same Day</v>
      </c>
      <c r="AE823" t="str">
        <f t="shared" si="382"/>
        <v>OK</v>
      </c>
      <c r="AF823">
        <v>7</v>
      </c>
      <c r="AG823">
        <v>3411.21</v>
      </c>
      <c r="AH823">
        <v>0.15</v>
      </c>
      <c r="AI823">
        <f t="shared" si="383"/>
        <v>0.15</v>
      </c>
      <c r="AJ823" t="str">
        <f t="shared" si="384"/>
        <v>OK</v>
      </c>
      <c r="AK823">
        <v>20296.7</v>
      </c>
      <c r="AL823">
        <v>14920.87</v>
      </c>
      <c r="AM823">
        <v>5375.83</v>
      </c>
      <c r="AN823" t="s">
        <v>33</v>
      </c>
      <c r="AO823" t="str">
        <f t="shared" si="376"/>
        <v>PAID</v>
      </c>
      <c r="AP823" t="str">
        <f t="shared" si="385"/>
        <v>OK</v>
      </c>
      <c r="AQ823" t="s">
        <v>34</v>
      </c>
      <c r="AR823" t="str">
        <f t="shared" si="377"/>
        <v>COMPLETED</v>
      </c>
      <c r="AS823" t="str">
        <f t="shared" si="386"/>
        <v>OK</v>
      </c>
      <c r="AT823">
        <f t="shared" si="387"/>
        <v>20296.699499999999</v>
      </c>
      <c r="AU823">
        <f t="shared" si="388"/>
        <v>5375.829499999998</v>
      </c>
      <c r="AV823" s="6">
        <f t="shared" si="389"/>
        <v>0.23158839199447182</v>
      </c>
      <c r="AW823" t="str">
        <f t="shared" si="390"/>
        <v>CLEAN</v>
      </c>
      <c r="AX823" s="10" t="str">
        <f t="shared" si="391"/>
        <v>MATCH</v>
      </c>
      <c r="AY823" t="str">
        <f t="shared" si="392"/>
        <v>MATCH</v>
      </c>
    </row>
    <row r="824" spans="1:51">
      <c r="A824" t="s">
        <v>3183</v>
      </c>
      <c r="B824">
        <f t="shared" si="368"/>
        <v>2</v>
      </c>
      <c r="C824" t="s">
        <v>3184</v>
      </c>
      <c r="D824" s="3">
        <v>45970</v>
      </c>
      <c r="E824" t="str">
        <f t="shared" si="369"/>
        <v>2025/11/09</v>
      </c>
      <c r="F824" t="str">
        <f t="shared" si="378"/>
        <v>November</v>
      </c>
      <c r="G824">
        <f t="shared" si="379"/>
        <v>2025</v>
      </c>
      <c r="H824" t="s">
        <v>3185</v>
      </c>
      <c r="I824" s="4">
        <v>45918</v>
      </c>
      <c r="J824" s="8">
        <f t="shared" si="370"/>
        <v>-52</v>
      </c>
      <c r="K824" s="8" t="str">
        <f t="shared" si="380"/>
        <v>INVAILD_SHIPPING</v>
      </c>
      <c r="L824" t="s">
        <v>3186</v>
      </c>
      <c r="M824" t="s">
        <v>147</v>
      </c>
      <c r="N824" t="str">
        <f t="shared" si="371"/>
        <v>Rahul Verma</v>
      </c>
      <c r="O824" t="s">
        <v>40</v>
      </c>
      <c r="P824" t="str">
        <f t="shared" si="394"/>
        <v>Small Business</v>
      </c>
      <c r="Q824" t="s">
        <v>26</v>
      </c>
      <c r="R824" t="str">
        <f t="shared" si="398"/>
        <v>North</v>
      </c>
      <c r="S824" t="str">
        <f t="shared" si="381"/>
        <v>OK</v>
      </c>
      <c r="T824" t="s">
        <v>505</v>
      </c>
      <c r="U824" t="str">
        <f t="shared" si="372"/>
        <v>Delhi</v>
      </c>
      <c r="V824" t="s">
        <v>506</v>
      </c>
      <c r="W824" t="str">
        <f t="shared" si="373"/>
        <v>New Delhi</v>
      </c>
      <c r="X824" t="str">
        <f t="shared" si="374"/>
        <v>Technology</v>
      </c>
      <c r="Y824" t="s">
        <v>85</v>
      </c>
      <c r="Z824" t="s">
        <v>222</v>
      </c>
      <c r="AA824" t="str">
        <f t="shared" si="375"/>
        <v>Phones</v>
      </c>
      <c r="AB824" t="s">
        <v>3187</v>
      </c>
      <c r="AC824" t="s">
        <v>47</v>
      </c>
      <c r="AD824" t="str">
        <f t="shared" si="397"/>
        <v>Same Day</v>
      </c>
      <c r="AE824" t="str">
        <f t="shared" si="382"/>
        <v>OK</v>
      </c>
      <c r="AF824">
        <v>7</v>
      </c>
      <c r="AG824">
        <v>3411.21</v>
      </c>
      <c r="AH824">
        <v>0.15</v>
      </c>
      <c r="AI824">
        <f t="shared" si="383"/>
        <v>0.15</v>
      </c>
      <c r="AJ824" t="str">
        <f t="shared" si="384"/>
        <v>OK</v>
      </c>
      <c r="AK824">
        <v>20296.7</v>
      </c>
      <c r="AL824">
        <v>14920.87</v>
      </c>
      <c r="AM824">
        <v>5375.83</v>
      </c>
      <c r="AN824" t="s">
        <v>33</v>
      </c>
      <c r="AO824" t="str">
        <f t="shared" si="376"/>
        <v>PAID</v>
      </c>
      <c r="AP824" t="str">
        <f t="shared" si="385"/>
        <v>OK</v>
      </c>
      <c r="AQ824" t="s">
        <v>34</v>
      </c>
      <c r="AR824" t="str">
        <f t="shared" si="377"/>
        <v>COMPLETED</v>
      </c>
      <c r="AS824" t="str">
        <f t="shared" si="386"/>
        <v>OK</v>
      </c>
      <c r="AT824">
        <f t="shared" si="387"/>
        <v>20296.699499999999</v>
      </c>
      <c r="AU824">
        <f t="shared" si="388"/>
        <v>5375.829499999998</v>
      </c>
      <c r="AV824" s="6">
        <f t="shared" si="389"/>
        <v>0.21725699786805241</v>
      </c>
      <c r="AW824" t="str">
        <f t="shared" si="390"/>
        <v>CLEAN</v>
      </c>
      <c r="AX824" s="10" t="str">
        <f t="shared" si="391"/>
        <v>MATCH</v>
      </c>
      <c r="AY824" t="str">
        <f t="shared" si="392"/>
        <v>MATCH</v>
      </c>
    </row>
    <row r="825" spans="1:51">
      <c r="A825" t="s">
        <v>3197</v>
      </c>
      <c r="B825">
        <f t="shared" si="368"/>
        <v>1</v>
      </c>
      <c r="C825" t="s">
        <v>3198</v>
      </c>
      <c r="D825" s="3">
        <v>45885</v>
      </c>
      <c r="E825" t="str">
        <f t="shared" si="369"/>
        <v>2025/08/16</v>
      </c>
      <c r="F825" t="str">
        <f t="shared" si="378"/>
        <v>August</v>
      </c>
      <c r="G825">
        <f t="shared" si="379"/>
        <v>2025</v>
      </c>
      <c r="H825" t="s">
        <v>639</v>
      </c>
      <c r="I825" s="4">
        <v>45892</v>
      </c>
      <c r="J825" s="8">
        <f t="shared" si="370"/>
        <v>7</v>
      </c>
      <c r="K825" s="8" t="str">
        <f t="shared" si="380"/>
        <v>OK</v>
      </c>
      <c r="L825" t="s">
        <v>3199</v>
      </c>
      <c r="M825" t="s">
        <v>179</v>
      </c>
      <c r="N825" t="str">
        <f t="shared" si="371"/>
        <v>Rohan Mehta</v>
      </c>
      <c r="O825" t="s">
        <v>107</v>
      </c>
      <c r="P825" t="str">
        <f t="shared" si="394"/>
        <v>Corporate</v>
      </c>
      <c r="Q825" t="s">
        <v>26</v>
      </c>
      <c r="R825" t="str">
        <f t="shared" si="398"/>
        <v>North</v>
      </c>
      <c r="S825" t="str">
        <f t="shared" si="381"/>
        <v>OK</v>
      </c>
      <c r="T825" t="s">
        <v>153</v>
      </c>
      <c r="U825" t="str">
        <f t="shared" si="372"/>
        <v>Punjab</v>
      </c>
      <c r="V825" t="s">
        <v>154</v>
      </c>
      <c r="W825" t="str">
        <f t="shared" si="373"/>
        <v>Ludhiana</v>
      </c>
      <c r="X825" t="str">
        <f t="shared" si="374"/>
        <v>Technology</v>
      </c>
      <c r="Y825" t="s">
        <v>85</v>
      </c>
      <c r="Z825" t="s">
        <v>93</v>
      </c>
      <c r="AA825" t="str">
        <f t="shared" si="375"/>
        <v>Copiers</v>
      </c>
      <c r="AB825" t="s">
        <v>3200</v>
      </c>
      <c r="AC825" t="s">
        <v>47</v>
      </c>
      <c r="AD825" t="str">
        <f t="shared" si="397"/>
        <v>Same Day</v>
      </c>
      <c r="AE825" t="str">
        <f t="shared" si="382"/>
        <v>OK</v>
      </c>
      <c r="AF825">
        <v>4</v>
      </c>
      <c r="AG825">
        <v>1410.57</v>
      </c>
      <c r="AH825" t="s">
        <v>680</v>
      </c>
      <c r="AI825">
        <f t="shared" si="383"/>
        <v>0.7</v>
      </c>
      <c r="AJ825" t="str">
        <f t="shared" si="384"/>
        <v>OK</v>
      </c>
      <c r="AK825">
        <v>5360.17</v>
      </c>
      <c r="AL825">
        <v>3881.51</v>
      </c>
      <c r="AM825">
        <v>1478.66</v>
      </c>
      <c r="AN825" t="s">
        <v>123</v>
      </c>
      <c r="AO825" t="str">
        <f t="shared" si="376"/>
        <v>REFUNDED</v>
      </c>
      <c r="AP825" t="str">
        <f t="shared" si="385"/>
        <v>REFUNDED_PAYMENT</v>
      </c>
      <c r="AQ825" t="s">
        <v>77</v>
      </c>
      <c r="AR825" t="str">
        <f t="shared" si="377"/>
        <v>CANCELLED</v>
      </c>
      <c r="AS825" t="str">
        <f t="shared" si="386"/>
        <v>EXCLUDE_FROM_SALES</v>
      </c>
      <c r="AT825">
        <f t="shared" si="387"/>
        <v>1692.6840000000002</v>
      </c>
      <c r="AU825">
        <f t="shared" si="388"/>
        <v>-2188.826</v>
      </c>
      <c r="AV825" s="6">
        <f t="shared" si="389"/>
        <v>0.62323327921809368</v>
      </c>
      <c r="AW825" t="str">
        <f t="shared" si="390"/>
        <v>CLEAN</v>
      </c>
      <c r="AX825" s="10" t="str">
        <f t="shared" si="391"/>
        <v>MISMATCH</v>
      </c>
      <c r="AY825" t="str">
        <f t="shared" si="392"/>
        <v>MISMATCH</v>
      </c>
    </row>
    <row r="826" spans="1:51">
      <c r="A826" t="s">
        <v>3209</v>
      </c>
      <c r="B826">
        <f t="shared" si="368"/>
        <v>1</v>
      </c>
      <c r="C826" t="s">
        <v>343</v>
      </c>
      <c r="D826" s="2">
        <v>45779</v>
      </c>
      <c r="E826" t="str">
        <f t="shared" si="369"/>
        <v>2025/05/02</v>
      </c>
      <c r="F826" t="str">
        <f t="shared" si="378"/>
        <v>May</v>
      </c>
      <c r="G826">
        <f t="shared" si="379"/>
        <v>2025</v>
      </c>
      <c r="H826" t="s">
        <v>2882</v>
      </c>
      <c r="I826" s="4">
        <v>45779</v>
      </c>
      <c r="J826" s="8">
        <f t="shared" si="370"/>
        <v>0</v>
      </c>
      <c r="K826" s="8" t="str">
        <f t="shared" si="380"/>
        <v>OK</v>
      </c>
      <c r="L826" t="s">
        <v>3210</v>
      </c>
      <c r="M826" t="s">
        <v>3211</v>
      </c>
      <c r="N826" t="str">
        <f t="shared" si="371"/>
        <v>Ananya Rao</v>
      </c>
      <c r="O826" t="s">
        <v>107</v>
      </c>
      <c r="P826" t="str">
        <f t="shared" si="394"/>
        <v>Corporate</v>
      </c>
      <c r="Q826" t="s">
        <v>26</v>
      </c>
      <c r="R826" t="str">
        <f t="shared" si="398"/>
        <v>North</v>
      </c>
      <c r="S826" t="str">
        <f t="shared" si="381"/>
        <v>OK</v>
      </c>
      <c r="T826" t="s">
        <v>322</v>
      </c>
      <c r="U826" t="str">
        <f t="shared" si="372"/>
        <v>Haryana</v>
      </c>
      <c r="V826" t="s">
        <v>323</v>
      </c>
      <c r="W826" t="str">
        <f t="shared" si="373"/>
        <v>Gurugram</v>
      </c>
      <c r="X826" t="str">
        <f t="shared" si="374"/>
        <v>Office Supplies</v>
      </c>
      <c r="Y826" t="s">
        <v>29</v>
      </c>
      <c r="Z826" t="s">
        <v>155</v>
      </c>
      <c r="AA826" t="str">
        <f t="shared" si="375"/>
        <v>Storage</v>
      </c>
      <c r="AB826" t="s">
        <v>3212</v>
      </c>
      <c r="AC826" t="s">
        <v>47</v>
      </c>
      <c r="AD826" t="str">
        <f t="shared" si="397"/>
        <v>Same Day</v>
      </c>
      <c r="AE826" t="str">
        <f t="shared" si="382"/>
        <v>OK</v>
      </c>
      <c r="AF826">
        <v>3</v>
      </c>
      <c r="AG826">
        <v>2590.7800000000002</v>
      </c>
      <c r="AI826">
        <f t="shared" si="383"/>
        <v>0</v>
      </c>
      <c r="AJ826" t="str">
        <f t="shared" si="384"/>
        <v>Missing Discount</v>
      </c>
      <c r="AK826">
        <v>7383.72</v>
      </c>
      <c r="AL826">
        <v>4113.66</v>
      </c>
      <c r="AM826">
        <v>3270.06</v>
      </c>
      <c r="AN826" t="s">
        <v>33</v>
      </c>
      <c r="AO826" t="str">
        <f t="shared" si="376"/>
        <v>PAID</v>
      </c>
      <c r="AP826" t="str">
        <f t="shared" si="385"/>
        <v>OK</v>
      </c>
      <c r="AQ826" t="s">
        <v>34</v>
      </c>
      <c r="AR826" t="str">
        <f t="shared" si="377"/>
        <v>COMPLETED</v>
      </c>
      <c r="AS826" t="str">
        <f t="shared" si="386"/>
        <v>OK</v>
      </c>
      <c r="AT826">
        <f t="shared" si="387"/>
        <v>7772.34</v>
      </c>
      <c r="AU826">
        <f t="shared" si="388"/>
        <v>3658.6800000000003</v>
      </c>
      <c r="AV826" s="6">
        <f t="shared" si="389"/>
        <v>0.88261759006939977</v>
      </c>
      <c r="AW826" t="str">
        <f t="shared" si="390"/>
        <v>INVALID</v>
      </c>
      <c r="AX826" s="10" t="str">
        <f t="shared" si="391"/>
        <v>MISMATCH</v>
      </c>
      <c r="AY826" t="str">
        <f t="shared" si="392"/>
        <v>MISMATCH</v>
      </c>
    </row>
    <row r="827" spans="1:51">
      <c r="A827" t="s">
        <v>3213</v>
      </c>
      <c r="B827">
        <f t="shared" si="368"/>
        <v>1</v>
      </c>
      <c r="C827" t="s">
        <v>3214</v>
      </c>
      <c r="D827" s="3">
        <v>45858</v>
      </c>
      <c r="E827" t="str">
        <f t="shared" si="369"/>
        <v>2025/07/20</v>
      </c>
      <c r="F827" t="str">
        <f t="shared" si="378"/>
        <v>July</v>
      </c>
      <c r="G827">
        <f t="shared" si="379"/>
        <v>2025</v>
      </c>
      <c r="H827" t="s">
        <v>1728</v>
      </c>
      <c r="I827" s="4">
        <v>45862</v>
      </c>
      <c r="J827" s="8">
        <f t="shared" si="370"/>
        <v>4</v>
      </c>
      <c r="K827" s="8" t="str">
        <f t="shared" si="380"/>
        <v>OK</v>
      </c>
      <c r="L827" t="s">
        <v>3215</v>
      </c>
      <c r="M827" t="s">
        <v>60</v>
      </c>
      <c r="N827" t="str">
        <f t="shared" si="371"/>
        <v>Arjun Bose</v>
      </c>
      <c r="O827" t="s">
        <v>40</v>
      </c>
      <c r="P827" t="str">
        <f t="shared" si="394"/>
        <v>Small Business</v>
      </c>
      <c r="Q827" t="s">
        <v>61</v>
      </c>
      <c r="R827" t="str">
        <f t="shared" si="398"/>
        <v>South</v>
      </c>
      <c r="S827" t="str">
        <f t="shared" si="381"/>
        <v>OK</v>
      </c>
      <c r="T827" t="s">
        <v>62</v>
      </c>
      <c r="U827" t="str">
        <f t="shared" si="372"/>
        <v>Telangana</v>
      </c>
      <c r="V827" t="s">
        <v>63</v>
      </c>
      <c r="W827" t="str">
        <f t="shared" si="373"/>
        <v>Hyderabad</v>
      </c>
      <c r="X827" t="str">
        <f t="shared" si="374"/>
        <v>Furniture</v>
      </c>
      <c r="Y827" t="s">
        <v>44</v>
      </c>
      <c r="Z827" t="s">
        <v>64</v>
      </c>
      <c r="AA827" t="str">
        <f t="shared" si="375"/>
        <v>Furnishings</v>
      </c>
      <c r="AB827" t="s">
        <v>3216</v>
      </c>
      <c r="AC827" t="s">
        <v>32</v>
      </c>
      <c r="AD827" t="str">
        <f t="shared" si="397"/>
        <v>Second Class</v>
      </c>
      <c r="AE827" t="str">
        <f t="shared" si="382"/>
        <v>OK</v>
      </c>
      <c r="AF827">
        <v>6</v>
      </c>
      <c r="AG827">
        <v>1646.45</v>
      </c>
      <c r="AH827">
        <v>0.2</v>
      </c>
      <c r="AI827">
        <f t="shared" si="383"/>
        <v>0.2</v>
      </c>
      <c r="AJ827" t="str">
        <f t="shared" si="384"/>
        <v>OK</v>
      </c>
      <c r="AK827">
        <v>7902.96</v>
      </c>
      <c r="AL827">
        <v>5512.03</v>
      </c>
      <c r="AM827">
        <v>2390.9299999999998</v>
      </c>
      <c r="AN827" t="s">
        <v>123</v>
      </c>
      <c r="AO827" t="str">
        <f t="shared" si="376"/>
        <v>REFUNDED</v>
      </c>
      <c r="AP827" t="str">
        <f t="shared" si="385"/>
        <v>REFUNDED_PAYMENT</v>
      </c>
      <c r="AQ827" t="s">
        <v>77</v>
      </c>
      <c r="AR827" t="str">
        <f t="shared" si="377"/>
        <v>CANCELLED</v>
      </c>
      <c r="AS827" t="str">
        <f t="shared" si="386"/>
        <v>EXCLUDE_FROM_SALES</v>
      </c>
      <c r="AT827">
        <f t="shared" si="387"/>
        <v>7902.9600000000009</v>
      </c>
      <c r="AU827">
        <f t="shared" si="388"/>
        <v>2390.9300000000012</v>
      </c>
      <c r="AV827" s="6">
        <f t="shared" si="389"/>
        <v>0.19371678459716354</v>
      </c>
      <c r="AW827" t="str">
        <f t="shared" si="390"/>
        <v>CLEAN</v>
      </c>
      <c r="AX827" s="10" t="str">
        <f t="shared" si="391"/>
        <v>MATCH</v>
      </c>
      <c r="AY827" t="str">
        <f t="shared" si="392"/>
        <v>MATCH</v>
      </c>
    </row>
    <row r="828" spans="1:51">
      <c r="A828" t="s">
        <v>3217</v>
      </c>
      <c r="B828">
        <f t="shared" si="368"/>
        <v>1</v>
      </c>
      <c r="C828" t="s">
        <v>3218</v>
      </c>
      <c r="D828" s="3">
        <v>45859</v>
      </c>
      <c r="E828" t="str">
        <f t="shared" si="369"/>
        <v>2025/07/21</v>
      </c>
      <c r="F828" t="str">
        <f t="shared" si="378"/>
        <v>July</v>
      </c>
      <c r="G828">
        <f t="shared" si="379"/>
        <v>2025</v>
      </c>
      <c r="H828" t="s">
        <v>493</v>
      </c>
      <c r="I828" s="4">
        <v>45859</v>
      </c>
      <c r="J828" s="8">
        <f t="shared" si="370"/>
        <v>0</v>
      </c>
      <c r="K828" s="8" t="str">
        <f t="shared" si="380"/>
        <v>OK</v>
      </c>
      <c r="L828" t="s">
        <v>3219</v>
      </c>
      <c r="M828" t="s">
        <v>52</v>
      </c>
      <c r="N828" t="str">
        <f t="shared" si="371"/>
        <v>Isha Nair</v>
      </c>
      <c r="O828" t="s">
        <v>114</v>
      </c>
      <c r="P828" t="str">
        <f t="shared" si="394"/>
        <v>Home Office</v>
      </c>
      <c r="Q828" t="s">
        <v>61</v>
      </c>
      <c r="R828" t="str">
        <f t="shared" si="398"/>
        <v>South</v>
      </c>
      <c r="S828" t="str">
        <f t="shared" si="381"/>
        <v>OK</v>
      </c>
      <c r="T828" t="s">
        <v>338</v>
      </c>
      <c r="U828" t="str">
        <f t="shared" si="372"/>
        <v>Tamil Nadu</v>
      </c>
      <c r="V828" t="s">
        <v>339</v>
      </c>
      <c r="W828" t="str">
        <f t="shared" si="373"/>
        <v>Chennai</v>
      </c>
      <c r="X828" t="str">
        <f t="shared" si="374"/>
        <v>Furniture</v>
      </c>
      <c r="Y828" t="s">
        <v>44</v>
      </c>
      <c r="Z828" t="s">
        <v>203</v>
      </c>
      <c r="AA828" t="str">
        <f t="shared" si="375"/>
        <v>Bookcases</v>
      </c>
      <c r="AB828" t="s">
        <v>3220</v>
      </c>
      <c r="AC828" t="s">
        <v>55</v>
      </c>
      <c r="AD828" t="str">
        <f t="shared" si="397"/>
        <v>First Class</v>
      </c>
      <c r="AE828" t="str">
        <f t="shared" si="382"/>
        <v>OK</v>
      </c>
      <c r="AF828">
        <v>7</v>
      </c>
      <c r="AG828">
        <v>4396.6499999999996</v>
      </c>
      <c r="AH828">
        <v>0.2</v>
      </c>
      <c r="AI828">
        <f t="shared" si="383"/>
        <v>0.2</v>
      </c>
      <c r="AJ828" t="str">
        <f t="shared" si="384"/>
        <v>OK</v>
      </c>
      <c r="AK828">
        <v>24621.24</v>
      </c>
      <c r="AL828">
        <v>17155.48</v>
      </c>
      <c r="AM828">
        <v>7465.76</v>
      </c>
      <c r="AN828" t="s">
        <v>123</v>
      </c>
      <c r="AO828" t="str">
        <f t="shared" si="376"/>
        <v>REFUNDED</v>
      </c>
      <c r="AP828" t="str">
        <f t="shared" si="385"/>
        <v>REFUNDED_PAYMENT</v>
      </c>
      <c r="AQ828" t="s">
        <v>77</v>
      </c>
      <c r="AR828" t="str">
        <f t="shared" si="377"/>
        <v>CANCELLED</v>
      </c>
      <c r="AS828" t="str">
        <f t="shared" si="386"/>
        <v>EXCLUDE_FROM_SALES</v>
      </c>
      <c r="AT828">
        <f t="shared" si="387"/>
        <v>24621.239999999998</v>
      </c>
      <c r="AU828">
        <f t="shared" si="388"/>
        <v>7465.7599999999984</v>
      </c>
      <c r="AV828" s="6">
        <f t="shared" si="389"/>
        <v>6.2179484055230355E-2</v>
      </c>
      <c r="AW828" t="str">
        <f t="shared" si="390"/>
        <v>CLEAN</v>
      </c>
      <c r="AX828" s="10" t="str">
        <f t="shared" si="391"/>
        <v>MATCH</v>
      </c>
      <c r="AY828" t="str">
        <f t="shared" si="392"/>
        <v>MATCH</v>
      </c>
    </row>
    <row r="829" spans="1:51">
      <c r="A829" t="s">
        <v>3221</v>
      </c>
      <c r="B829">
        <f t="shared" si="368"/>
        <v>1</v>
      </c>
      <c r="C829" t="s">
        <v>3222</v>
      </c>
      <c r="D829" s="2">
        <v>45667</v>
      </c>
      <c r="E829" t="str">
        <f t="shared" si="369"/>
        <v>2025/01/10</v>
      </c>
      <c r="F829" t="str">
        <f t="shared" si="378"/>
        <v>January</v>
      </c>
      <c r="G829">
        <f t="shared" si="379"/>
        <v>2025</v>
      </c>
      <c r="H829" t="s">
        <v>498</v>
      </c>
      <c r="I829" s="4">
        <v>45933</v>
      </c>
      <c r="J829" s="8">
        <f t="shared" si="370"/>
        <v>266</v>
      </c>
      <c r="K829" s="8" t="str">
        <f t="shared" si="380"/>
        <v>OK</v>
      </c>
      <c r="L829" t="s">
        <v>2733</v>
      </c>
      <c r="M829" t="s">
        <v>92</v>
      </c>
      <c r="N829" t="str">
        <f t="shared" si="371"/>
        <v>Neha Gupta</v>
      </c>
      <c r="O829" t="s">
        <v>107</v>
      </c>
      <c r="P829" t="str">
        <f t="shared" si="394"/>
        <v>Corporate</v>
      </c>
      <c r="Q829" t="s">
        <v>72</v>
      </c>
      <c r="R829" t="str">
        <f t="shared" si="398"/>
        <v>West</v>
      </c>
      <c r="S829" t="str">
        <f t="shared" si="381"/>
        <v>OK</v>
      </c>
      <c r="T829" t="s">
        <v>248</v>
      </c>
      <c r="U829" t="str">
        <f t="shared" si="372"/>
        <v>Goa</v>
      </c>
      <c r="V829" t="s">
        <v>249</v>
      </c>
      <c r="W829" t="str">
        <f t="shared" si="373"/>
        <v>Panaji</v>
      </c>
      <c r="X829" t="str">
        <f t="shared" si="374"/>
        <v>Office Supplies</v>
      </c>
      <c r="Y829" t="s">
        <v>29</v>
      </c>
      <c r="Z829" t="s">
        <v>53</v>
      </c>
      <c r="AA829" t="str">
        <f t="shared" si="375"/>
        <v>Art</v>
      </c>
      <c r="AB829" t="s">
        <v>3223</v>
      </c>
      <c r="AC829" t="s">
        <v>66</v>
      </c>
      <c r="AD829" t="str">
        <f t="shared" si="397"/>
        <v>Standard Class</v>
      </c>
      <c r="AE829" t="str">
        <f t="shared" si="382"/>
        <v>OK</v>
      </c>
      <c r="AF829">
        <v>9</v>
      </c>
      <c r="AG829">
        <v>818.15</v>
      </c>
      <c r="AH829">
        <v>0.55000000000000004</v>
      </c>
      <c r="AI829">
        <f t="shared" si="383"/>
        <v>0.55000000000000004</v>
      </c>
      <c r="AJ829" t="str">
        <f t="shared" si="384"/>
        <v>OK</v>
      </c>
      <c r="AK829">
        <v>6627.01</v>
      </c>
      <c r="AL829">
        <v>5606.79</v>
      </c>
      <c r="AM829">
        <v>1020.22</v>
      </c>
      <c r="AN829" t="s">
        <v>199</v>
      </c>
      <c r="AO829" t="str">
        <f t="shared" si="376"/>
        <v>FAILED</v>
      </c>
      <c r="AP829" t="str">
        <f t="shared" si="385"/>
        <v>EXCLUDE_FROM_SALES</v>
      </c>
      <c r="AQ829" t="s">
        <v>77</v>
      </c>
      <c r="AR829" t="str">
        <f t="shared" si="377"/>
        <v>CANCELLED</v>
      </c>
      <c r="AS829" t="str">
        <f t="shared" si="386"/>
        <v>EXCLUDE_FROM_SALES</v>
      </c>
      <c r="AT829">
        <f t="shared" si="387"/>
        <v>3313.5074999999993</v>
      </c>
      <c r="AU829">
        <f t="shared" si="388"/>
        <v>-2293.2825000000007</v>
      </c>
      <c r="AV829" s="6">
        <f t="shared" si="389"/>
        <v>1.0145502914962468</v>
      </c>
      <c r="AW829" t="str">
        <f t="shared" si="390"/>
        <v>CLEAN</v>
      </c>
      <c r="AX829" s="10" t="str">
        <f t="shared" si="391"/>
        <v>MISMATCH</v>
      </c>
      <c r="AY829" t="str">
        <f t="shared" si="392"/>
        <v>MISMATCH</v>
      </c>
    </row>
    <row r="830" spans="1:51">
      <c r="A830" t="s">
        <v>3228</v>
      </c>
      <c r="B830">
        <f t="shared" si="368"/>
        <v>1</v>
      </c>
      <c r="C830" t="s">
        <v>1190</v>
      </c>
      <c r="D830" s="2">
        <v>45879</v>
      </c>
      <c r="E830" t="str">
        <f t="shared" si="369"/>
        <v>2025/08/10</v>
      </c>
      <c r="F830" t="str">
        <f t="shared" si="378"/>
        <v>August</v>
      </c>
      <c r="G830">
        <f t="shared" si="379"/>
        <v>2025</v>
      </c>
      <c r="H830" t="s">
        <v>3229</v>
      </c>
      <c r="I830" s="4">
        <v>45943</v>
      </c>
      <c r="J830" s="8">
        <f t="shared" si="370"/>
        <v>64</v>
      </c>
      <c r="K830" s="8" t="str">
        <f t="shared" si="380"/>
        <v>OK</v>
      </c>
      <c r="L830" t="s">
        <v>3230</v>
      </c>
      <c r="M830" t="s">
        <v>39</v>
      </c>
      <c r="N830" t="str">
        <f t="shared" si="371"/>
        <v>Mira Das</v>
      </c>
      <c r="O830" t="s">
        <v>114</v>
      </c>
      <c r="P830" t="str">
        <f t="shared" si="394"/>
        <v>Home Office</v>
      </c>
      <c r="Q830" t="s">
        <v>26</v>
      </c>
      <c r="R830" t="str">
        <f t="shared" si="398"/>
        <v>North</v>
      </c>
      <c r="S830" t="str">
        <f t="shared" si="381"/>
        <v>OK</v>
      </c>
      <c r="T830" t="s">
        <v>153</v>
      </c>
      <c r="U830" t="str">
        <f t="shared" si="372"/>
        <v>Punjab</v>
      </c>
      <c r="V830" t="s">
        <v>154</v>
      </c>
      <c r="W830" t="str">
        <f t="shared" si="373"/>
        <v>Ludhiana</v>
      </c>
      <c r="X830" t="str">
        <f t="shared" si="374"/>
        <v>Furniture</v>
      </c>
      <c r="Y830" t="s">
        <v>44</v>
      </c>
      <c r="Z830" t="s">
        <v>45</v>
      </c>
      <c r="AA830" t="str">
        <f t="shared" si="375"/>
        <v>Tables</v>
      </c>
      <c r="AB830" t="s">
        <v>3231</v>
      </c>
      <c r="AC830" t="s">
        <v>55</v>
      </c>
      <c r="AD830" t="str">
        <f t="shared" si="397"/>
        <v>First Class</v>
      </c>
      <c r="AE830" t="str">
        <f t="shared" si="382"/>
        <v>OK</v>
      </c>
      <c r="AF830">
        <v>4</v>
      </c>
      <c r="AG830">
        <v>172.05</v>
      </c>
      <c r="AH830">
        <v>0</v>
      </c>
      <c r="AI830">
        <f t="shared" si="383"/>
        <v>0</v>
      </c>
      <c r="AJ830" t="str">
        <f t="shared" si="384"/>
        <v>OK</v>
      </c>
      <c r="AK830">
        <v>688.2</v>
      </c>
      <c r="AL830">
        <v>497.68</v>
      </c>
      <c r="AM830">
        <v>190.52</v>
      </c>
      <c r="AN830" t="s">
        <v>199</v>
      </c>
      <c r="AO830" t="str">
        <f t="shared" si="376"/>
        <v>FAILED</v>
      </c>
      <c r="AP830" t="str">
        <f t="shared" si="385"/>
        <v>EXCLUDE_FROM_SALES</v>
      </c>
      <c r="AQ830" t="s">
        <v>77</v>
      </c>
      <c r="AR830" t="str">
        <f t="shared" si="377"/>
        <v>CANCELLED</v>
      </c>
      <c r="AS830" t="str">
        <f t="shared" si="386"/>
        <v>EXCLUDE_FROM_SALES</v>
      </c>
      <c r="AT830">
        <f t="shared" si="387"/>
        <v>688.2</v>
      </c>
      <c r="AU830">
        <f t="shared" si="388"/>
        <v>190.52000000000004</v>
      </c>
      <c r="AV830" s="6">
        <f t="shared" si="389"/>
        <v>5.8764763150246999</v>
      </c>
      <c r="AW830" t="str">
        <f t="shared" si="390"/>
        <v>CLEAN</v>
      </c>
      <c r="AX830" s="10" t="str">
        <f t="shared" si="391"/>
        <v>MATCH</v>
      </c>
      <c r="AY830" t="str">
        <f t="shared" si="392"/>
        <v>MATCH</v>
      </c>
    </row>
    <row r="831" spans="1:51">
      <c r="A831" t="s">
        <v>3232</v>
      </c>
      <c r="B831">
        <f t="shared" si="368"/>
        <v>1</v>
      </c>
      <c r="C831" t="s">
        <v>1161</v>
      </c>
      <c r="D831" s="2">
        <v>45714</v>
      </c>
      <c r="E831" t="str">
        <f t="shared" si="369"/>
        <v>2025/02/26</v>
      </c>
      <c r="F831" t="str">
        <f t="shared" si="378"/>
        <v>February</v>
      </c>
      <c r="G831">
        <f t="shared" si="379"/>
        <v>2025</v>
      </c>
      <c r="H831" t="s">
        <v>3233</v>
      </c>
      <c r="I831" s="4">
        <v>45715</v>
      </c>
      <c r="J831" s="8">
        <f t="shared" si="370"/>
        <v>1</v>
      </c>
      <c r="K831" s="8" t="str">
        <f t="shared" si="380"/>
        <v>OK</v>
      </c>
      <c r="L831" t="s">
        <v>3234</v>
      </c>
      <c r="M831" t="s">
        <v>92</v>
      </c>
      <c r="N831" t="str">
        <f t="shared" si="371"/>
        <v>Neha Gupta</v>
      </c>
      <c r="O831" t="s">
        <v>114</v>
      </c>
      <c r="P831" t="str">
        <f t="shared" si="394"/>
        <v>Home Office</v>
      </c>
      <c r="Q831" t="s">
        <v>26</v>
      </c>
      <c r="R831" t="str">
        <f t="shared" si="398"/>
        <v>North</v>
      </c>
      <c r="S831" t="str">
        <f t="shared" si="381"/>
        <v>OK</v>
      </c>
      <c r="T831" t="s">
        <v>322</v>
      </c>
      <c r="U831" t="str">
        <f t="shared" si="372"/>
        <v>Haryana</v>
      </c>
      <c r="V831" t="s">
        <v>323</v>
      </c>
      <c r="W831" t="str">
        <f t="shared" si="373"/>
        <v>Gurugram</v>
      </c>
      <c r="X831" t="str">
        <f t="shared" si="374"/>
        <v>Office Supplies</v>
      </c>
      <c r="Y831" t="s">
        <v>29</v>
      </c>
      <c r="Z831" t="s">
        <v>53</v>
      </c>
      <c r="AA831" t="str">
        <f t="shared" si="375"/>
        <v>Art</v>
      </c>
      <c r="AB831" t="s">
        <v>3235</v>
      </c>
      <c r="AC831" t="s">
        <v>32</v>
      </c>
      <c r="AD831" t="str">
        <f t="shared" si="397"/>
        <v>Second Class</v>
      </c>
      <c r="AE831" t="str">
        <f t="shared" si="382"/>
        <v>OK</v>
      </c>
      <c r="AF831">
        <v>6</v>
      </c>
      <c r="AG831">
        <v>3037.66</v>
      </c>
      <c r="AH831">
        <v>0.15</v>
      </c>
      <c r="AI831">
        <f t="shared" si="383"/>
        <v>0.15</v>
      </c>
      <c r="AJ831" t="str">
        <f t="shared" si="384"/>
        <v>OK</v>
      </c>
      <c r="AK831">
        <v>15492.07</v>
      </c>
      <c r="AL831">
        <v>12581.23</v>
      </c>
      <c r="AM831">
        <v>2910.84</v>
      </c>
      <c r="AN831" t="s">
        <v>33</v>
      </c>
      <c r="AO831" t="str">
        <f t="shared" si="376"/>
        <v>PAID</v>
      </c>
      <c r="AP831" t="str">
        <f t="shared" si="385"/>
        <v>OK</v>
      </c>
      <c r="AQ831" t="s">
        <v>34</v>
      </c>
      <c r="AR831" t="str">
        <f t="shared" si="377"/>
        <v>COMPLETED</v>
      </c>
      <c r="AS831" t="str">
        <f t="shared" si="386"/>
        <v>OK</v>
      </c>
      <c r="AT831">
        <f t="shared" si="387"/>
        <v>15492.065999999999</v>
      </c>
      <c r="AU831">
        <f t="shared" si="388"/>
        <v>2910.8359999999993</v>
      </c>
      <c r="AV831" s="6">
        <f t="shared" si="389"/>
        <v>0.41450959478225829</v>
      </c>
      <c r="AW831" t="str">
        <f t="shared" si="390"/>
        <v>CLEAN</v>
      </c>
      <c r="AX831" s="10" t="str">
        <f t="shared" si="391"/>
        <v>MATCH</v>
      </c>
      <c r="AY831" t="str">
        <f t="shared" si="392"/>
        <v>MATCH</v>
      </c>
    </row>
    <row r="832" spans="1:51">
      <c r="A832" t="s">
        <v>3249</v>
      </c>
      <c r="B832">
        <f t="shared" si="368"/>
        <v>1</v>
      </c>
      <c r="C832" t="s">
        <v>226</v>
      </c>
      <c r="D832" s="3">
        <v>45935</v>
      </c>
      <c r="E832" t="str">
        <f t="shared" si="369"/>
        <v>2025/10/05</v>
      </c>
      <c r="F832" t="str">
        <f t="shared" si="378"/>
        <v>October</v>
      </c>
      <c r="G832">
        <f t="shared" si="379"/>
        <v>2025</v>
      </c>
      <c r="H832" t="s">
        <v>3250</v>
      </c>
      <c r="I832" s="4">
        <v>45940</v>
      </c>
      <c r="J832" s="8">
        <f t="shared" si="370"/>
        <v>5</v>
      </c>
      <c r="K832" s="8" t="str">
        <f t="shared" si="380"/>
        <v>OK</v>
      </c>
      <c r="L832" t="s">
        <v>3251</v>
      </c>
      <c r="M832" t="s">
        <v>52</v>
      </c>
      <c r="N832" t="str">
        <f t="shared" si="371"/>
        <v>Isha Nair</v>
      </c>
      <c r="O832" t="s">
        <v>1780</v>
      </c>
      <c r="P832" t="str">
        <f t="shared" si="394"/>
        <v>Corporate</v>
      </c>
      <c r="Q832" t="s">
        <v>61</v>
      </c>
      <c r="R832" t="str">
        <f t="shared" si="398"/>
        <v>South</v>
      </c>
      <c r="S832" t="str">
        <f t="shared" si="381"/>
        <v>OK</v>
      </c>
      <c r="T832" t="s">
        <v>228</v>
      </c>
      <c r="U832" t="str">
        <f t="shared" si="372"/>
        <v>Karnataka</v>
      </c>
      <c r="V832" t="s">
        <v>229</v>
      </c>
      <c r="W832" t="str">
        <f t="shared" si="373"/>
        <v>Bengaluru</v>
      </c>
      <c r="X832" t="str">
        <f t="shared" si="374"/>
        <v>Furniture</v>
      </c>
      <c r="Y832" t="s">
        <v>44</v>
      </c>
      <c r="Z832" t="s">
        <v>64</v>
      </c>
      <c r="AA832" t="str">
        <f t="shared" si="375"/>
        <v>Furnishings</v>
      </c>
      <c r="AB832" t="s">
        <v>3252</v>
      </c>
      <c r="AC832" t="s">
        <v>32</v>
      </c>
      <c r="AD832" t="str">
        <f t="shared" si="397"/>
        <v>Second Class</v>
      </c>
      <c r="AE832" t="str">
        <f t="shared" si="382"/>
        <v>OK</v>
      </c>
      <c r="AF832">
        <v>4</v>
      </c>
      <c r="AG832">
        <v>2365.6799999999998</v>
      </c>
      <c r="AH832">
        <v>0.1</v>
      </c>
      <c r="AI832">
        <f t="shared" si="383"/>
        <v>0.1</v>
      </c>
      <c r="AJ832" t="str">
        <f t="shared" si="384"/>
        <v>OK</v>
      </c>
      <c r="AK832">
        <v>8516.4500000000007</v>
      </c>
      <c r="AL832">
        <v>5903.81</v>
      </c>
      <c r="AM832">
        <v>2612.64</v>
      </c>
      <c r="AN832" t="s">
        <v>33</v>
      </c>
      <c r="AO832" t="str">
        <f t="shared" si="376"/>
        <v>PAID</v>
      </c>
      <c r="AP832" t="str">
        <f t="shared" si="385"/>
        <v>OK</v>
      </c>
      <c r="AQ832" t="s">
        <v>34</v>
      </c>
      <c r="AR832" t="str">
        <f t="shared" si="377"/>
        <v>COMPLETED</v>
      </c>
      <c r="AS832" t="str">
        <f t="shared" si="386"/>
        <v>OK</v>
      </c>
      <c r="AT832">
        <f t="shared" si="387"/>
        <v>8516.4480000000003</v>
      </c>
      <c r="AU832">
        <f t="shared" si="388"/>
        <v>2612.6379999999999</v>
      </c>
      <c r="AV832" s="6">
        <f t="shared" si="389"/>
        <v>0.43653093402319831</v>
      </c>
      <c r="AW832" t="str">
        <f t="shared" si="390"/>
        <v>CLEAN</v>
      </c>
      <c r="AX832" s="10" t="str">
        <f t="shared" si="391"/>
        <v>MATCH</v>
      </c>
      <c r="AY832" t="str">
        <f t="shared" si="392"/>
        <v>MATCH</v>
      </c>
    </row>
    <row r="833" spans="1:51">
      <c r="A833" t="s">
        <v>3253</v>
      </c>
      <c r="B833">
        <f t="shared" si="368"/>
        <v>1</v>
      </c>
      <c r="C833" t="s">
        <v>3254</v>
      </c>
      <c r="D833" s="3">
        <v>45750</v>
      </c>
      <c r="E833" t="str">
        <f t="shared" si="369"/>
        <v>2025/04/03</v>
      </c>
      <c r="F833" t="str">
        <f t="shared" si="378"/>
        <v>April</v>
      </c>
      <c r="G833">
        <f t="shared" si="379"/>
        <v>2025</v>
      </c>
      <c r="H833" t="s">
        <v>2497</v>
      </c>
      <c r="I833" s="4">
        <v>45758</v>
      </c>
      <c r="J833" s="8">
        <f t="shared" si="370"/>
        <v>8</v>
      </c>
      <c r="K833" s="8" t="str">
        <f t="shared" si="380"/>
        <v>OK</v>
      </c>
      <c r="L833" t="s">
        <v>3255</v>
      </c>
      <c r="M833" t="s">
        <v>60</v>
      </c>
      <c r="N833" t="str">
        <f t="shared" si="371"/>
        <v>Arjun Bose</v>
      </c>
      <c r="O833" t="s">
        <v>25</v>
      </c>
      <c r="P833" t="str">
        <f t="shared" si="394"/>
        <v>Consumer</v>
      </c>
      <c r="Q833" t="s">
        <v>61</v>
      </c>
      <c r="R833" t="str">
        <f t="shared" si="398"/>
        <v>South</v>
      </c>
      <c r="S833" t="str">
        <f t="shared" si="381"/>
        <v>OK</v>
      </c>
      <c r="T833" t="s">
        <v>338</v>
      </c>
      <c r="U833" t="str">
        <f t="shared" si="372"/>
        <v>Tamil Nadu</v>
      </c>
      <c r="V833" t="s">
        <v>339</v>
      </c>
      <c r="W833" t="str">
        <f t="shared" si="373"/>
        <v>Chennai</v>
      </c>
      <c r="X833" t="str">
        <f t="shared" si="374"/>
        <v>Furniture</v>
      </c>
      <c r="Y833" t="s">
        <v>44</v>
      </c>
      <c r="Z833" t="s">
        <v>203</v>
      </c>
      <c r="AA833" t="str">
        <f t="shared" si="375"/>
        <v>Bookcases</v>
      </c>
      <c r="AB833" t="s">
        <v>3256</v>
      </c>
      <c r="AC833" t="s">
        <v>32</v>
      </c>
      <c r="AD833" t="str">
        <f t="shared" si="397"/>
        <v>Second Class</v>
      </c>
      <c r="AE833" t="str">
        <f t="shared" si="382"/>
        <v>OK</v>
      </c>
      <c r="AF833">
        <v>3</v>
      </c>
      <c r="AG833">
        <v>4149.7700000000004</v>
      </c>
      <c r="AH833">
        <v>0.05</v>
      </c>
      <c r="AI833">
        <f t="shared" si="383"/>
        <v>0.05</v>
      </c>
      <c r="AJ833" t="str">
        <f t="shared" si="384"/>
        <v>OK</v>
      </c>
      <c r="AK833">
        <v>11826.84</v>
      </c>
      <c r="AL833">
        <v>8035.96</v>
      </c>
      <c r="AM833">
        <v>3790.88</v>
      </c>
      <c r="AN833" t="s">
        <v>33</v>
      </c>
      <c r="AO833" t="str">
        <f t="shared" si="376"/>
        <v>PAID</v>
      </c>
      <c r="AP833" t="str">
        <f t="shared" si="385"/>
        <v>OK</v>
      </c>
      <c r="AQ833" t="s">
        <v>34</v>
      </c>
      <c r="AR833" t="str">
        <f t="shared" si="377"/>
        <v>COMPLETED</v>
      </c>
      <c r="AS833" t="str">
        <f t="shared" si="386"/>
        <v>OK</v>
      </c>
      <c r="AT833">
        <f t="shared" si="387"/>
        <v>11826.844500000001</v>
      </c>
      <c r="AU833">
        <f t="shared" si="388"/>
        <v>3790.884500000001</v>
      </c>
      <c r="AV833" s="6">
        <f t="shared" si="389"/>
        <v>0.31434361041949938</v>
      </c>
      <c r="AW833" t="str">
        <f t="shared" si="390"/>
        <v>CLEAN</v>
      </c>
      <c r="AX833" s="10" t="str">
        <f t="shared" si="391"/>
        <v>MATCH</v>
      </c>
      <c r="AY833" t="str">
        <f t="shared" si="392"/>
        <v>MATCH</v>
      </c>
    </row>
    <row r="834" spans="1:51">
      <c r="A834" t="s">
        <v>3257</v>
      </c>
      <c r="B834">
        <f t="shared" ref="B834:B897" si="399">COUNTIF($A:$A,A834)</f>
        <v>2</v>
      </c>
      <c r="C834" t="s">
        <v>1729</v>
      </c>
      <c r="D834" s="3">
        <v>45870</v>
      </c>
      <c r="E834" t="str">
        <f t="shared" ref="E834:E897" si="400">IFERROR(
TEXT(
  IF(ISNUMBER(SEARCH("/",D834)),
     DATE(RIGHT(D834,4),LEFT(D834,FIND("/",D834)-1),
          MID(D834,FIND("/",D834)+1,FIND("/",D834,FIND("/",D834)+1)-FIND("/",D834)-1)),
     IF(ISNUMBER(SEARCH("-",D834)),
        DATEVALUE(SUBSTITUTE(D834,"-","/")),
        DATEVALUE(TEXT(D834,"dd mmm yyyy"))
     )
  ),
"yyyy/mm/dd"
),
"")</f>
        <v>2025/08/01</v>
      </c>
      <c r="F834" t="str">
        <f t="shared" si="378"/>
        <v>August</v>
      </c>
      <c r="G834">
        <f t="shared" si="379"/>
        <v>2025</v>
      </c>
      <c r="H834" t="s">
        <v>3078</v>
      </c>
      <c r="I834" s="4">
        <v>45908</v>
      </c>
      <c r="J834" s="8">
        <f t="shared" ref="J834:J897" si="401">I834-E834</f>
        <v>38</v>
      </c>
      <c r="K834" s="8" t="str">
        <f t="shared" si="380"/>
        <v>OK</v>
      </c>
      <c r="L834" t="s">
        <v>1737</v>
      </c>
      <c r="M834" t="s">
        <v>52</v>
      </c>
      <c r="N834" t="str">
        <f t="shared" ref="N834:N897" si="402">PROPER(TRIM(SUBSTITUTE(M834,CHAR(160)," ")))</f>
        <v>Isha Nair</v>
      </c>
      <c r="O834" t="s">
        <v>25</v>
      </c>
      <c r="P834" t="str">
        <f t="shared" si="394"/>
        <v>Consumer</v>
      </c>
      <c r="Q834" t="s">
        <v>61</v>
      </c>
      <c r="R834" t="str">
        <f t="shared" si="398"/>
        <v>South</v>
      </c>
      <c r="S834" t="str">
        <f t="shared" si="381"/>
        <v>OK</v>
      </c>
      <c r="T834" t="s">
        <v>99</v>
      </c>
      <c r="U834" t="str">
        <f t="shared" ref="U834:U897" si="403">PROPER(TRIM(SUBSTITUTE(T834,CHAR(160)," ")))</f>
        <v>Andhra Pradesh</v>
      </c>
      <c r="V834" t="s">
        <v>100</v>
      </c>
      <c r="W834" t="str">
        <f t="shared" ref="W834:W897" si="404">PROPER(TRIM(SUBSTITUTE(V834,CHAR(160)," ")))</f>
        <v>Vijayawada</v>
      </c>
      <c r="X834" t="str">
        <f t="shared" ref="X834:X897" si="405">PROPER(TRIM(SUBSTITUTE(Y834,CHAR(160)," ")))</f>
        <v>Office Supplies</v>
      </c>
      <c r="Y834" t="s">
        <v>29</v>
      </c>
      <c r="Z834" t="s">
        <v>155</v>
      </c>
      <c r="AA834" t="str">
        <f t="shared" ref="AA834:AA897" si="406">PROPER(TRIM(SUBSTITUTE(Z834,CHAR(160)," ")))</f>
        <v>Storage</v>
      </c>
      <c r="AB834" t="s">
        <v>3258</v>
      </c>
      <c r="AC834" t="s">
        <v>55</v>
      </c>
      <c r="AD834" t="str">
        <f t="shared" si="397"/>
        <v>First Class</v>
      </c>
      <c r="AE834" t="str">
        <f t="shared" si="382"/>
        <v>OK</v>
      </c>
      <c r="AF834">
        <v>5</v>
      </c>
      <c r="AG834">
        <v>2736.24</v>
      </c>
      <c r="AH834">
        <v>0.15</v>
      </c>
      <c r="AI834">
        <f t="shared" si="383"/>
        <v>0.15</v>
      </c>
      <c r="AJ834" t="str">
        <f t="shared" si="384"/>
        <v>OK</v>
      </c>
      <c r="AK834">
        <v>11629.02</v>
      </c>
      <c r="AL834">
        <v>9627.2099999999991</v>
      </c>
      <c r="AM834">
        <v>2001.81</v>
      </c>
      <c r="AN834" t="s">
        <v>33</v>
      </c>
      <c r="AO834" t="str">
        <f t="shared" ref="AO834:AO897" si="407">UPPER(TRIM(SUBSTITUTE(AN834,CHAR(160)," ")))</f>
        <v>PAID</v>
      </c>
      <c r="AP834" t="str">
        <f t="shared" si="385"/>
        <v>OK</v>
      </c>
      <c r="AQ834" t="s">
        <v>34</v>
      </c>
      <c r="AR834" t="str">
        <f t="shared" ref="AR834:AR897" si="408">UPPER(TRIM(SUBSTITUTE(AQ834,CHAR(160)," ")))</f>
        <v>COMPLETED</v>
      </c>
      <c r="AS834" t="str">
        <f t="shared" si="386"/>
        <v>OK</v>
      </c>
      <c r="AT834">
        <f t="shared" si="387"/>
        <v>11629.019999999999</v>
      </c>
      <c r="AU834">
        <f t="shared" si="388"/>
        <v>2001.8099999999995</v>
      </c>
      <c r="AV834" s="6">
        <f t="shared" si="389"/>
        <v>3.7136749270359849E-2</v>
      </c>
      <c r="AW834" t="str">
        <f t="shared" si="390"/>
        <v>CLEAN</v>
      </c>
      <c r="AX834" s="10" t="str">
        <f t="shared" si="391"/>
        <v>MATCH</v>
      </c>
      <c r="AY834" t="str">
        <f t="shared" si="392"/>
        <v>MATCH</v>
      </c>
    </row>
    <row r="835" spans="1:51">
      <c r="A835" t="s">
        <v>3257</v>
      </c>
      <c r="B835">
        <f t="shared" si="399"/>
        <v>2</v>
      </c>
      <c r="C835" t="s">
        <v>1729</v>
      </c>
      <c r="D835" s="3">
        <v>45870</v>
      </c>
      <c r="E835" t="str">
        <f t="shared" si="400"/>
        <v>2025/08/01</v>
      </c>
      <c r="F835" t="str">
        <f t="shared" ref="F835:F898" si="409">TEXT(E835,"MMMM")</f>
        <v>August</v>
      </c>
      <c r="G835">
        <f t="shared" ref="G835:G898" si="410">YEAR(E835)</f>
        <v>2025</v>
      </c>
      <c r="H835" t="s">
        <v>3078</v>
      </c>
      <c r="I835" s="4">
        <v>45908</v>
      </c>
      <c r="J835" s="8">
        <f t="shared" si="401"/>
        <v>38</v>
      </c>
      <c r="K835" s="8" t="str">
        <f t="shared" ref="K835:K898" si="411">IF(J835&lt;0,"INVAILD_SHIPPING","OK")</f>
        <v>OK</v>
      </c>
      <c r="L835" t="s">
        <v>1737</v>
      </c>
      <c r="M835" t="s">
        <v>52</v>
      </c>
      <c r="N835" t="str">
        <f t="shared" si="402"/>
        <v>Isha Nair</v>
      </c>
      <c r="O835" t="s">
        <v>25</v>
      </c>
      <c r="P835" t="str">
        <f t="shared" si="394"/>
        <v>Consumer</v>
      </c>
      <c r="Q835" t="s">
        <v>61</v>
      </c>
      <c r="R835" t="str">
        <f t="shared" si="398"/>
        <v>South</v>
      </c>
      <c r="S835" t="str">
        <f t="shared" ref="S835:S898" si="412">IF(R835="Unknown","MISSING_REGION","OK")</f>
        <v>OK</v>
      </c>
      <c r="T835" t="s">
        <v>99</v>
      </c>
      <c r="U835" t="str">
        <f t="shared" si="403"/>
        <v>Andhra Pradesh</v>
      </c>
      <c r="V835" t="s">
        <v>100</v>
      </c>
      <c r="W835" t="str">
        <f t="shared" si="404"/>
        <v>Vijayawada</v>
      </c>
      <c r="X835" t="str">
        <f t="shared" si="405"/>
        <v>Office Supplies</v>
      </c>
      <c r="Y835" t="s">
        <v>29</v>
      </c>
      <c r="Z835" t="s">
        <v>155</v>
      </c>
      <c r="AA835" t="str">
        <f t="shared" si="406"/>
        <v>Storage</v>
      </c>
      <c r="AB835" t="s">
        <v>3258</v>
      </c>
      <c r="AC835" t="s">
        <v>55</v>
      </c>
      <c r="AD835" t="str">
        <f t="shared" si="397"/>
        <v>First Class</v>
      </c>
      <c r="AE835" t="str">
        <f t="shared" ref="AE835:AE898" si="413">IF(AD835="Unknown","MISSING_SHIP_MODE","OK")</f>
        <v>OK</v>
      </c>
      <c r="AF835">
        <v>5</v>
      </c>
      <c r="AG835">
        <v>2736.24</v>
      </c>
      <c r="AH835">
        <v>0.15</v>
      </c>
      <c r="AI835">
        <f t="shared" ref="AI835:AI898" si="414">IF(RIGHT(AH835,1)="%",VALUE(SUBSTITUTE(AH835,"%",""))/100,AH835)</f>
        <v>0.15</v>
      </c>
      <c r="AJ835" t="str">
        <f t="shared" ref="AJ835:AJ898" si="415">IF(AH835="","Missing Discount",
IF(AH835&lt;0,"Invalid Negative Discount",
"OK"))</f>
        <v>OK</v>
      </c>
      <c r="AK835">
        <v>11629.02</v>
      </c>
      <c r="AL835">
        <v>9627.2099999999991</v>
      </c>
      <c r="AM835">
        <v>2001.81</v>
      </c>
      <c r="AN835" t="s">
        <v>33</v>
      </c>
      <c r="AO835" t="str">
        <f t="shared" si="407"/>
        <v>PAID</v>
      </c>
      <c r="AP835" t="str">
        <f t="shared" ref="AP835:AP898" si="416">IF(AO835="Failed","EXCLUDE_FROM_SALES",
IF(AO835="Refunded","REFUNDED_PAYMENT",
"OK"))</f>
        <v>OK</v>
      </c>
      <c r="AQ835" t="s">
        <v>34</v>
      </c>
      <c r="AR835" t="str">
        <f t="shared" si="408"/>
        <v>COMPLETED</v>
      </c>
      <c r="AS835" t="str">
        <f t="shared" ref="AS835:AS898" si="417">IF(AR835="Cancelled","EXCLUDE_FROM_SALES",
IF(AR835="Returned","RETURNED_ORDER",
"OK"))</f>
        <v>OK</v>
      </c>
      <c r="AT835">
        <f t="shared" ref="AT835:AT898" si="418">IF(AI835&lt;0,"INVAILD",AF835*AG835*(1-AI835))</f>
        <v>11629.019999999999</v>
      </c>
      <c r="AU835">
        <f t="shared" ref="AU835:AU898" si="419">IF(AT835="INVAILD","INVAILD",AT835-AL835)</f>
        <v>2001.8099999999995</v>
      </c>
      <c r="AV835" s="6">
        <f t="shared" ref="AV835:AV898" si="420">IF(OR(AT835="INVALID",AU835="INVALID"),"",AU856/AT835)</f>
        <v>7.647677964265262E-2</v>
      </c>
      <c r="AW835" t="str">
        <f t="shared" ref="AW835:AW898" si="421">IF(OR(AJ835&lt;&gt;"OK",K835="INVALID_SHIPPING"),
"INVALID",
IF(OR(S835&lt;&gt;"OK",AE835&lt;&gt;"OK"),
"WARNING",
"CLEAN"))</f>
        <v>CLEAN</v>
      </c>
      <c r="AX835" s="10" t="str">
        <f t="shared" ref="AX835:AX898" si="422">IF(AT835="INVALID","INVALID",
IF(ROUND(AK835,2)=ROUND(AT835,2),"MATCH","MISMATCH"))</f>
        <v>MATCH</v>
      </c>
      <c r="AY835" t="str">
        <f t="shared" ref="AY835:AY898" si="423">IF(AU835="INVALID","INVALID",IF(ROUND(AM835,2)=ROUND(AU835,2),"MATCH","MISMATCH"))</f>
        <v>MATCH</v>
      </c>
    </row>
    <row r="836" spans="1:51">
      <c r="A836" t="s">
        <v>3263</v>
      </c>
      <c r="B836">
        <f t="shared" si="399"/>
        <v>1</v>
      </c>
      <c r="C836" t="s">
        <v>3264</v>
      </c>
      <c r="D836" s="2">
        <v>45922</v>
      </c>
      <c r="E836" t="str">
        <f t="shared" si="400"/>
        <v>2025/09/22</v>
      </c>
      <c r="F836" t="str">
        <f t="shared" si="409"/>
        <v>September</v>
      </c>
      <c r="G836">
        <f t="shared" si="410"/>
        <v>2025</v>
      </c>
      <c r="H836" t="s">
        <v>3265</v>
      </c>
      <c r="I836" s="4">
        <v>45925</v>
      </c>
      <c r="J836" s="8">
        <f t="shared" si="401"/>
        <v>3</v>
      </c>
      <c r="K836" s="8" t="str">
        <f t="shared" si="411"/>
        <v>OK</v>
      </c>
      <c r="L836" t="s">
        <v>3266</v>
      </c>
      <c r="M836" t="s">
        <v>52</v>
      </c>
      <c r="N836" t="str">
        <f t="shared" si="402"/>
        <v>Isha Nair</v>
      </c>
      <c r="O836" t="s">
        <v>40</v>
      </c>
      <c r="P836" t="str">
        <f t="shared" si="394"/>
        <v>Small Business</v>
      </c>
      <c r="Q836" t="s">
        <v>61</v>
      </c>
      <c r="R836" t="str">
        <f t="shared" si="398"/>
        <v>South</v>
      </c>
      <c r="S836" t="str">
        <f t="shared" si="412"/>
        <v>OK</v>
      </c>
      <c r="T836" t="s">
        <v>241</v>
      </c>
      <c r="U836" t="str">
        <f t="shared" si="403"/>
        <v>Kerala</v>
      </c>
      <c r="V836" t="s">
        <v>242</v>
      </c>
      <c r="W836" t="str">
        <f t="shared" si="404"/>
        <v>Kochi</v>
      </c>
      <c r="X836" t="str">
        <f t="shared" si="405"/>
        <v>Technology</v>
      </c>
      <c r="Y836" t="s">
        <v>85</v>
      </c>
      <c r="Z836" t="s">
        <v>222</v>
      </c>
      <c r="AA836" t="str">
        <f t="shared" si="406"/>
        <v>Phones</v>
      </c>
      <c r="AB836" t="s">
        <v>3267</v>
      </c>
      <c r="AD836" t="s">
        <v>4109</v>
      </c>
      <c r="AE836" t="str">
        <f t="shared" si="413"/>
        <v>MISSING_SHIP_MODE</v>
      </c>
      <c r="AF836">
        <v>4</v>
      </c>
      <c r="AG836">
        <v>1178.8399999999999</v>
      </c>
      <c r="AH836">
        <v>0.25</v>
      </c>
      <c r="AI836">
        <f t="shared" si="414"/>
        <v>0.25</v>
      </c>
      <c r="AJ836" t="str">
        <f t="shared" si="415"/>
        <v>OK</v>
      </c>
      <c r="AK836">
        <v>3536.52</v>
      </c>
      <c r="AL836">
        <v>2102.41</v>
      </c>
      <c r="AM836">
        <v>1363.28</v>
      </c>
      <c r="AN836" t="s">
        <v>33</v>
      </c>
      <c r="AO836" t="str">
        <f t="shared" si="407"/>
        <v>PAID</v>
      </c>
      <c r="AP836" t="str">
        <f t="shared" si="416"/>
        <v>OK</v>
      </c>
      <c r="AQ836" t="s">
        <v>34</v>
      </c>
      <c r="AR836" t="str">
        <f t="shared" si="408"/>
        <v>COMPLETED</v>
      </c>
      <c r="AS836" t="str">
        <f t="shared" si="417"/>
        <v>OK</v>
      </c>
      <c r="AT836">
        <f t="shared" si="418"/>
        <v>3536.5199999999995</v>
      </c>
      <c r="AU836">
        <f t="shared" si="419"/>
        <v>1434.1099999999997</v>
      </c>
      <c r="AV836" s="6">
        <f t="shared" si="420"/>
        <v>0.92096750477870926</v>
      </c>
      <c r="AW836" t="str">
        <f t="shared" si="421"/>
        <v>WARNING</v>
      </c>
      <c r="AX836" s="10" t="str">
        <f t="shared" si="422"/>
        <v>MATCH</v>
      </c>
      <c r="AY836" t="str">
        <f t="shared" si="423"/>
        <v>MISMATCH</v>
      </c>
    </row>
    <row r="837" spans="1:51">
      <c r="A837" t="s">
        <v>3268</v>
      </c>
      <c r="B837">
        <f t="shared" si="399"/>
        <v>1</v>
      </c>
      <c r="C837" t="s">
        <v>2322</v>
      </c>
      <c r="D837" s="3">
        <v>45660</v>
      </c>
      <c r="E837" t="str">
        <f t="shared" si="400"/>
        <v>2025/01/03</v>
      </c>
      <c r="F837" t="str">
        <f t="shared" si="409"/>
        <v>January</v>
      </c>
      <c r="G837">
        <f t="shared" si="410"/>
        <v>2025</v>
      </c>
      <c r="H837" t="s">
        <v>786</v>
      </c>
      <c r="I837" s="4">
        <v>45841</v>
      </c>
      <c r="J837" s="8">
        <f t="shared" si="401"/>
        <v>181</v>
      </c>
      <c r="K837" s="8" t="str">
        <f t="shared" si="411"/>
        <v>OK</v>
      </c>
      <c r="L837" t="s">
        <v>3269</v>
      </c>
      <c r="M837" t="s">
        <v>60</v>
      </c>
      <c r="N837" t="str">
        <f t="shared" si="402"/>
        <v>Arjun Bose</v>
      </c>
      <c r="O837" t="s">
        <v>107</v>
      </c>
      <c r="P837" t="str">
        <f t="shared" si="394"/>
        <v>Corporate</v>
      </c>
      <c r="Q837" t="s">
        <v>61</v>
      </c>
      <c r="R837" t="str">
        <f t="shared" si="398"/>
        <v>South</v>
      </c>
      <c r="S837" t="str">
        <f t="shared" si="412"/>
        <v>OK</v>
      </c>
      <c r="T837" t="s">
        <v>99</v>
      </c>
      <c r="U837" t="str">
        <f t="shared" si="403"/>
        <v>Andhra Pradesh</v>
      </c>
      <c r="V837" t="s">
        <v>100</v>
      </c>
      <c r="W837" t="str">
        <f t="shared" si="404"/>
        <v>Vijayawada</v>
      </c>
      <c r="X837" t="str">
        <f t="shared" si="405"/>
        <v>Office Supplies</v>
      </c>
      <c r="Y837" t="s">
        <v>29</v>
      </c>
      <c r="Z837" t="s">
        <v>108</v>
      </c>
      <c r="AA837" t="str">
        <f t="shared" si="406"/>
        <v>Labels</v>
      </c>
      <c r="AB837" t="s">
        <v>3270</v>
      </c>
      <c r="AC837" t="s">
        <v>55</v>
      </c>
      <c r="AD837" t="str">
        <f t="shared" ref="AD837:AD861" si="424">PROPER(TRIM(SUBSTITUTE(AC837,CHAR(160)," ")))</f>
        <v>First Class</v>
      </c>
      <c r="AE837" t="str">
        <f t="shared" si="413"/>
        <v>OK</v>
      </c>
      <c r="AF837">
        <v>7</v>
      </c>
      <c r="AG837">
        <v>567.15</v>
      </c>
      <c r="AI837">
        <f t="shared" si="414"/>
        <v>0</v>
      </c>
      <c r="AJ837" t="str">
        <f t="shared" si="415"/>
        <v>Missing Discount</v>
      </c>
      <c r="AK837">
        <v>2977.54</v>
      </c>
      <c r="AL837">
        <v>1849.3</v>
      </c>
      <c r="AM837">
        <v>1128.24</v>
      </c>
      <c r="AN837" t="s">
        <v>123</v>
      </c>
      <c r="AO837" t="str">
        <f t="shared" si="407"/>
        <v>REFUNDED</v>
      </c>
      <c r="AP837" t="str">
        <f t="shared" si="416"/>
        <v>REFUNDED_PAYMENT</v>
      </c>
      <c r="AQ837" t="s">
        <v>124</v>
      </c>
      <c r="AR837" t="str">
        <f t="shared" si="408"/>
        <v>RETURNED</v>
      </c>
      <c r="AS837" t="str">
        <f t="shared" si="417"/>
        <v>RETURNED_ORDER</v>
      </c>
      <c r="AT837">
        <f t="shared" si="418"/>
        <v>3970.0499999999997</v>
      </c>
      <c r="AU837">
        <f t="shared" si="419"/>
        <v>2120.75</v>
      </c>
      <c r="AV837" s="6">
        <f t="shared" si="420"/>
        <v>0.11981209304668698</v>
      </c>
      <c r="AW837" t="str">
        <f t="shared" si="421"/>
        <v>INVALID</v>
      </c>
      <c r="AX837" s="10" t="str">
        <f t="shared" si="422"/>
        <v>MISMATCH</v>
      </c>
      <c r="AY837" t="str">
        <f t="shared" si="423"/>
        <v>MISMATCH</v>
      </c>
    </row>
    <row r="838" spans="1:51">
      <c r="A838" t="s">
        <v>3287</v>
      </c>
      <c r="B838">
        <f t="shared" si="399"/>
        <v>1</v>
      </c>
      <c r="C838" t="s">
        <v>3288</v>
      </c>
      <c r="D838" s="3">
        <v>45690</v>
      </c>
      <c r="E838" t="str">
        <f t="shared" si="400"/>
        <v>2025/02/02</v>
      </c>
      <c r="F838" t="str">
        <f t="shared" si="409"/>
        <v>February</v>
      </c>
      <c r="G838">
        <f t="shared" si="410"/>
        <v>2025</v>
      </c>
      <c r="H838" t="s">
        <v>2883</v>
      </c>
      <c r="I838" s="4">
        <v>45694</v>
      </c>
      <c r="J838" s="8">
        <f t="shared" si="401"/>
        <v>4</v>
      </c>
      <c r="K838" s="8" t="str">
        <f t="shared" si="411"/>
        <v>OK</v>
      </c>
      <c r="L838" t="s">
        <v>3289</v>
      </c>
      <c r="M838" t="s">
        <v>24</v>
      </c>
      <c r="N838" t="str">
        <f t="shared" si="402"/>
        <v>Karan Malhotra</v>
      </c>
      <c r="O838" t="s">
        <v>40</v>
      </c>
      <c r="P838" t="str">
        <f t="shared" si="394"/>
        <v>Small Business</v>
      </c>
      <c r="Q838" t="s">
        <v>72</v>
      </c>
      <c r="R838" t="str">
        <f t="shared" si="398"/>
        <v>West</v>
      </c>
      <c r="S838" t="str">
        <f t="shared" si="412"/>
        <v>OK</v>
      </c>
      <c r="T838" t="s">
        <v>27</v>
      </c>
      <c r="U838" t="str">
        <f t="shared" si="403"/>
        <v>Rajasthan</v>
      </c>
      <c r="V838" t="s">
        <v>134</v>
      </c>
      <c r="W838" t="str">
        <f t="shared" si="404"/>
        <v>Udaipur</v>
      </c>
      <c r="X838" t="str">
        <f t="shared" si="405"/>
        <v>Furniture</v>
      </c>
      <c r="Y838" t="s">
        <v>44</v>
      </c>
      <c r="Z838" t="s">
        <v>45</v>
      </c>
      <c r="AA838" t="str">
        <f t="shared" si="406"/>
        <v>Tables</v>
      </c>
      <c r="AB838" t="s">
        <v>3290</v>
      </c>
      <c r="AC838" t="s">
        <v>32</v>
      </c>
      <c r="AD838" t="str">
        <f t="shared" si="424"/>
        <v>Second Class</v>
      </c>
      <c r="AE838" t="str">
        <f t="shared" si="413"/>
        <v>OK</v>
      </c>
      <c r="AF838">
        <v>3</v>
      </c>
      <c r="AG838">
        <v>997.34</v>
      </c>
      <c r="AH838">
        <v>0.1</v>
      </c>
      <c r="AI838">
        <f t="shared" si="414"/>
        <v>0.1</v>
      </c>
      <c r="AJ838" t="str">
        <f t="shared" si="415"/>
        <v>OK</v>
      </c>
      <c r="AK838">
        <v>2692.82</v>
      </c>
      <c r="AL838">
        <v>1820.08</v>
      </c>
      <c r="AM838">
        <v>872.74</v>
      </c>
      <c r="AN838" t="s">
        <v>33</v>
      </c>
      <c r="AO838" t="str">
        <f t="shared" si="407"/>
        <v>PAID</v>
      </c>
      <c r="AP838" t="str">
        <f t="shared" si="416"/>
        <v>OK</v>
      </c>
      <c r="AQ838" t="s">
        <v>34</v>
      </c>
      <c r="AR838" t="str">
        <f t="shared" si="408"/>
        <v>COMPLETED</v>
      </c>
      <c r="AS838" t="str">
        <f t="shared" si="417"/>
        <v>OK</v>
      </c>
      <c r="AT838">
        <f t="shared" si="418"/>
        <v>2692.8180000000002</v>
      </c>
      <c r="AU838">
        <f t="shared" si="419"/>
        <v>872.73800000000028</v>
      </c>
      <c r="AV838" s="6">
        <f t="shared" si="420"/>
        <v>0.70499937240467025</v>
      </c>
      <c r="AW838" t="str">
        <f t="shared" si="421"/>
        <v>CLEAN</v>
      </c>
      <c r="AX838" s="10" t="str">
        <f t="shared" si="422"/>
        <v>MATCH</v>
      </c>
      <c r="AY838" t="str">
        <f t="shared" si="423"/>
        <v>MATCH</v>
      </c>
    </row>
    <row r="839" spans="1:51">
      <c r="A839" t="s">
        <v>3308</v>
      </c>
      <c r="B839">
        <f t="shared" si="399"/>
        <v>1</v>
      </c>
      <c r="C839" t="s">
        <v>3309</v>
      </c>
      <c r="D839" s="3">
        <v>45832</v>
      </c>
      <c r="E839" t="str">
        <f t="shared" si="400"/>
        <v>2025/06/24</v>
      </c>
      <c r="F839" t="str">
        <f t="shared" si="409"/>
        <v>June</v>
      </c>
      <c r="G839">
        <f t="shared" si="410"/>
        <v>2025</v>
      </c>
      <c r="H839" t="s">
        <v>2370</v>
      </c>
      <c r="I839" s="4">
        <v>45834</v>
      </c>
      <c r="J839" s="8">
        <f t="shared" si="401"/>
        <v>2</v>
      </c>
      <c r="K839" s="8" t="str">
        <f t="shared" si="411"/>
        <v>OK</v>
      </c>
      <c r="L839" t="s">
        <v>3310</v>
      </c>
      <c r="M839" t="s">
        <v>82</v>
      </c>
      <c r="N839" t="str">
        <f t="shared" si="402"/>
        <v>Vikram Iyer</v>
      </c>
      <c r="O839" t="s">
        <v>25</v>
      </c>
      <c r="P839" t="str">
        <f t="shared" si="394"/>
        <v>Consumer</v>
      </c>
      <c r="Q839" t="s">
        <v>26</v>
      </c>
      <c r="R839" t="str">
        <f t="shared" si="398"/>
        <v>North</v>
      </c>
      <c r="S839" t="str">
        <f t="shared" si="412"/>
        <v>OK</v>
      </c>
      <c r="T839" t="s">
        <v>27</v>
      </c>
      <c r="U839" t="str">
        <f t="shared" si="403"/>
        <v>Rajasthan</v>
      </c>
      <c r="V839" t="s">
        <v>28</v>
      </c>
      <c r="W839" t="str">
        <f t="shared" si="404"/>
        <v>Jaipur</v>
      </c>
      <c r="X839" t="str">
        <f t="shared" si="405"/>
        <v>Technology</v>
      </c>
      <c r="Y839" t="s">
        <v>85</v>
      </c>
      <c r="Z839" t="s">
        <v>86</v>
      </c>
      <c r="AA839" t="str">
        <f t="shared" si="406"/>
        <v>Accessories</v>
      </c>
      <c r="AB839" t="s">
        <v>3311</v>
      </c>
      <c r="AC839" t="s">
        <v>47</v>
      </c>
      <c r="AD839" t="str">
        <f t="shared" si="424"/>
        <v>Same Day</v>
      </c>
      <c r="AE839" t="str">
        <f t="shared" si="413"/>
        <v>OK</v>
      </c>
      <c r="AF839">
        <v>5</v>
      </c>
      <c r="AG839">
        <v>3722.66</v>
      </c>
      <c r="AH839">
        <v>0.55000000000000004</v>
      </c>
      <c r="AI839">
        <f t="shared" si="414"/>
        <v>0.55000000000000004</v>
      </c>
      <c r="AJ839" t="str">
        <f t="shared" si="415"/>
        <v>OK</v>
      </c>
      <c r="AK839">
        <v>16751.97</v>
      </c>
      <c r="AL839">
        <v>11678.32</v>
      </c>
      <c r="AM839">
        <v>5073.6499999999996</v>
      </c>
      <c r="AN839" t="s">
        <v>33</v>
      </c>
      <c r="AO839" t="str">
        <f t="shared" si="407"/>
        <v>PAID</v>
      </c>
      <c r="AP839" t="str">
        <f t="shared" si="416"/>
        <v>OK</v>
      </c>
      <c r="AQ839" t="s">
        <v>34</v>
      </c>
      <c r="AR839" t="str">
        <f t="shared" si="408"/>
        <v>COMPLETED</v>
      </c>
      <c r="AS839" t="str">
        <f t="shared" si="417"/>
        <v>OK</v>
      </c>
      <c r="AT839">
        <f t="shared" si="418"/>
        <v>8375.9849999999988</v>
      </c>
      <c r="AU839">
        <f t="shared" si="419"/>
        <v>-3302.3350000000009</v>
      </c>
      <c r="AV839" s="6">
        <f t="shared" si="420"/>
        <v>0.2423461837622681</v>
      </c>
      <c r="AW839" t="str">
        <f t="shared" si="421"/>
        <v>CLEAN</v>
      </c>
      <c r="AX839" s="10" t="str">
        <f t="shared" si="422"/>
        <v>MISMATCH</v>
      </c>
      <c r="AY839" t="str">
        <f t="shared" si="423"/>
        <v>MISMATCH</v>
      </c>
    </row>
    <row r="840" spans="1:51">
      <c r="A840" t="s">
        <v>3312</v>
      </c>
      <c r="B840">
        <f t="shared" si="399"/>
        <v>1</v>
      </c>
      <c r="C840" t="s">
        <v>3313</v>
      </c>
      <c r="D840" s="3">
        <v>45736</v>
      </c>
      <c r="E840" t="str">
        <f t="shared" si="400"/>
        <v>2025/03/20</v>
      </c>
      <c r="F840" t="str">
        <f t="shared" si="409"/>
        <v>March</v>
      </c>
      <c r="G840">
        <f t="shared" si="410"/>
        <v>2025</v>
      </c>
      <c r="H840" t="s">
        <v>3314</v>
      </c>
      <c r="I840" s="4">
        <v>45742</v>
      </c>
      <c r="J840" s="8">
        <f t="shared" si="401"/>
        <v>6</v>
      </c>
      <c r="K840" s="8" t="str">
        <f t="shared" si="411"/>
        <v>OK</v>
      </c>
      <c r="L840" t="s">
        <v>3315</v>
      </c>
      <c r="M840" t="s">
        <v>167</v>
      </c>
      <c r="N840" t="str">
        <f t="shared" si="402"/>
        <v>Sneha Kapoor</v>
      </c>
      <c r="O840" t="s">
        <v>25</v>
      </c>
      <c r="P840" t="str">
        <f t="shared" si="394"/>
        <v>Consumer</v>
      </c>
      <c r="Q840" t="s">
        <v>41</v>
      </c>
      <c r="R840" t="str">
        <f t="shared" si="398"/>
        <v>East</v>
      </c>
      <c r="S840" t="str">
        <f t="shared" si="412"/>
        <v>OK</v>
      </c>
      <c r="T840" t="s">
        <v>215</v>
      </c>
      <c r="U840" t="str">
        <f t="shared" si="403"/>
        <v>Assam</v>
      </c>
      <c r="V840" t="s">
        <v>216</v>
      </c>
      <c r="W840" t="str">
        <f t="shared" si="404"/>
        <v>Guwahati</v>
      </c>
      <c r="X840" t="str">
        <f t="shared" si="405"/>
        <v>Furniture</v>
      </c>
      <c r="Y840" t="s">
        <v>44</v>
      </c>
      <c r="Z840" t="s">
        <v>203</v>
      </c>
      <c r="AA840" t="str">
        <f t="shared" si="406"/>
        <v>Bookcases</v>
      </c>
      <c r="AB840" t="s">
        <v>3316</v>
      </c>
      <c r="AC840" t="s">
        <v>55</v>
      </c>
      <c r="AD840" t="str">
        <f t="shared" si="424"/>
        <v>First Class</v>
      </c>
      <c r="AE840" t="str">
        <f t="shared" si="413"/>
        <v>OK</v>
      </c>
      <c r="AF840">
        <v>4</v>
      </c>
      <c r="AG840">
        <v>4357.66</v>
      </c>
      <c r="AH840">
        <v>0.05</v>
      </c>
      <c r="AI840">
        <f t="shared" si="414"/>
        <v>0.05</v>
      </c>
      <c r="AJ840" t="str">
        <f t="shared" si="415"/>
        <v>OK</v>
      </c>
      <c r="AK840">
        <v>16559.11</v>
      </c>
      <c r="AL840">
        <v>13233.79</v>
      </c>
      <c r="AM840">
        <v>3325.32</v>
      </c>
      <c r="AN840" t="s">
        <v>33</v>
      </c>
      <c r="AO840" t="str">
        <f t="shared" si="407"/>
        <v>PAID</v>
      </c>
      <c r="AP840" t="str">
        <f t="shared" si="416"/>
        <v>OK</v>
      </c>
      <c r="AQ840" t="s">
        <v>34</v>
      </c>
      <c r="AR840" t="str">
        <f t="shared" si="408"/>
        <v>COMPLETED</v>
      </c>
      <c r="AS840" t="str">
        <f t="shared" si="417"/>
        <v>OK</v>
      </c>
      <c r="AT840">
        <f t="shared" si="418"/>
        <v>16559.108</v>
      </c>
      <c r="AU840">
        <f t="shared" si="419"/>
        <v>3325.3179999999993</v>
      </c>
      <c r="AV840" s="6">
        <f t="shared" si="420"/>
        <v>0.23985615650311576</v>
      </c>
      <c r="AW840" t="str">
        <f t="shared" si="421"/>
        <v>CLEAN</v>
      </c>
      <c r="AX840" s="10" t="str">
        <f t="shared" si="422"/>
        <v>MATCH</v>
      </c>
      <c r="AY840" t="str">
        <f t="shared" si="423"/>
        <v>MATCH</v>
      </c>
    </row>
    <row r="841" spans="1:51">
      <c r="A841" t="s">
        <v>3317</v>
      </c>
      <c r="B841">
        <f t="shared" si="399"/>
        <v>1</v>
      </c>
      <c r="C841" t="s">
        <v>194</v>
      </c>
      <c r="D841" s="2">
        <v>45676</v>
      </c>
      <c r="E841" t="str">
        <f t="shared" si="400"/>
        <v>2025/01/19</v>
      </c>
      <c r="F841" t="str">
        <f t="shared" si="409"/>
        <v>January</v>
      </c>
      <c r="G841">
        <f t="shared" si="410"/>
        <v>2025</v>
      </c>
      <c r="H841" t="s">
        <v>183</v>
      </c>
      <c r="I841" s="4">
        <v>45680</v>
      </c>
      <c r="J841" s="8">
        <f t="shared" si="401"/>
        <v>4</v>
      </c>
      <c r="K841" s="8" t="str">
        <f t="shared" si="411"/>
        <v>OK</v>
      </c>
      <c r="L841" t="s">
        <v>3318</v>
      </c>
      <c r="M841" t="s">
        <v>365</v>
      </c>
      <c r="N841" t="str">
        <f t="shared" si="402"/>
        <v>Kabir Singh</v>
      </c>
      <c r="O841" t="s">
        <v>114</v>
      </c>
      <c r="P841" t="str">
        <f t="shared" ref="P841:P904" si="425">PROPER(TRIM(SUBSTITUTE(O841,CHAR(160)," ")))</f>
        <v>Home Office</v>
      </c>
      <c r="Q841" t="s">
        <v>26</v>
      </c>
      <c r="R841" t="str">
        <f t="shared" si="398"/>
        <v>North</v>
      </c>
      <c r="S841" t="str">
        <f t="shared" si="412"/>
        <v>OK</v>
      </c>
      <c r="T841" t="s">
        <v>153</v>
      </c>
      <c r="U841" t="str">
        <f t="shared" si="403"/>
        <v>Punjab</v>
      </c>
      <c r="V841" t="s">
        <v>154</v>
      </c>
      <c r="W841" t="str">
        <f t="shared" si="404"/>
        <v>Ludhiana</v>
      </c>
      <c r="X841" t="str">
        <f t="shared" si="405"/>
        <v>Technology</v>
      </c>
      <c r="Y841" t="s">
        <v>85</v>
      </c>
      <c r="Z841" t="s">
        <v>222</v>
      </c>
      <c r="AA841" t="str">
        <f t="shared" si="406"/>
        <v>Phones</v>
      </c>
      <c r="AB841" t="s">
        <v>3319</v>
      </c>
      <c r="AC841" t="s">
        <v>47</v>
      </c>
      <c r="AD841" t="str">
        <f t="shared" si="424"/>
        <v>Same Day</v>
      </c>
      <c r="AE841" t="str">
        <f t="shared" si="413"/>
        <v>OK</v>
      </c>
      <c r="AF841">
        <v>7</v>
      </c>
      <c r="AG841">
        <v>1363.04</v>
      </c>
      <c r="AH841">
        <v>0.15</v>
      </c>
      <c r="AI841">
        <f t="shared" si="414"/>
        <v>0.15</v>
      </c>
      <c r="AJ841" t="str">
        <f t="shared" si="415"/>
        <v>OK</v>
      </c>
      <c r="AK841">
        <v>8110.09</v>
      </c>
      <c r="AL841">
        <v>6417.32</v>
      </c>
      <c r="AM841">
        <v>1692.77</v>
      </c>
      <c r="AN841" t="s">
        <v>33</v>
      </c>
      <c r="AO841" t="str">
        <f t="shared" si="407"/>
        <v>PAID</v>
      </c>
      <c r="AP841" t="str">
        <f t="shared" si="416"/>
        <v>OK</v>
      </c>
      <c r="AQ841" t="s">
        <v>77</v>
      </c>
      <c r="AR841" t="str">
        <f t="shared" si="408"/>
        <v>CANCELLED</v>
      </c>
      <c r="AS841" t="str">
        <f t="shared" si="417"/>
        <v>EXCLUDE_FROM_SALES</v>
      </c>
      <c r="AT841">
        <f t="shared" si="418"/>
        <v>8110.0879999999988</v>
      </c>
      <c r="AU841">
        <f t="shared" si="419"/>
        <v>1692.7679999999991</v>
      </c>
      <c r="AV841" s="6">
        <f t="shared" si="420"/>
        <v>0.18589964745142085</v>
      </c>
      <c r="AW841" t="str">
        <f t="shared" si="421"/>
        <v>CLEAN</v>
      </c>
      <c r="AX841" s="10" t="str">
        <f t="shared" si="422"/>
        <v>MATCH</v>
      </c>
      <c r="AY841" t="str">
        <f t="shared" si="423"/>
        <v>MATCH</v>
      </c>
    </row>
    <row r="842" spans="1:51">
      <c r="A842" t="s">
        <v>3325</v>
      </c>
      <c r="B842">
        <f t="shared" si="399"/>
        <v>1</v>
      </c>
      <c r="C842" t="s">
        <v>3326</v>
      </c>
      <c r="D842" s="3">
        <v>45690</v>
      </c>
      <c r="E842" t="str">
        <f t="shared" si="400"/>
        <v>2025/02/02</v>
      </c>
      <c r="F842" t="str">
        <f t="shared" si="409"/>
        <v>February</v>
      </c>
      <c r="G842">
        <f t="shared" si="410"/>
        <v>2025</v>
      </c>
      <c r="H842" t="s">
        <v>3288</v>
      </c>
      <c r="I842" s="4">
        <v>45690</v>
      </c>
      <c r="J842" s="8">
        <f t="shared" si="401"/>
        <v>0</v>
      </c>
      <c r="K842" s="8" t="str">
        <f t="shared" si="411"/>
        <v>OK</v>
      </c>
      <c r="L842" t="s">
        <v>3327</v>
      </c>
      <c r="M842" t="s">
        <v>365</v>
      </c>
      <c r="N842" t="str">
        <f t="shared" si="402"/>
        <v>Kabir Singh</v>
      </c>
      <c r="O842" t="s">
        <v>107</v>
      </c>
      <c r="P842" t="str">
        <f t="shared" si="425"/>
        <v>Corporate</v>
      </c>
      <c r="Q842" t="s">
        <v>41</v>
      </c>
      <c r="R842" t="str">
        <f t="shared" si="398"/>
        <v>East</v>
      </c>
      <c r="S842" t="str">
        <f t="shared" si="412"/>
        <v>OK</v>
      </c>
      <c r="T842" t="s">
        <v>120</v>
      </c>
      <c r="U842" t="str">
        <f t="shared" si="403"/>
        <v>West Bengal</v>
      </c>
      <c r="V842" t="s">
        <v>121</v>
      </c>
      <c r="W842" t="str">
        <f t="shared" si="404"/>
        <v>Kolkata</v>
      </c>
      <c r="X842" t="str">
        <f t="shared" si="405"/>
        <v>Technology</v>
      </c>
      <c r="Y842" t="s">
        <v>85</v>
      </c>
      <c r="Z842" t="s">
        <v>381</v>
      </c>
      <c r="AA842" t="str">
        <f t="shared" si="406"/>
        <v>Machines</v>
      </c>
      <c r="AB842" t="s">
        <v>3328</v>
      </c>
      <c r="AC842" t="s">
        <v>55</v>
      </c>
      <c r="AD842" t="str">
        <f t="shared" si="424"/>
        <v>First Class</v>
      </c>
      <c r="AE842" t="str">
        <f t="shared" si="413"/>
        <v>OK</v>
      </c>
      <c r="AF842">
        <v>1</v>
      </c>
      <c r="AG842">
        <v>4326.75</v>
      </c>
      <c r="AH842">
        <v>0.05</v>
      </c>
      <c r="AI842">
        <f t="shared" si="414"/>
        <v>0.05</v>
      </c>
      <c r="AJ842" t="str">
        <f t="shared" si="415"/>
        <v>OK</v>
      </c>
      <c r="AK842">
        <v>4110.41</v>
      </c>
      <c r="AL842">
        <v>2394.14</v>
      </c>
      <c r="AM842">
        <v>1716.27</v>
      </c>
      <c r="AN842" t="s">
        <v>136</v>
      </c>
      <c r="AO842" t="str">
        <f t="shared" si="407"/>
        <v>PENDING</v>
      </c>
      <c r="AP842" t="str">
        <f t="shared" si="416"/>
        <v>OK</v>
      </c>
      <c r="AQ842" t="s">
        <v>124</v>
      </c>
      <c r="AR842" t="str">
        <f t="shared" si="408"/>
        <v>RETURNED</v>
      </c>
      <c r="AS842" t="str">
        <f t="shared" si="417"/>
        <v>RETURNED_ORDER</v>
      </c>
      <c r="AT842">
        <f t="shared" si="418"/>
        <v>4110.4124999999995</v>
      </c>
      <c r="AU842">
        <f t="shared" si="419"/>
        <v>1716.2724999999996</v>
      </c>
      <c r="AV842" s="6">
        <f t="shared" si="420"/>
        <v>0.1134800947593459</v>
      </c>
      <c r="AW842" t="str">
        <f t="shared" si="421"/>
        <v>CLEAN</v>
      </c>
      <c r="AX842" s="10" t="str">
        <f t="shared" si="422"/>
        <v>MATCH</v>
      </c>
      <c r="AY842" t="str">
        <f t="shared" si="423"/>
        <v>MATCH</v>
      </c>
    </row>
    <row r="843" spans="1:51">
      <c r="A843" t="s">
        <v>3333</v>
      </c>
      <c r="B843">
        <f t="shared" si="399"/>
        <v>1</v>
      </c>
      <c r="C843" t="s">
        <v>3334</v>
      </c>
      <c r="D843" s="3">
        <v>45814</v>
      </c>
      <c r="E843" t="str">
        <f t="shared" si="400"/>
        <v>2025/06/06</v>
      </c>
      <c r="F843" t="str">
        <f t="shared" si="409"/>
        <v>June</v>
      </c>
      <c r="G843">
        <f t="shared" si="410"/>
        <v>2025</v>
      </c>
      <c r="H843" t="s">
        <v>3181</v>
      </c>
      <c r="I843" s="4">
        <v>45818</v>
      </c>
      <c r="J843" s="8">
        <f t="shared" si="401"/>
        <v>4</v>
      </c>
      <c r="K843" s="8" t="str">
        <f t="shared" si="411"/>
        <v>OK</v>
      </c>
      <c r="L843" t="s">
        <v>902</v>
      </c>
      <c r="M843" t="s">
        <v>39</v>
      </c>
      <c r="N843" t="str">
        <f t="shared" si="402"/>
        <v>Mira Das</v>
      </c>
      <c r="O843" t="s">
        <v>25</v>
      </c>
      <c r="P843" t="str">
        <f t="shared" si="425"/>
        <v>Consumer</v>
      </c>
      <c r="Q843" t="s">
        <v>72</v>
      </c>
      <c r="R843" t="str">
        <f t="shared" si="398"/>
        <v>West</v>
      </c>
      <c r="S843" t="str">
        <f t="shared" si="412"/>
        <v>OK</v>
      </c>
      <c r="T843" t="s">
        <v>27</v>
      </c>
      <c r="U843" t="str">
        <f t="shared" si="403"/>
        <v>Rajasthan</v>
      </c>
      <c r="V843" t="s">
        <v>134</v>
      </c>
      <c r="W843" t="str">
        <f t="shared" si="404"/>
        <v>Udaipur</v>
      </c>
      <c r="X843" t="str">
        <f t="shared" si="405"/>
        <v>Technology</v>
      </c>
      <c r="Y843" t="s">
        <v>85</v>
      </c>
      <c r="Z843" t="s">
        <v>381</v>
      </c>
      <c r="AA843" t="str">
        <f t="shared" si="406"/>
        <v>Machines</v>
      </c>
      <c r="AB843" t="s">
        <v>3335</v>
      </c>
      <c r="AC843" t="s">
        <v>32</v>
      </c>
      <c r="AD843" t="str">
        <f t="shared" si="424"/>
        <v>Second Class</v>
      </c>
      <c r="AE843" t="str">
        <f t="shared" si="413"/>
        <v>OK</v>
      </c>
      <c r="AF843">
        <v>1</v>
      </c>
      <c r="AG843">
        <v>289.97000000000003</v>
      </c>
      <c r="AH843">
        <v>0.25</v>
      </c>
      <c r="AI843">
        <f t="shared" si="414"/>
        <v>0.25</v>
      </c>
      <c r="AJ843" t="str">
        <f t="shared" si="415"/>
        <v>OK</v>
      </c>
      <c r="AK843">
        <v>217.48</v>
      </c>
      <c r="AL843">
        <v>132.13</v>
      </c>
      <c r="AM843">
        <v>85.35</v>
      </c>
      <c r="AN843" t="s">
        <v>33</v>
      </c>
      <c r="AO843" t="str">
        <f t="shared" si="407"/>
        <v>PAID</v>
      </c>
      <c r="AP843" t="str">
        <f t="shared" si="416"/>
        <v>OK</v>
      </c>
      <c r="AQ843" t="s">
        <v>34</v>
      </c>
      <c r="AR843" t="str">
        <f t="shared" si="408"/>
        <v>COMPLETED</v>
      </c>
      <c r="AS843" t="str">
        <f t="shared" si="417"/>
        <v>OK</v>
      </c>
      <c r="AT843">
        <f t="shared" si="418"/>
        <v>217.47750000000002</v>
      </c>
      <c r="AU843">
        <f t="shared" si="419"/>
        <v>85.347500000000025</v>
      </c>
      <c r="AV843" s="6">
        <f t="shared" si="420"/>
        <v>8.8835856582864867</v>
      </c>
      <c r="AW843" t="str">
        <f t="shared" si="421"/>
        <v>CLEAN</v>
      </c>
      <c r="AX843" s="10" t="str">
        <f t="shared" si="422"/>
        <v>MATCH</v>
      </c>
      <c r="AY843" t="str">
        <f t="shared" si="423"/>
        <v>MATCH</v>
      </c>
    </row>
    <row r="844" spans="1:51">
      <c r="A844" t="s">
        <v>3336</v>
      </c>
      <c r="B844">
        <f t="shared" si="399"/>
        <v>1</v>
      </c>
      <c r="C844" t="s">
        <v>2114</v>
      </c>
      <c r="D844" s="2">
        <v>45738</v>
      </c>
      <c r="E844" t="str">
        <f t="shared" si="400"/>
        <v>2025/03/22</v>
      </c>
      <c r="F844" t="str">
        <f t="shared" si="409"/>
        <v>March</v>
      </c>
      <c r="G844">
        <f t="shared" si="410"/>
        <v>2025</v>
      </c>
      <c r="H844" t="s">
        <v>2230</v>
      </c>
      <c r="I844" s="4">
        <v>45739</v>
      </c>
      <c r="J844" s="8">
        <f t="shared" si="401"/>
        <v>1</v>
      </c>
      <c r="K844" s="8" t="str">
        <f t="shared" si="411"/>
        <v>OK</v>
      </c>
      <c r="L844" t="s">
        <v>3337</v>
      </c>
      <c r="M844" t="s">
        <v>24</v>
      </c>
      <c r="N844" t="str">
        <f t="shared" si="402"/>
        <v>Karan Malhotra</v>
      </c>
      <c r="O844" t="s">
        <v>114</v>
      </c>
      <c r="P844" t="str">
        <f t="shared" si="425"/>
        <v>Home Office</v>
      </c>
      <c r="Q844" t="s">
        <v>26</v>
      </c>
      <c r="R844" t="str">
        <f t="shared" si="398"/>
        <v>North</v>
      </c>
      <c r="S844" t="str">
        <f t="shared" si="412"/>
        <v>OK</v>
      </c>
      <c r="T844" t="s">
        <v>505</v>
      </c>
      <c r="U844" t="str">
        <f t="shared" si="403"/>
        <v>Delhi</v>
      </c>
      <c r="V844" t="s">
        <v>506</v>
      </c>
      <c r="W844" t="str">
        <f t="shared" si="404"/>
        <v>New Delhi</v>
      </c>
      <c r="X844" t="str">
        <f t="shared" si="405"/>
        <v>Technology</v>
      </c>
      <c r="Y844" t="s">
        <v>85</v>
      </c>
      <c r="Z844" t="s">
        <v>93</v>
      </c>
      <c r="AA844" t="str">
        <f t="shared" si="406"/>
        <v>Copiers</v>
      </c>
      <c r="AB844" t="s">
        <v>3338</v>
      </c>
      <c r="AC844" t="s">
        <v>66</v>
      </c>
      <c r="AD844" t="str">
        <f t="shared" si="424"/>
        <v>Standard Class</v>
      </c>
      <c r="AE844" t="str">
        <f t="shared" si="413"/>
        <v>OK</v>
      </c>
      <c r="AF844">
        <v>9</v>
      </c>
      <c r="AG844">
        <v>2075.02</v>
      </c>
      <c r="AH844">
        <v>0</v>
      </c>
      <c r="AI844">
        <f t="shared" si="414"/>
        <v>0</v>
      </c>
      <c r="AJ844" t="str">
        <f t="shared" si="415"/>
        <v>OK</v>
      </c>
      <c r="AK844">
        <v>18675.18</v>
      </c>
      <c r="AL844">
        <v>13974.7</v>
      </c>
      <c r="AM844">
        <v>4700.4799999999996</v>
      </c>
      <c r="AN844" t="s">
        <v>33</v>
      </c>
      <c r="AO844" t="str">
        <f t="shared" si="407"/>
        <v>PAID</v>
      </c>
      <c r="AP844" t="str">
        <f t="shared" si="416"/>
        <v>OK</v>
      </c>
      <c r="AQ844" t="s">
        <v>34</v>
      </c>
      <c r="AR844" t="str">
        <f t="shared" si="408"/>
        <v>COMPLETED</v>
      </c>
      <c r="AS844" t="str">
        <f t="shared" si="417"/>
        <v>OK</v>
      </c>
      <c r="AT844">
        <f t="shared" si="418"/>
        <v>18675.18</v>
      </c>
      <c r="AU844">
        <f t="shared" si="419"/>
        <v>4700.4799999999996</v>
      </c>
      <c r="AV844" s="6">
        <f t="shared" si="420"/>
        <v>0.10170852436228192</v>
      </c>
      <c r="AW844" t="str">
        <f t="shared" si="421"/>
        <v>CLEAN</v>
      </c>
      <c r="AX844" s="10" t="str">
        <f t="shared" si="422"/>
        <v>MATCH</v>
      </c>
      <c r="AY844" t="str">
        <f t="shared" si="423"/>
        <v>MATCH</v>
      </c>
    </row>
    <row r="845" spans="1:51">
      <c r="A845" t="s">
        <v>3339</v>
      </c>
      <c r="B845">
        <f t="shared" si="399"/>
        <v>1</v>
      </c>
      <c r="C845" t="s">
        <v>453</v>
      </c>
      <c r="D845" s="3">
        <v>45891</v>
      </c>
      <c r="E845" t="str">
        <f t="shared" si="400"/>
        <v>2025/08/22</v>
      </c>
      <c r="F845" t="str">
        <f t="shared" si="409"/>
        <v>August</v>
      </c>
      <c r="G845">
        <f t="shared" si="410"/>
        <v>2025</v>
      </c>
      <c r="H845" t="s">
        <v>454</v>
      </c>
      <c r="I845" s="4">
        <v>45896</v>
      </c>
      <c r="J845" s="8">
        <f t="shared" si="401"/>
        <v>5</v>
      </c>
      <c r="K845" s="8" t="str">
        <f t="shared" si="411"/>
        <v>OK</v>
      </c>
      <c r="L845" t="s">
        <v>3340</v>
      </c>
      <c r="M845" t="s">
        <v>141</v>
      </c>
      <c r="N845" t="str">
        <f t="shared" si="402"/>
        <v>Priya Menon</v>
      </c>
      <c r="O845" t="s">
        <v>25</v>
      </c>
      <c r="P845" t="str">
        <f t="shared" si="425"/>
        <v>Consumer</v>
      </c>
      <c r="Q845" t="s">
        <v>26</v>
      </c>
      <c r="R845" t="str">
        <f t="shared" si="398"/>
        <v>North</v>
      </c>
      <c r="S845" t="str">
        <f t="shared" si="412"/>
        <v>OK</v>
      </c>
      <c r="T845" t="s">
        <v>322</v>
      </c>
      <c r="U845" t="str">
        <f t="shared" si="403"/>
        <v>Haryana</v>
      </c>
      <c r="V845" t="s">
        <v>323</v>
      </c>
      <c r="W845" t="str">
        <f t="shared" si="404"/>
        <v>Gurugram</v>
      </c>
      <c r="X845" t="str">
        <f t="shared" si="405"/>
        <v>Furniture</v>
      </c>
      <c r="Y845" t="s">
        <v>44</v>
      </c>
      <c r="Z845" t="s">
        <v>75</v>
      </c>
      <c r="AA845" t="str">
        <f t="shared" si="406"/>
        <v>Chairs</v>
      </c>
      <c r="AB845" t="s">
        <v>3341</v>
      </c>
      <c r="AC845" t="s">
        <v>32</v>
      </c>
      <c r="AD845" t="str">
        <f t="shared" si="424"/>
        <v>Second Class</v>
      </c>
      <c r="AE845" t="str">
        <f t="shared" si="413"/>
        <v>OK</v>
      </c>
      <c r="AF845">
        <v>7</v>
      </c>
      <c r="AG845">
        <v>2843.09</v>
      </c>
      <c r="AH845">
        <v>0</v>
      </c>
      <c r="AI845">
        <f t="shared" si="414"/>
        <v>0</v>
      </c>
      <c r="AJ845" t="str">
        <f t="shared" si="415"/>
        <v>OK</v>
      </c>
      <c r="AK845">
        <v>19901.63</v>
      </c>
      <c r="AL845">
        <v>15492.03</v>
      </c>
      <c r="AM845">
        <v>4409.6000000000004</v>
      </c>
      <c r="AN845" t="s">
        <v>123</v>
      </c>
      <c r="AO845" t="str">
        <f t="shared" si="407"/>
        <v>REFUNDED</v>
      </c>
      <c r="AP845" t="str">
        <f t="shared" si="416"/>
        <v>REFUNDED_PAYMENT</v>
      </c>
      <c r="AQ845" t="s">
        <v>77</v>
      </c>
      <c r="AR845" t="str">
        <f t="shared" si="408"/>
        <v>CANCELLED</v>
      </c>
      <c r="AS845" t="str">
        <f t="shared" si="417"/>
        <v>EXCLUDE_FROM_SALES</v>
      </c>
      <c r="AT845">
        <f t="shared" si="418"/>
        <v>19901.63</v>
      </c>
      <c r="AU845">
        <f t="shared" si="419"/>
        <v>4409.6000000000004</v>
      </c>
      <c r="AV845" s="6">
        <f t="shared" si="420"/>
        <v>0.12344466257286463</v>
      </c>
      <c r="AW845" t="str">
        <f t="shared" si="421"/>
        <v>CLEAN</v>
      </c>
      <c r="AX845" s="10" t="str">
        <f t="shared" si="422"/>
        <v>MATCH</v>
      </c>
      <c r="AY845" t="str">
        <f t="shared" si="423"/>
        <v>MATCH</v>
      </c>
    </row>
    <row r="846" spans="1:51">
      <c r="A846" t="s">
        <v>3342</v>
      </c>
      <c r="B846">
        <f t="shared" si="399"/>
        <v>1</v>
      </c>
      <c r="C846" t="s">
        <v>3343</v>
      </c>
      <c r="D846" s="2">
        <v>45895</v>
      </c>
      <c r="E846" t="str">
        <f t="shared" si="400"/>
        <v>2025/08/26</v>
      </c>
      <c r="F846" t="str">
        <f t="shared" si="409"/>
        <v>August</v>
      </c>
      <c r="G846">
        <f t="shared" si="410"/>
        <v>2025</v>
      </c>
      <c r="H846" t="s">
        <v>201</v>
      </c>
      <c r="I846" s="4">
        <v>45900</v>
      </c>
      <c r="J846" s="8">
        <f t="shared" si="401"/>
        <v>5</v>
      </c>
      <c r="K846" s="8" t="str">
        <f t="shared" si="411"/>
        <v>OK</v>
      </c>
      <c r="L846" t="s">
        <v>3344</v>
      </c>
      <c r="M846" t="s">
        <v>209</v>
      </c>
      <c r="N846" t="str">
        <f t="shared" si="402"/>
        <v>Diya Patel</v>
      </c>
      <c r="O846" t="s">
        <v>40</v>
      </c>
      <c r="P846" t="str">
        <f t="shared" si="425"/>
        <v>Small Business</v>
      </c>
      <c r="Q846" t="s">
        <v>26</v>
      </c>
      <c r="R846" t="str">
        <f t="shared" si="398"/>
        <v>North</v>
      </c>
      <c r="S846" t="str">
        <f t="shared" si="412"/>
        <v>OK</v>
      </c>
      <c r="T846" t="s">
        <v>322</v>
      </c>
      <c r="U846" t="str">
        <f t="shared" si="403"/>
        <v>Haryana</v>
      </c>
      <c r="V846" t="s">
        <v>323</v>
      </c>
      <c r="W846" t="str">
        <f t="shared" si="404"/>
        <v>Gurugram</v>
      </c>
      <c r="X846" t="str">
        <f t="shared" si="405"/>
        <v>Technology</v>
      </c>
      <c r="Y846" t="s">
        <v>85</v>
      </c>
      <c r="Z846" t="s">
        <v>222</v>
      </c>
      <c r="AA846" t="str">
        <f t="shared" si="406"/>
        <v>Phones</v>
      </c>
      <c r="AB846" t="s">
        <v>3345</v>
      </c>
      <c r="AC846" t="s">
        <v>55</v>
      </c>
      <c r="AD846" t="str">
        <f t="shared" si="424"/>
        <v>First Class</v>
      </c>
      <c r="AE846" t="str">
        <f t="shared" si="413"/>
        <v>OK</v>
      </c>
      <c r="AF846">
        <v>1</v>
      </c>
      <c r="AG846">
        <v>3388.02</v>
      </c>
      <c r="AH846">
        <v>0.15</v>
      </c>
      <c r="AI846">
        <f t="shared" si="414"/>
        <v>0.15</v>
      </c>
      <c r="AJ846" t="str">
        <f t="shared" si="415"/>
        <v>OK</v>
      </c>
      <c r="AK846">
        <v>2879.82</v>
      </c>
      <c r="AL846">
        <v>1824.88</v>
      </c>
      <c r="AM846">
        <v>1054.94</v>
      </c>
      <c r="AN846" t="s">
        <v>33</v>
      </c>
      <c r="AO846" t="str">
        <f t="shared" si="407"/>
        <v>PAID</v>
      </c>
      <c r="AP846" t="str">
        <f t="shared" si="416"/>
        <v>OK</v>
      </c>
      <c r="AQ846" t="s">
        <v>34</v>
      </c>
      <c r="AR846" t="str">
        <f t="shared" si="408"/>
        <v>COMPLETED</v>
      </c>
      <c r="AS846" t="str">
        <f t="shared" si="417"/>
        <v>OK</v>
      </c>
      <c r="AT846">
        <f t="shared" si="418"/>
        <v>2879.817</v>
      </c>
      <c r="AU846">
        <f t="shared" si="419"/>
        <v>1054.9369999999999</v>
      </c>
      <c r="AV846" s="6">
        <f t="shared" si="420"/>
        <v>1.5186173288094349</v>
      </c>
      <c r="AW846" t="str">
        <f t="shared" si="421"/>
        <v>CLEAN</v>
      </c>
      <c r="AX846" s="10" t="str">
        <f t="shared" si="422"/>
        <v>MATCH</v>
      </c>
      <c r="AY846" t="str">
        <f t="shared" si="423"/>
        <v>MATCH</v>
      </c>
    </row>
    <row r="847" spans="1:51">
      <c r="A847" t="s">
        <v>3346</v>
      </c>
      <c r="B847">
        <f t="shared" si="399"/>
        <v>1</v>
      </c>
      <c r="C847" t="s">
        <v>3347</v>
      </c>
      <c r="D847" s="3">
        <v>45942</v>
      </c>
      <c r="E847" t="str">
        <f t="shared" si="400"/>
        <v>2025/10/12</v>
      </c>
      <c r="F847" t="str">
        <f t="shared" si="409"/>
        <v>October</v>
      </c>
      <c r="G847">
        <f t="shared" si="410"/>
        <v>2025</v>
      </c>
      <c r="H847" t="s">
        <v>308</v>
      </c>
      <c r="I847" s="4">
        <v>45945</v>
      </c>
      <c r="J847" s="8">
        <f t="shared" si="401"/>
        <v>3</v>
      </c>
      <c r="K847" s="8" t="str">
        <f t="shared" si="411"/>
        <v>OK</v>
      </c>
      <c r="L847" t="s">
        <v>3348</v>
      </c>
      <c r="M847" t="s">
        <v>365</v>
      </c>
      <c r="N847" t="str">
        <f t="shared" si="402"/>
        <v>Kabir Singh</v>
      </c>
      <c r="O847" t="s">
        <v>40</v>
      </c>
      <c r="P847" t="str">
        <f t="shared" si="425"/>
        <v>Small Business</v>
      </c>
      <c r="Q847" t="s">
        <v>26</v>
      </c>
      <c r="R847" t="str">
        <f t="shared" si="398"/>
        <v>North</v>
      </c>
      <c r="S847" t="str">
        <f t="shared" si="412"/>
        <v>OK</v>
      </c>
      <c r="T847" t="s">
        <v>322</v>
      </c>
      <c r="U847" t="str">
        <f t="shared" si="403"/>
        <v>Haryana</v>
      </c>
      <c r="V847" t="s">
        <v>323</v>
      </c>
      <c r="W847" t="str">
        <f t="shared" si="404"/>
        <v>Gurugram</v>
      </c>
      <c r="X847" t="str">
        <f t="shared" si="405"/>
        <v>Technology</v>
      </c>
      <c r="Y847" t="s">
        <v>85</v>
      </c>
      <c r="Z847" t="s">
        <v>381</v>
      </c>
      <c r="AA847" t="str">
        <f t="shared" si="406"/>
        <v>Machines</v>
      </c>
      <c r="AB847" t="s">
        <v>3349</v>
      </c>
      <c r="AC847" t="s">
        <v>66</v>
      </c>
      <c r="AD847" t="str">
        <f t="shared" si="424"/>
        <v>Standard Class</v>
      </c>
      <c r="AE847" t="str">
        <f t="shared" si="413"/>
        <v>OK</v>
      </c>
      <c r="AF847">
        <v>9</v>
      </c>
      <c r="AG847">
        <v>2598.92</v>
      </c>
      <c r="AH847">
        <v>0.2</v>
      </c>
      <c r="AI847">
        <f t="shared" si="414"/>
        <v>0.2</v>
      </c>
      <c r="AJ847" t="str">
        <f t="shared" si="415"/>
        <v>OK</v>
      </c>
      <c r="AK847">
        <v>18712.22</v>
      </c>
      <c r="AL847">
        <v>11852.22</v>
      </c>
      <c r="AM847">
        <v>6860</v>
      </c>
      <c r="AN847" t="s">
        <v>136</v>
      </c>
      <c r="AO847" t="str">
        <f t="shared" si="407"/>
        <v>PENDING</v>
      </c>
      <c r="AP847" t="str">
        <f t="shared" si="416"/>
        <v>OK</v>
      </c>
      <c r="AQ847" t="s">
        <v>77</v>
      </c>
      <c r="AR847" t="str">
        <f t="shared" si="408"/>
        <v>CANCELLED</v>
      </c>
      <c r="AS847" t="str">
        <f t="shared" si="417"/>
        <v>EXCLUDE_FROM_SALES</v>
      </c>
      <c r="AT847">
        <f t="shared" si="418"/>
        <v>18712.223999999998</v>
      </c>
      <c r="AU847">
        <f t="shared" si="419"/>
        <v>6860.003999999999</v>
      </c>
      <c r="AV847" s="6">
        <f t="shared" si="420"/>
        <v>0.18987427683636096</v>
      </c>
      <c r="AW847" t="str">
        <f t="shared" si="421"/>
        <v>CLEAN</v>
      </c>
      <c r="AX847" s="10" t="str">
        <f t="shared" si="422"/>
        <v>MATCH</v>
      </c>
      <c r="AY847" t="str">
        <f t="shared" si="423"/>
        <v>MATCH</v>
      </c>
    </row>
    <row r="848" spans="1:51">
      <c r="A848" t="s">
        <v>3354</v>
      </c>
      <c r="B848">
        <f t="shared" si="399"/>
        <v>2</v>
      </c>
      <c r="C848" t="s">
        <v>1723</v>
      </c>
      <c r="D848" s="2">
        <v>45878</v>
      </c>
      <c r="E848" t="str">
        <f t="shared" si="400"/>
        <v>2025/08/09</v>
      </c>
      <c r="F848" t="str">
        <f t="shared" si="409"/>
        <v>August</v>
      </c>
      <c r="G848">
        <f t="shared" si="410"/>
        <v>2025</v>
      </c>
      <c r="H848" t="s">
        <v>1724</v>
      </c>
      <c r="I848" s="4">
        <v>45909</v>
      </c>
      <c r="J848" s="8">
        <f t="shared" si="401"/>
        <v>31</v>
      </c>
      <c r="K848" s="8" t="str">
        <f t="shared" si="411"/>
        <v>OK</v>
      </c>
      <c r="L848" t="s">
        <v>184</v>
      </c>
      <c r="M848" t="s">
        <v>365</v>
      </c>
      <c r="N848" t="str">
        <f t="shared" si="402"/>
        <v>Kabir Singh</v>
      </c>
      <c r="O848" t="s">
        <v>107</v>
      </c>
      <c r="P848" t="str">
        <f t="shared" si="425"/>
        <v>Corporate</v>
      </c>
      <c r="Q848" t="s">
        <v>72</v>
      </c>
      <c r="R848" t="str">
        <f t="shared" si="398"/>
        <v>West</v>
      </c>
      <c r="S848" t="str">
        <f t="shared" si="412"/>
        <v>OK</v>
      </c>
      <c r="T848" t="s">
        <v>234</v>
      </c>
      <c r="U848" t="str">
        <f t="shared" si="403"/>
        <v>Gujarat</v>
      </c>
      <c r="V848" t="s">
        <v>235</v>
      </c>
      <c r="W848" t="str">
        <f t="shared" si="404"/>
        <v>Ahmedabad</v>
      </c>
      <c r="X848" t="str">
        <f t="shared" si="405"/>
        <v>Office Supplies</v>
      </c>
      <c r="Y848" t="s">
        <v>29</v>
      </c>
      <c r="Z848" t="s">
        <v>53</v>
      </c>
      <c r="AA848" t="str">
        <f t="shared" si="406"/>
        <v>Art</v>
      </c>
      <c r="AB848" t="s">
        <v>3355</v>
      </c>
      <c r="AC848" t="s">
        <v>47</v>
      </c>
      <c r="AD848" t="str">
        <f t="shared" si="424"/>
        <v>Same Day</v>
      </c>
      <c r="AE848" t="str">
        <f t="shared" si="413"/>
        <v>OK</v>
      </c>
      <c r="AF848">
        <v>2</v>
      </c>
      <c r="AG848">
        <v>2372.41</v>
      </c>
      <c r="AH848">
        <v>0.2</v>
      </c>
      <c r="AI848">
        <f t="shared" si="414"/>
        <v>0.2</v>
      </c>
      <c r="AJ848" t="str">
        <f t="shared" si="415"/>
        <v>OK</v>
      </c>
      <c r="AK848">
        <v>3795.86</v>
      </c>
      <c r="AL848">
        <v>2264.92</v>
      </c>
      <c r="AM848">
        <v>1530.94</v>
      </c>
      <c r="AN848" t="s">
        <v>33</v>
      </c>
      <c r="AO848" t="str">
        <f t="shared" si="407"/>
        <v>PAID</v>
      </c>
      <c r="AP848" t="str">
        <f t="shared" si="416"/>
        <v>OK</v>
      </c>
      <c r="AQ848" t="s">
        <v>34</v>
      </c>
      <c r="AR848" t="str">
        <f t="shared" si="408"/>
        <v>COMPLETED</v>
      </c>
      <c r="AS848" t="str">
        <f t="shared" si="417"/>
        <v>OK</v>
      </c>
      <c r="AT848">
        <f t="shared" si="418"/>
        <v>3795.8559999999998</v>
      </c>
      <c r="AU848">
        <f t="shared" si="419"/>
        <v>1530.9359999999997</v>
      </c>
      <c r="AV848" s="6">
        <f t="shared" si="420"/>
        <v>0.16058301474028525</v>
      </c>
      <c r="AW848" t="str">
        <f t="shared" si="421"/>
        <v>CLEAN</v>
      </c>
      <c r="AX848" s="10" t="str">
        <f t="shared" si="422"/>
        <v>MATCH</v>
      </c>
      <c r="AY848" t="str">
        <f t="shared" si="423"/>
        <v>MATCH</v>
      </c>
    </row>
    <row r="849" spans="1:51">
      <c r="A849" t="s">
        <v>3354</v>
      </c>
      <c r="B849">
        <f t="shared" si="399"/>
        <v>2</v>
      </c>
      <c r="C849" t="s">
        <v>1723</v>
      </c>
      <c r="D849" s="2">
        <v>45878</v>
      </c>
      <c r="E849" t="str">
        <f t="shared" si="400"/>
        <v>2025/08/09</v>
      </c>
      <c r="F849" t="str">
        <f t="shared" si="409"/>
        <v>August</v>
      </c>
      <c r="G849">
        <f t="shared" si="410"/>
        <v>2025</v>
      </c>
      <c r="H849" t="s">
        <v>1724</v>
      </c>
      <c r="I849" s="4">
        <v>45909</v>
      </c>
      <c r="J849" s="8">
        <f t="shared" si="401"/>
        <v>31</v>
      </c>
      <c r="K849" s="8" t="str">
        <f t="shared" si="411"/>
        <v>OK</v>
      </c>
      <c r="L849" t="s">
        <v>184</v>
      </c>
      <c r="M849" t="s">
        <v>365</v>
      </c>
      <c r="N849" t="str">
        <f t="shared" si="402"/>
        <v>Kabir Singh</v>
      </c>
      <c r="O849" t="s">
        <v>107</v>
      </c>
      <c r="P849" t="str">
        <f t="shared" si="425"/>
        <v>Corporate</v>
      </c>
      <c r="Q849" t="s">
        <v>72</v>
      </c>
      <c r="R849" t="str">
        <f t="shared" si="398"/>
        <v>West</v>
      </c>
      <c r="S849" t="str">
        <f t="shared" si="412"/>
        <v>OK</v>
      </c>
      <c r="T849" t="s">
        <v>234</v>
      </c>
      <c r="U849" t="str">
        <f t="shared" si="403"/>
        <v>Gujarat</v>
      </c>
      <c r="V849" t="s">
        <v>235</v>
      </c>
      <c r="W849" t="str">
        <f t="shared" si="404"/>
        <v>Ahmedabad</v>
      </c>
      <c r="X849" t="str">
        <f t="shared" si="405"/>
        <v>Office Supplies</v>
      </c>
      <c r="Y849" t="s">
        <v>29</v>
      </c>
      <c r="Z849" t="s">
        <v>53</v>
      </c>
      <c r="AA849" t="str">
        <f t="shared" si="406"/>
        <v>Art</v>
      </c>
      <c r="AB849" t="s">
        <v>3355</v>
      </c>
      <c r="AC849" t="s">
        <v>47</v>
      </c>
      <c r="AD849" t="str">
        <f t="shared" si="424"/>
        <v>Same Day</v>
      </c>
      <c r="AE849" t="str">
        <f t="shared" si="413"/>
        <v>OK</v>
      </c>
      <c r="AF849">
        <v>2</v>
      </c>
      <c r="AG849">
        <v>2372.41</v>
      </c>
      <c r="AH849">
        <v>0.2</v>
      </c>
      <c r="AI849">
        <f t="shared" si="414"/>
        <v>0.2</v>
      </c>
      <c r="AJ849" t="str">
        <f t="shared" si="415"/>
        <v>OK</v>
      </c>
      <c r="AK849">
        <v>3795.86</v>
      </c>
      <c r="AL849">
        <v>2264.92</v>
      </c>
      <c r="AM849">
        <v>1530.94</v>
      </c>
      <c r="AN849" t="s">
        <v>33</v>
      </c>
      <c r="AO849" t="str">
        <f t="shared" si="407"/>
        <v>PAID</v>
      </c>
      <c r="AP849" t="str">
        <f t="shared" si="416"/>
        <v>OK</v>
      </c>
      <c r="AQ849" t="s">
        <v>34</v>
      </c>
      <c r="AR849" t="str">
        <f t="shared" si="408"/>
        <v>COMPLETED</v>
      </c>
      <c r="AS849" t="str">
        <f t="shared" si="417"/>
        <v>OK</v>
      </c>
      <c r="AT849">
        <f t="shared" si="418"/>
        <v>3795.8559999999998</v>
      </c>
      <c r="AU849">
        <f t="shared" si="419"/>
        <v>1530.9359999999997</v>
      </c>
      <c r="AV849" s="6">
        <f t="shared" si="420"/>
        <v>0.89235208079547801</v>
      </c>
      <c r="AW849" t="str">
        <f t="shared" si="421"/>
        <v>CLEAN</v>
      </c>
      <c r="AX849" s="10" t="str">
        <f t="shared" si="422"/>
        <v>MATCH</v>
      </c>
      <c r="AY849" t="str">
        <f t="shared" si="423"/>
        <v>MATCH</v>
      </c>
    </row>
    <row r="850" spans="1:51">
      <c r="A850" t="s">
        <v>3360</v>
      </c>
      <c r="B850">
        <f t="shared" si="399"/>
        <v>1</v>
      </c>
      <c r="C850" t="s">
        <v>253</v>
      </c>
      <c r="D850" s="3">
        <v>45827</v>
      </c>
      <c r="E850" t="str">
        <f t="shared" si="400"/>
        <v>2025/06/19</v>
      </c>
      <c r="F850" t="str">
        <f t="shared" si="409"/>
        <v>June</v>
      </c>
      <c r="G850">
        <f t="shared" si="410"/>
        <v>2025</v>
      </c>
      <c r="H850" t="s">
        <v>3361</v>
      </c>
      <c r="I850" s="4">
        <v>45831</v>
      </c>
      <c r="J850" s="8">
        <f t="shared" si="401"/>
        <v>4</v>
      </c>
      <c r="K850" s="8" t="str">
        <f t="shared" si="411"/>
        <v>OK</v>
      </c>
      <c r="L850" t="s">
        <v>3362</v>
      </c>
      <c r="M850" t="s">
        <v>167</v>
      </c>
      <c r="N850" t="str">
        <f t="shared" si="402"/>
        <v>Sneha Kapoor</v>
      </c>
      <c r="O850" t="s">
        <v>25</v>
      </c>
      <c r="P850" t="str">
        <f t="shared" si="425"/>
        <v>Consumer</v>
      </c>
      <c r="Q850" t="s">
        <v>61</v>
      </c>
      <c r="R850" t="str">
        <f t="shared" si="398"/>
        <v>South</v>
      </c>
      <c r="S850" t="str">
        <f t="shared" si="412"/>
        <v>OK</v>
      </c>
      <c r="T850" t="s">
        <v>228</v>
      </c>
      <c r="U850" t="str">
        <f t="shared" si="403"/>
        <v>Karnataka</v>
      </c>
      <c r="V850" t="s">
        <v>229</v>
      </c>
      <c r="W850" t="str">
        <f t="shared" si="404"/>
        <v>Bengaluru</v>
      </c>
      <c r="X850" t="str">
        <f t="shared" si="405"/>
        <v>Technology</v>
      </c>
      <c r="Y850" t="s">
        <v>85</v>
      </c>
      <c r="Z850" t="s">
        <v>93</v>
      </c>
      <c r="AA850" t="str">
        <f t="shared" si="406"/>
        <v>Copiers</v>
      </c>
      <c r="AB850" t="s">
        <v>3363</v>
      </c>
      <c r="AC850" t="s">
        <v>55</v>
      </c>
      <c r="AD850" t="str">
        <f t="shared" si="424"/>
        <v>First Class</v>
      </c>
      <c r="AE850" t="str">
        <f t="shared" si="413"/>
        <v>OK</v>
      </c>
      <c r="AF850">
        <v>5</v>
      </c>
      <c r="AG850">
        <v>2729.95</v>
      </c>
      <c r="AH850">
        <v>0</v>
      </c>
      <c r="AI850">
        <f t="shared" si="414"/>
        <v>0</v>
      </c>
      <c r="AJ850" t="str">
        <f t="shared" si="415"/>
        <v>OK</v>
      </c>
      <c r="AK850">
        <v>13649.75</v>
      </c>
      <c r="AL850">
        <v>10288.030000000001</v>
      </c>
      <c r="AM850">
        <v>3361.72</v>
      </c>
      <c r="AN850" t="s">
        <v>33</v>
      </c>
      <c r="AO850" t="str">
        <f t="shared" si="407"/>
        <v>PAID</v>
      </c>
      <c r="AP850" t="str">
        <f t="shared" si="416"/>
        <v>OK</v>
      </c>
      <c r="AQ850" t="s">
        <v>34</v>
      </c>
      <c r="AR850" t="str">
        <f t="shared" si="408"/>
        <v>COMPLETED</v>
      </c>
      <c r="AS850" t="str">
        <f t="shared" si="417"/>
        <v>OK</v>
      </c>
      <c r="AT850">
        <f t="shared" si="418"/>
        <v>13649.75</v>
      </c>
      <c r="AU850">
        <f t="shared" si="419"/>
        <v>3361.7199999999993</v>
      </c>
      <c r="AV850" s="6">
        <f t="shared" si="420"/>
        <v>6.9434898075056303E-2</v>
      </c>
      <c r="AW850" t="str">
        <f t="shared" si="421"/>
        <v>CLEAN</v>
      </c>
      <c r="AX850" s="10" t="str">
        <f t="shared" si="422"/>
        <v>MATCH</v>
      </c>
      <c r="AY850" t="str">
        <f t="shared" si="423"/>
        <v>MATCH</v>
      </c>
    </row>
    <row r="851" spans="1:51">
      <c r="A851" t="s">
        <v>3368</v>
      </c>
      <c r="B851">
        <f t="shared" si="399"/>
        <v>1</v>
      </c>
      <c r="C851" t="s">
        <v>886</v>
      </c>
      <c r="D851" s="3">
        <v>45818</v>
      </c>
      <c r="E851" t="str">
        <f t="shared" si="400"/>
        <v>2025/06/10</v>
      </c>
      <c r="F851" t="str">
        <f t="shared" si="409"/>
        <v>June</v>
      </c>
      <c r="G851">
        <f t="shared" si="410"/>
        <v>2025</v>
      </c>
      <c r="H851" t="s">
        <v>3369</v>
      </c>
      <c r="I851" s="4">
        <v>45943</v>
      </c>
      <c r="J851" s="8">
        <f t="shared" si="401"/>
        <v>125</v>
      </c>
      <c r="K851" s="8" t="str">
        <f t="shared" si="411"/>
        <v>OK</v>
      </c>
      <c r="L851" t="s">
        <v>3370</v>
      </c>
      <c r="M851" t="s">
        <v>365</v>
      </c>
      <c r="N851" t="str">
        <f t="shared" si="402"/>
        <v>Kabir Singh</v>
      </c>
      <c r="O851" t="s">
        <v>114</v>
      </c>
      <c r="P851" t="str">
        <f t="shared" si="425"/>
        <v>Home Office</v>
      </c>
      <c r="Q851" t="s">
        <v>41</v>
      </c>
      <c r="R851" t="str">
        <f t="shared" si="398"/>
        <v>East</v>
      </c>
      <c r="S851" t="str">
        <f t="shared" si="412"/>
        <v>OK</v>
      </c>
      <c r="T851" t="s">
        <v>310</v>
      </c>
      <c r="U851" t="str">
        <f t="shared" si="403"/>
        <v>Jharkhand</v>
      </c>
      <c r="V851" t="s">
        <v>311</v>
      </c>
      <c r="W851" t="str">
        <f t="shared" si="404"/>
        <v>Ranchi</v>
      </c>
      <c r="X851" t="str">
        <f t="shared" si="405"/>
        <v>Technology</v>
      </c>
      <c r="Y851" t="s">
        <v>85</v>
      </c>
      <c r="Z851" t="s">
        <v>86</v>
      </c>
      <c r="AA851" t="str">
        <f t="shared" si="406"/>
        <v>Accessories</v>
      </c>
      <c r="AB851" t="s">
        <v>3371</v>
      </c>
      <c r="AC851" t="s">
        <v>66</v>
      </c>
      <c r="AD851" t="str">
        <f t="shared" si="424"/>
        <v>Standard Class</v>
      </c>
      <c r="AE851" t="str">
        <f t="shared" si="413"/>
        <v>OK</v>
      </c>
      <c r="AF851">
        <v>6</v>
      </c>
      <c r="AG851">
        <v>2391.9299999999998</v>
      </c>
      <c r="AH851">
        <v>0.05</v>
      </c>
      <c r="AI851">
        <f t="shared" si="414"/>
        <v>0.05</v>
      </c>
      <c r="AJ851" t="str">
        <f t="shared" si="415"/>
        <v>OK</v>
      </c>
      <c r="AK851">
        <v>13634</v>
      </c>
      <c r="AL851">
        <v>9589.81</v>
      </c>
      <c r="AM851">
        <v>4044.19</v>
      </c>
      <c r="AN851" t="s">
        <v>199</v>
      </c>
      <c r="AO851" t="str">
        <f t="shared" si="407"/>
        <v>FAILED</v>
      </c>
      <c r="AP851" t="str">
        <f t="shared" si="416"/>
        <v>EXCLUDE_FROM_SALES</v>
      </c>
      <c r="AQ851" t="s">
        <v>124</v>
      </c>
      <c r="AR851" t="str">
        <f t="shared" si="408"/>
        <v>RETURNED</v>
      </c>
      <c r="AS851" t="str">
        <f t="shared" si="417"/>
        <v>RETURNED_ORDER</v>
      </c>
      <c r="AT851">
        <f t="shared" si="418"/>
        <v>13634.000999999998</v>
      </c>
      <c r="AU851">
        <f t="shared" si="419"/>
        <v>4044.1909999999989</v>
      </c>
      <c r="AV851" s="6">
        <f t="shared" si="420"/>
        <v>0.23803020111264481</v>
      </c>
      <c r="AW851" t="str">
        <f t="shared" si="421"/>
        <v>CLEAN</v>
      </c>
      <c r="AX851" s="10" t="str">
        <f t="shared" si="422"/>
        <v>MATCH</v>
      </c>
      <c r="AY851" t="str">
        <f t="shared" si="423"/>
        <v>MATCH</v>
      </c>
    </row>
    <row r="852" spans="1:51">
      <c r="A852" t="s">
        <v>3376</v>
      </c>
      <c r="B852">
        <f t="shared" si="399"/>
        <v>1</v>
      </c>
      <c r="C852" t="s">
        <v>3377</v>
      </c>
      <c r="D852" s="3">
        <v>45787</v>
      </c>
      <c r="E852" t="str">
        <f t="shared" si="400"/>
        <v>2025/05/10</v>
      </c>
      <c r="F852" t="str">
        <f t="shared" si="409"/>
        <v>May</v>
      </c>
      <c r="G852">
        <f t="shared" si="410"/>
        <v>2025</v>
      </c>
      <c r="H852" t="s">
        <v>138</v>
      </c>
      <c r="I852" s="4">
        <v>45942</v>
      </c>
      <c r="J852" s="8">
        <f t="shared" si="401"/>
        <v>155</v>
      </c>
      <c r="K852" s="8" t="str">
        <f t="shared" si="411"/>
        <v>OK</v>
      </c>
      <c r="L852" t="s">
        <v>3378</v>
      </c>
      <c r="M852" t="s">
        <v>141</v>
      </c>
      <c r="N852" t="str">
        <f t="shared" si="402"/>
        <v>Priya Menon</v>
      </c>
      <c r="O852" t="s">
        <v>107</v>
      </c>
      <c r="P852" t="str">
        <f t="shared" si="425"/>
        <v>Corporate</v>
      </c>
      <c r="Q852" t="s">
        <v>61</v>
      </c>
      <c r="R852" t="str">
        <f t="shared" si="398"/>
        <v>South</v>
      </c>
      <c r="S852" t="str">
        <f t="shared" si="412"/>
        <v>OK</v>
      </c>
      <c r="T852" t="s">
        <v>228</v>
      </c>
      <c r="U852" t="str">
        <f t="shared" si="403"/>
        <v>Karnataka</v>
      </c>
      <c r="V852" t="s">
        <v>229</v>
      </c>
      <c r="W852" t="str">
        <f t="shared" si="404"/>
        <v>Bengaluru</v>
      </c>
      <c r="X852" t="str">
        <f t="shared" si="405"/>
        <v>Furniture</v>
      </c>
      <c r="Y852" t="s">
        <v>44</v>
      </c>
      <c r="Z852" t="s">
        <v>45</v>
      </c>
      <c r="AA852" t="str">
        <f t="shared" si="406"/>
        <v>Tables</v>
      </c>
      <c r="AB852" t="s">
        <v>3379</v>
      </c>
      <c r="AC852" t="s">
        <v>32</v>
      </c>
      <c r="AD852" t="str">
        <f t="shared" si="424"/>
        <v>Second Class</v>
      </c>
      <c r="AE852" t="str">
        <f t="shared" si="413"/>
        <v>OK</v>
      </c>
      <c r="AF852">
        <v>7</v>
      </c>
      <c r="AG852">
        <v>2134.73</v>
      </c>
      <c r="AH852">
        <v>0</v>
      </c>
      <c r="AI852">
        <f t="shared" si="414"/>
        <v>0</v>
      </c>
      <c r="AJ852" t="str">
        <f t="shared" si="415"/>
        <v>OK</v>
      </c>
      <c r="AK852">
        <v>14943.11</v>
      </c>
      <c r="AL852">
        <v>8521.5</v>
      </c>
      <c r="AM852">
        <v>6421.61</v>
      </c>
      <c r="AN852" t="s">
        <v>33</v>
      </c>
      <c r="AO852" t="str">
        <f t="shared" si="407"/>
        <v>PAID</v>
      </c>
      <c r="AP852" t="str">
        <f t="shared" si="416"/>
        <v>OK</v>
      </c>
      <c r="AQ852" t="s">
        <v>34</v>
      </c>
      <c r="AR852" t="str">
        <f t="shared" si="408"/>
        <v>COMPLETED</v>
      </c>
      <c r="AS852" t="str">
        <f t="shared" si="417"/>
        <v>OK</v>
      </c>
      <c r="AT852">
        <f t="shared" si="418"/>
        <v>14943.11</v>
      </c>
      <c r="AU852">
        <f t="shared" si="419"/>
        <v>6421.6100000000006</v>
      </c>
      <c r="AV852" s="6">
        <f t="shared" si="420"/>
        <v>0.20499748713621194</v>
      </c>
      <c r="AW852" t="str">
        <f t="shared" si="421"/>
        <v>CLEAN</v>
      </c>
      <c r="AX852" s="10" t="str">
        <f t="shared" si="422"/>
        <v>MATCH</v>
      </c>
      <c r="AY852" t="str">
        <f t="shared" si="423"/>
        <v>MATCH</v>
      </c>
    </row>
    <row r="853" spans="1:51">
      <c r="A853" t="s">
        <v>3392</v>
      </c>
      <c r="B853">
        <f t="shared" si="399"/>
        <v>2</v>
      </c>
      <c r="C853" t="s">
        <v>3393</v>
      </c>
      <c r="D853" s="3">
        <v>45794</v>
      </c>
      <c r="E853" t="str">
        <f t="shared" si="400"/>
        <v>2025/05/17</v>
      </c>
      <c r="F853" t="str">
        <f t="shared" si="409"/>
        <v>May</v>
      </c>
      <c r="G853">
        <f t="shared" si="410"/>
        <v>2025</v>
      </c>
      <c r="H853" t="s">
        <v>3394</v>
      </c>
      <c r="I853" s="4">
        <v>45802</v>
      </c>
      <c r="J853" s="8">
        <f t="shared" si="401"/>
        <v>8</v>
      </c>
      <c r="K853" s="8" t="str">
        <f t="shared" si="411"/>
        <v>OK</v>
      </c>
      <c r="L853" t="s">
        <v>3395</v>
      </c>
      <c r="M853" t="s">
        <v>71</v>
      </c>
      <c r="N853" t="str">
        <f t="shared" si="402"/>
        <v>Ananya Rao</v>
      </c>
      <c r="O853" t="s">
        <v>107</v>
      </c>
      <c r="P853" t="str">
        <f t="shared" si="425"/>
        <v>Corporate</v>
      </c>
      <c r="Q853" t="s">
        <v>61</v>
      </c>
      <c r="R853" t="str">
        <f t="shared" si="398"/>
        <v>South</v>
      </c>
      <c r="S853" t="str">
        <f t="shared" si="412"/>
        <v>OK</v>
      </c>
      <c r="T853" t="s">
        <v>338</v>
      </c>
      <c r="U853" t="str">
        <f t="shared" si="403"/>
        <v>Tamil Nadu</v>
      </c>
      <c r="V853" t="s">
        <v>339</v>
      </c>
      <c r="W853" t="str">
        <f t="shared" si="404"/>
        <v>Chennai</v>
      </c>
      <c r="X853" t="str">
        <f t="shared" si="405"/>
        <v>Technology</v>
      </c>
      <c r="Y853" t="s">
        <v>85</v>
      </c>
      <c r="Z853" t="s">
        <v>381</v>
      </c>
      <c r="AA853" t="str">
        <f t="shared" si="406"/>
        <v>Machines</v>
      </c>
      <c r="AB853" t="s">
        <v>3396</v>
      </c>
      <c r="AC853" t="s">
        <v>47</v>
      </c>
      <c r="AD853" t="str">
        <f t="shared" si="424"/>
        <v>Same Day</v>
      </c>
      <c r="AE853" t="str">
        <f t="shared" si="413"/>
        <v>OK</v>
      </c>
      <c r="AF853">
        <v>6</v>
      </c>
      <c r="AG853">
        <v>1810.63</v>
      </c>
      <c r="AH853">
        <v>0.15</v>
      </c>
      <c r="AI853">
        <f t="shared" si="414"/>
        <v>0.15</v>
      </c>
      <c r="AJ853" t="str">
        <f t="shared" si="415"/>
        <v>OK</v>
      </c>
      <c r="AK853">
        <v>9234.2099999999991</v>
      </c>
      <c r="AL853">
        <v>5516.52</v>
      </c>
      <c r="AM853">
        <v>3717.69</v>
      </c>
      <c r="AN853" t="s">
        <v>33</v>
      </c>
      <c r="AO853" t="str">
        <f t="shared" si="407"/>
        <v>PAID</v>
      </c>
      <c r="AP853" t="str">
        <f t="shared" si="416"/>
        <v>OK</v>
      </c>
      <c r="AQ853" t="s">
        <v>34</v>
      </c>
      <c r="AR853" t="str">
        <f t="shared" si="408"/>
        <v>COMPLETED</v>
      </c>
      <c r="AS853" t="str">
        <f t="shared" si="417"/>
        <v>OK</v>
      </c>
      <c r="AT853">
        <f t="shared" si="418"/>
        <v>9234.2129999999997</v>
      </c>
      <c r="AU853">
        <f t="shared" si="419"/>
        <v>3717.6929999999993</v>
      </c>
      <c r="AV853" s="6">
        <f t="shared" si="420"/>
        <v>0.99455470650287148</v>
      </c>
      <c r="AW853" t="str">
        <f t="shared" si="421"/>
        <v>CLEAN</v>
      </c>
      <c r="AX853" s="10" t="str">
        <f t="shared" si="422"/>
        <v>MATCH</v>
      </c>
      <c r="AY853" t="str">
        <f t="shared" si="423"/>
        <v>MATCH</v>
      </c>
    </row>
    <row r="854" spans="1:51">
      <c r="A854" t="s">
        <v>3392</v>
      </c>
      <c r="B854">
        <f t="shared" si="399"/>
        <v>2</v>
      </c>
      <c r="C854" t="s">
        <v>3393</v>
      </c>
      <c r="D854" s="3">
        <v>45794</v>
      </c>
      <c r="E854" t="str">
        <f t="shared" si="400"/>
        <v>2025/05/17</v>
      </c>
      <c r="F854" t="str">
        <f t="shared" si="409"/>
        <v>May</v>
      </c>
      <c r="G854">
        <f t="shared" si="410"/>
        <v>2025</v>
      </c>
      <c r="H854" t="s">
        <v>3394</v>
      </c>
      <c r="I854" s="4">
        <v>45802</v>
      </c>
      <c r="J854" s="8">
        <f t="shared" si="401"/>
        <v>8</v>
      </c>
      <c r="K854" s="8" t="str">
        <f t="shared" si="411"/>
        <v>OK</v>
      </c>
      <c r="L854" t="s">
        <v>3395</v>
      </c>
      <c r="M854" t="s">
        <v>71</v>
      </c>
      <c r="N854" t="str">
        <f t="shared" si="402"/>
        <v>Ananya Rao</v>
      </c>
      <c r="O854" t="s">
        <v>107</v>
      </c>
      <c r="P854" t="str">
        <f t="shared" si="425"/>
        <v>Corporate</v>
      </c>
      <c r="Q854" t="s">
        <v>61</v>
      </c>
      <c r="R854" t="str">
        <f t="shared" si="398"/>
        <v>South</v>
      </c>
      <c r="S854" t="str">
        <f t="shared" si="412"/>
        <v>OK</v>
      </c>
      <c r="T854" t="s">
        <v>338</v>
      </c>
      <c r="U854" t="str">
        <f t="shared" si="403"/>
        <v>Tamil Nadu</v>
      </c>
      <c r="V854" t="s">
        <v>339</v>
      </c>
      <c r="W854" t="str">
        <f t="shared" si="404"/>
        <v>Chennai</v>
      </c>
      <c r="X854" t="str">
        <f t="shared" si="405"/>
        <v>Technology</v>
      </c>
      <c r="Y854" t="s">
        <v>85</v>
      </c>
      <c r="Z854" t="s">
        <v>381</v>
      </c>
      <c r="AA854" t="str">
        <f t="shared" si="406"/>
        <v>Machines</v>
      </c>
      <c r="AB854" t="s">
        <v>3396</v>
      </c>
      <c r="AC854" t="s">
        <v>47</v>
      </c>
      <c r="AD854" t="str">
        <f t="shared" si="424"/>
        <v>Same Day</v>
      </c>
      <c r="AE854" t="str">
        <f t="shared" si="413"/>
        <v>OK</v>
      </c>
      <c r="AF854">
        <v>6</v>
      </c>
      <c r="AG854">
        <v>1810.63</v>
      </c>
      <c r="AH854">
        <v>0.15</v>
      </c>
      <c r="AI854">
        <f t="shared" si="414"/>
        <v>0.15</v>
      </c>
      <c r="AJ854" t="str">
        <f t="shared" si="415"/>
        <v>OK</v>
      </c>
      <c r="AK854">
        <v>9234.2099999999991</v>
      </c>
      <c r="AL854">
        <v>5516.52</v>
      </c>
      <c r="AM854">
        <v>3717.69</v>
      </c>
      <c r="AN854" t="s">
        <v>33</v>
      </c>
      <c r="AO854" t="str">
        <f t="shared" si="407"/>
        <v>PAID</v>
      </c>
      <c r="AP854" t="str">
        <f t="shared" si="416"/>
        <v>OK</v>
      </c>
      <c r="AQ854" t="s">
        <v>34</v>
      </c>
      <c r="AR854" t="str">
        <f t="shared" si="408"/>
        <v>COMPLETED</v>
      </c>
      <c r="AS854" t="str">
        <f t="shared" si="417"/>
        <v>OK</v>
      </c>
      <c r="AT854">
        <f t="shared" si="418"/>
        <v>9234.2129999999997</v>
      </c>
      <c r="AU854">
        <f t="shared" si="419"/>
        <v>3717.6929999999993</v>
      </c>
      <c r="AV854" s="6">
        <f t="shared" si="420"/>
        <v>3.6931246875072064E-2</v>
      </c>
      <c r="AW854" t="str">
        <f t="shared" si="421"/>
        <v>CLEAN</v>
      </c>
      <c r="AX854" s="10" t="str">
        <f t="shared" si="422"/>
        <v>MATCH</v>
      </c>
      <c r="AY854" t="str">
        <f t="shared" si="423"/>
        <v>MATCH</v>
      </c>
    </row>
    <row r="855" spans="1:51">
      <c r="A855" t="s">
        <v>3397</v>
      </c>
      <c r="B855">
        <f t="shared" si="399"/>
        <v>1</v>
      </c>
      <c r="C855" t="s">
        <v>3398</v>
      </c>
      <c r="D855" s="3">
        <v>45827</v>
      </c>
      <c r="E855" t="str">
        <f t="shared" si="400"/>
        <v>2025/06/19</v>
      </c>
      <c r="F855" t="str">
        <f t="shared" si="409"/>
        <v>June</v>
      </c>
      <c r="G855">
        <f t="shared" si="410"/>
        <v>2025</v>
      </c>
      <c r="H855" t="s">
        <v>3309</v>
      </c>
      <c r="I855" s="4">
        <v>45832</v>
      </c>
      <c r="J855" s="8">
        <f t="shared" si="401"/>
        <v>5</v>
      </c>
      <c r="K855" s="8" t="str">
        <f t="shared" si="411"/>
        <v>OK</v>
      </c>
      <c r="L855" t="s">
        <v>3399</v>
      </c>
      <c r="M855" t="s">
        <v>60</v>
      </c>
      <c r="N855" t="str">
        <f t="shared" si="402"/>
        <v>Arjun Bose</v>
      </c>
      <c r="O855" t="s">
        <v>25</v>
      </c>
      <c r="P855" t="str">
        <f t="shared" si="425"/>
        <v>Consumer</v>
      </c>
      <c r="Q855" t="s">
        <v>41</v>
      </c>
      <c r="R855" t="str">
        <f t="shared" si="398"/>
        <v>East</v>
      </c>
      <c r="S855" t="str">
        <f t="shared" si="412"/>
        <v>OK</v>
      </c>
      <c r="T855" t="s">
        <v>120</v>
      </c>
      <c r="U855" t="str">
        <f t="shared" si="403"/>
        <v>West Bengal</v>
      </c>
      <c r="V855" t="s">
        <v>121</v>
      </c>
      <c r="W855" t="str">
        <f t="shared" si="404"/>
        <v>Kolkata</v>
      </c>
      <c r="X855" t="str">
        <f t="shared" si="405"/>
        <v>Office Supplies</v>
      </c>
      <c r="Y855" t="s">
        <v>29</v>
      </c>
      <c r="Z855" t="s">
        <v>53</v>
      </c>
      <c r="AA855" t="str">
        <f t="shared" si="406"/>
        <v>Art</v>
      </c>
      <c r="AB855" t="s">
        <v>3400</v>
      </c>
      <c r="AC855" t="s">
        <v>32</v>
      </c>
      <c r="AD855" t="str">
        <f t="shared" si="424"/>
        <v>Second Class</v>
      </c>
      <c r="AE855" t="str">
        <f t="shared" si="413"/>
        <v>OK</v>
      </c>
      <c r="AF855">
        <v>4</v>
      </c>
      <c r="AG855">
        <v>782.01</v>
      </c>
      <c r="AH855">
        <v>0.15</v>
      </c>
      <c r="AI855">
        <f t="shared" si="414"/>
        <v>0.15</v>
      </c>
      <c r="AJ855" t="str">
        <f t="shared" si="415"/>
        <v>OK</v>
      </c>
      <c r="AK855">
        <v>2658.83</v>
      </c>
      <c r="AL855">
        <v>2226.9699999999998</v>
      </c>
      <c r="AM855">
        <v>431.86</v>
      </c>
      <c r="AN855" t="s">
        <v>123</v>
      </c>
      <c r="AO855" t="str">
        <f t="shared" si="407"/>
        <v>REFUNDED</v>
      </c>
      <c r="AP855" t="str">
        <f t="shared" si="416"/>
        <v>REFUNDED_PAYMENT</v>
      </c>
      <c r="AQ855" t="s">
        <v>124</v>
      </c>
      <c r="AR855" t="str">
        <f t="shared" si="408"/>
        <v>RETURNED</v>
      </c>
      <c r="AS855" t="str">
        <f t="shared" si="417"/>
        <v>RETURNED_ORDER</v>
      </c>
      <c r="AT855">
        <f t="shared" si="418"/>
        <v>2658.8339999999998</v>
      </c>
      <c r="AU855">
        <f t="shared" si="419"/>
        <v>431.86400000000003</v>
      </c>
      <c r="AV855" s="6">
        <f t="shared" si="420"/>
        <v>0.18971624403780002</v>
      </c>
      <c r="AW855" t="str">
        <f t="shared" si="421"/>
        <v>CLEAN</v>
      </c>
      <c r="AX855" s="10" t="str">
        <f t="shared" si="422"/>
        <v>MATCH</v>
      </c>
      <c r="AY855" t="str">
        <f t="shared" si="423"/>
        <v>MATCH</v>
      </c>
    </row>
    <row r="856" spans="1:51">
      <c r="A856" t="s">
        <v>3429</v>
      </c>
      <c r="B856">
        <f t="shared" si="399"/>
        <v>1</v>
      </c>
      <c r="C856" t="s">
        <v>1565</v>
      </c>
      <c r="D856" s="2">
        <v>45708</v>
      </c>
      <c r="E856" t="str">
        <f t="shared" si="400"/>
        <v>2025/02/20</v>
      </c>
      <c r="F856" t="str">
        <f t="shared" si="409"/>
        <v>February</v>
      </c>
      <c r="G856">
        <f t="shared" si="410"/>
        <v>2025</v>
      </c>
      <c r="H856" t="s">
        <v>3430</v>
      </c>
      <c r="I856" s="4">
        <v>45710</v>
      </c>
      <c r="J856" s="8">
        <f t="shared" si="401"/>
        <v>2</v>
      </c>
      <c r="K856" s="8" t="str">
        <f t="shared" si="411"/>
        <v>OK</v>
      </c>
      <c r="L856" t="s">
        <v>3431</v>
      </c>
      <c r="M856" t="s">
        <v>141</v>
      </c>
      <c r="N856" t="str">
        <f t="shared" si="402"/>
        <v>Priya Menon</v>
      </c>
      <c r="O856" t="s">
        <v>107</v>
      </c>
      <c r="P856" t="str">
        <f t="shared" si="425"/>
        <v>Corporate</v>
      </c>
      <c r="Q856" t="s">
        <v>61</v>
      </c>
      <c r="R856" t="str">
        <f t="shared" si="398"/>
        <v>South</v>
      </c>
      <c r="S856" t="str">
        <f t="shared" si="412"/>
        <v>OK</v>
      </c>
      <c r="T856" t="s">
        <v>241</v>
      </c>
      <c r="U856" t="str">
        <f t="shared" si="403"/>
        <v>Kerala</v>
      </c>
      <c r="V856" t="s">
        <v>242</v>
      </c>
      <c r="W856" t="str">
        <f t="shared" si="404"/>
        <v>Kochi</v>
      </c>
      <c r="X856" t="str">
        <f t="shared" si="405"/>
        <v>Office Supplies</v>
      </c>
      <c r="Y856" t="s">
        <v>29</v>
      </c>
      <c r="Z856" t="s">
        <v>30</v>
      </c>
      <c r="AA856" t="str">
        <f t="shared" si="406"/>
        <v>Paper</v>
      </c>
      <c r="AB856" t="s">
        <v>3432</v>
      </c>
      <c r="AC856" t="s">
        <v>55</v>
      </c>
      <c r="AD856" t="str">
        <f t="shared" si="424"/>
        <v>First Class</v>
      </c>
      <c r="AE856" t="str">
        <f t="shared" si="413"/>
        <v>OK</v>
      </c>
      <c r="AF856">
        <v>1</v>
      </c>
      <c r="AG856">
        <v>2188.19</v>
      </c>
      <c r="AH856">
        <v>0</v>
      </c>
      <c r="AI856">
        <f t="shared" si="414"/>
        <v>0</v>
      </c>
      <c r="AJ856" t="str">
        <f t="shared" si="415"/>
        <v>OK</v>
      </c>
      <c r="AK856">
        <v>2188.19</v>
      </c>
      <c r="AL856">
        <v>1298.8399999999999</v>
      </c>
      <c r="AM856">
        <v>889.35</v>
      </c>
      <c r="AN856" t="s">
        <v>33</v>
      </c>
      <c r="AO856" t="str">
        <f t="shared" si="407"/>
        <v>PAID</v>
      </c>
      <c r="AP856" t="str">
        <f t="shared" si="416"/>
        <v>OK</v>
      </c>
      <c r="AQ856" t="s">
        <v>34</v>
      </c>
      <c r="AR856" t="str">
        <f t="shared" si="408"/>
        <v>COMPLETED</v>
      </c>
      <c r="AS856" t="str">
        <f t="shared" si="417"/>
        <v>OK</v>
      </c>
      <c r="AT856">
        <f t="shared" si="418"/>
        <v>2188.19</v>
      </c>
      <c r="AU856">
        <f t="shared" si="419"/>
        <v>889.35000000000014</v>
      </c>
      <c r="AV856" s="6">
        <f t="shared" si="420"/>
        <v>0.29872177461737776</v>
      </c>
      <c r="AW856" t="str">
        <f t="shared" si="421"/>
        <v>CLEAN</v>
      </c>
      <c r="AX856" s="10" t="str">
        <f t="shared" si="422"/>
        <v>MATCH</v>
      </c>
      <c r="AY856" t="str">
        <f t="shared" si="423"/>
        <v>MATCH</v>
      </c>
    </row>
    <row r="857" spans="1:51">
      <c r="A857" t="s">
        <v>3441</v>
      </c>
      <c r="B857">
        <f t="shared" si="399"/>
        <v>1</v>
      </c>
      <c r="C857" t="s">
        <v>3442</v>
      </c>
      <c r="D857" s="3">
        <v>45770</v>
      </c>
      <c r="E857" t="str">
        <f t="shared" si="400"/>
        <v>2025/04/23</v>
      </c>
      <c r="F857" t="str">
        <f t="shared" si="409"/>
        <v>April</v>
      </c>
      <c r="G857">
        <f t="shared" si="410"/>
        <v>2025</v>
      </c>
      <c r="H857" t="s">
        <v>3443</v>
      </c>
      <c r="I857" s="4">
        <v>45772</v>
      </c>
      <c r="J857" s="8">
        <f t="shared" si="401"/>
        <v>2</v>
      </c>
      <c r="K857" s="8" t="str">
        <f t="shared" si="411"/>
        <v>OK</v>
      </c>
      <c r="L857" t="s">
        <v>3444</v>
      </c>
      <c r="M857" t="s">
        <v>52</v>
      </c>
      <c r="N857" t="str">
        <f t="shared" si="402"/>
        <v>Isha Nair</v>
      </c>
      <c r="O857" t="s">
        <v>114</v>
      </c>
      <c r="P857" t="str">
        <f t="shared" si="425"/>
        <v>Home Office</v>
      </c>
      <c r="Q857" t="s">
        <v>61</v>
      </c>
      <c r="R857" t="str">
        <f t="shared" si="398"/>
        <v>South</v>
      </c>
      <c r="S857" t="str">
        <f t="shared" si="412"/>
        <v>OK</v>
      </c>
      <c r="T857" t="s">
        <v>338</v>
      </c>
      <c r="U857" t="str">
        <f t="shared" si="403"/>
        <v>Tamil Nadu</v>
      </c>
      <c r="V857" t="s">
        <v>339</v>
      </c>
      <c r="W857" t="str">
        <f t="shared" si="404"/>
        <v>Chennai</v>
      </c>
      <c r="X857" t="str">
        <f t="shared" si="405"/>
        <v>Furniture</v>
      </c>
      <c r="Y857" t="s">
        <v>44</v>
      </c>
      <c r="Z857" t="s">
        <v>75</v>
      </c>
      <c r="AA857" t="str">
        <f t="shared" si="406"/>
        <v>Chairs</v>
      </c>
      <c r="AB857" t="s">
        <v>3445</v>
      </c>
      <c r="AC857" t="s">
        <v>32</v>
      </c>
      <c r="AD857" t="str">
        <f t="shared" si="424"/>
        <v>Second Class</v>
      </c>
      <c r="AE857" t="str">
        <f t="shared" si="413"/>
        <v>OK</v>
      </c>
      <c r="AF857">
        <v>3</v>
      </c>
      <c r="AG857">
        <v>2951.12</v>
      </c>
      <c r="AI857">
        <f t="shared" si="414"/>
        <v>0</v>
      </c>
      <c r="AJ857" t="str">
        <f t="shared" si="415"/>
        <v>Missing Discount</v>
      </c>
      <c r="AK857">
        <v>7082.69</v>
      </c>
      <c r="AL857">
        <v>5596.34</v>
      </c>
      <c r="AM857">
        <v>1486.35</v>
      </c>
      <c r="AN857" t="s">
        <v>33</v>
      </c>
      <c r="AO857" t="str">
        <f t="shared" si="407"/>
        <v>PAID</v>
      </c>
      <c r="AP857" t="str">
        <f t="shared" si="416"/>
        <v>OK</v>
      </c>
      <c r="AQ857" t="s">
        <v>77</v>
      </c>
      <c r="AR857" t="str">
        <f t="shared" si="408"/>
        <v>CANCELLED</v>
      </c>
      <c r="AS857" t="str">
        <f t="shared" si="417"/>
        <v>EXCLUDE_FROM_SALES</v>
      </c>
      <c r="AT857">
        <f t="shared" si="418"/>
        <v>8853.36</v>
      </c>
      <c r="AU857">
        <f t="shared" si="419"/>
        <v>3257.0200000000004</v>
      </c>
      <c r="AV857" s="6">
        <f t="shared" si="420"/>
        <v>0.52899803012641522</v>
      </c>
      <c r="AW857" t="str">
        <f t="shared" si="421"/>
        <v>INVALID</v>
      </c>
      <c r="AX857" s="10" t="str">
        <f t="shared" si="422"/>
        <v>MISMATCH</v>
      </c>
      <c r="AY857" t="str">
        <f t="shared" si="423"/>
        <v>MISMATCH</v>
      </c>
    </row>
    <row r="858" spans="1:51">
      <c r="A858" t="s">
        <v>3452</v>
      </c>
      <c r="B858">
        <f t="shared" si="399"/>
        <v>1</v>
      </c>
      <c r="C858" t="s">
        <v>1396</v>
      </c>
      <c r="D858" s="3">
        <v>45993</v>
      </c>
      <c r="E858" t="str">
        <f t="shared" si="400"/>
        <v>2025/12/02</v>
      </c>
      <c r="F858" t="str">
        <f t="shared" si="409"/>
        <v>December</v>
      </c>
      <c r="G858">
        <f t="shared" si="410"/>
        <v>2025</v>
      </c>
      <c r="H858" t="s">
        <v>1939</v>
      </c>
      <c r="I858" s="4">
        <v>45702</v>
      </c>
      <c r="J858" s="8">
        <f t="shared" si="401"/>
        <v>-291</v>
      </c>
      <c r="K858" s="8" t="str">
        <f t="shared" si="411"/>
        <v>INVAILD_SHIPPING</v>
      </c>
      <c r="L858" t="s">
        <v>3453</v>
      </c>
      <c r="M858" t="s">
        <v>167</v>
      </c>
      <c r="N858" t="str">
        <f t="shared" si="402"/>
        <v>Sneha Kapoor</v>
      </c>
      <c r="O858" t="s">
        <v>25</v>
      </c>
      <c r="P858" t="str">
        <f t="shared" si="425"/>
        <v>Consumer</v>
      </c>
      <c r="Q858" t="s">
        <v>26</v>
      </c>
      <c r="R858" t="str">
        <f t="shared" si="398"/>
        <v>North</v>
      </c>
      <c r="S858" t="str">
        <f t="shared" si="412"/>
        <v>OK</v>
      </c>
      <c r="T858" t="s">
        <v>173</v>
      </c>
      <c r="U858" t="str">
        <f t="shared" si="403"/>
        <v>Uttar Pradesh</v>
      </c>
      <c r="V858" t="s">
        <v>174</v>
      </c>
      <c r="W858" t="str">
        <f t="shared" si="404"/>
        <v>Noida</v>
      </c>
      <c r="X858" t="str">
        <f t="shared" si="405"/>
        <v>Office Supplies</v>
      </c>
      <c r="Y858" t="s">
        <v>29</v>
      </c>
      <c r="Z858" t="s">
        <v>53</v>
      </c>
      <c r="AA858" t="str">
        <f t="shared" si="406"/>
        <v>Art</v>
      </c>
      <c r="AB858" t="s">
        <v>3454</v>
      </c>
      <c r="AC858" t="s">
        <v>66</v>
      </c>
      <c r="AD858" t="str">
        <f t="shared" si="424"/>
        <v>Standard Class</v>
      </c>
      <c r="AE858" t="str">
        <f t="shared" si="413"/>
        <v>OK</v>
      </c>
      <c r="AF858">
        <v>6</v>
      </c>
      <c r="AG858">
        <v>491.4</v>
      </c>
      <c r="AH858">
        <v>0.25</v>
      </c>
      <c r="AI858">
        <f t="shared" si="414"/>
        <v>0.25</v>
      </c>
      <c r="AJ858" t="str">
        <f t="shared" si="415"/>
        <v>OK</v>
      </c>
      <c r="AK858">
        <v>2211.3000000000002</v>
      </c>
      <c r="AL858">
        <v>1735.64</v>
      </c>
      <c r="AM858">
        <v>475.66</v>
      </c>
      <c r="AN858" t="s">
        <v>33</v>
      </c>
      <c r="AO858" t="str">
        <f t="shared" si="407"/>
        <v>PAID</v>
      </c>
      <c r="AP858" t="str">
        <f t="shared" si="416"/>
        <v>OK</v>
      </c>
      <c r="AQ858" t="s">
        <v>34</v>
      </c>
      <c r="AR858" t="str">
        <f t="shared" si="408"/>
        <v>COMPLETED</v>
      </c>
      <c r="AS858" t="str">
        <f t="shared" si="417"/>
        <v>OK</v>
      </c>
      <c r="AT858">
        <f t="shared" si="418"/>
        <v>2211.2999999999997</v>
      </c>
      <c r="AU858">
        <f t="shared" si="419"/>
        <v>475.65999999999963</v>
      </c>
      <c r="AV858" s="6">
        <f t="shared" si="420"/>
        <v>0.4815791615791617</v>
      </c>
      <c r="AW858" t="str">
        <f t="shared" si="421"/>
        <v>CLEAN</v>
      </c>
      <c r="AX858" s="10" t="str">
        <f t="shared" si="422"/>
        <v>MATCH</v>
      </c>
      <c r="AY858" t="str">
        <f t="shared" si="423"/>
        <v>MATCH</v>
      </c>
    </row>
    <row r="859" spans="1:51">
      <c r="A859" t="s">
        <v>3455</v>
      </c>
      <c r="B859">
        <f t="shared" si="399"/>
        <v>1</v>
      </c>
      <c r="C859" t="s">
        <v>3456</v>
      </c>
      <c r="D859" s="3">
        <v>45886</v>
      </c>
      <c r="E859" t="str">
        <f t="shared" si="400"/>
        <v>2025/08/17</v>
      </c>
      <c r="F859" t="str">
        <f t="shared" si="409"/>
        <v>August</v>
      </c>
      <c r="G859">
        <f t="shared" si="410"/>
        <v>2025</v>
      </c>
      <c r="H859" t="s">
        <v>1469</v>
      </c>
      <c r="I859" s="4">
        <v>45889</v>
      </c>
      <c r="J859" s="8">
        <f t="shared" si="401"/>
        <v>3</v>
      </c>
      <c r="K859" s="8" t="str">
        <f t="shared" si="411"/>
        <v>OK</v>
      </c>
      <c r="L859" t="s">
        <v>3457</v>
      </c>
      <c r="M859" t="s">
        <v>39</v>
      </c>
      <c r="N859" t="str">
        <f t="shared" si="402"/>
        <v>Mira Das</v>
      </c>
      <c r="O859" t="s">
        <v>114</v>
      </c>
      <c r="P859" t="str">
        <f t="shared" si="425"/>
        <v>Home Office</v>
      </c>
      <c r="Q859" t="s">
        <v>26</v>
      </c>
      <c r="R859" t="str">
        <f t="shared" si="398"/>
        <v>North</v>
      </c>
      <c r="S859" t="str">
        <f t="shared" si="412"/>
        <v>OK</v>
      </c>
      <c r="T859" t="s">
        <v>153</v>
      </c>
      <c r="U859" t="str">
        <f t="shared" si="403"/>
        <v>Punjab</v>
      </c>
      <c r="V859" t="s">
        <v>154</v>
      </c>
      <c r="W859" t="str">
        <f t="shared" si="404"/>
        <v>Ludhiana</v>
      </c>
      <c r="X859" t="str">
        <f t="shared" si="405"/>
        <v>Office Supplies</v>
      </c>
      <c r="Y859" t="s">
        <v>29</v>
      </c>
      <c r="Z859" t="s">
        <v>197</v>
      </c>
      <c r="AA859" t="str">
        <f t="shared" si="406"/>
        <v>Binders</v>
      </c>
      <c r="AB859" t="s">
        <v>3458</v>
      </c>
      <c r="AC859" t="s">
        <v>55</v>
      </c>
      <c r="AD859" t="str">
        <f t="shared" si="424"/>
        <v>First Class</v>
      </c>
      <c r="AE859" t="str">
        <f t="shared" si="413"/>
        <v>OK</v>
      </c>
      <c r="AF859">
        <v>5</v>
      </c>
      <c r="AG859">
        <v>2701.89</v>
      </c>
      <c r="AH859">
        <v>0.1</v>
      </c>
      <c r="AI859">
        <f t="shared" si="414"/>
        <v>0.1</v>
      </c>
      <c r="AJ859" t="str">
        <f t="shared" si="415"/>
        <v>OK</v>
      </c>
      <c r="AK859">
        <v>12158.5</v>
      </c>
      <c r="AL859">
        <v>10260.07</v>
      </c>
      <c r="AM859">
        <v>1898.43</v>
      </c>
      <c r="AN859" t="s">
        <v>33</v>
      </c>
      <c r="AO859" t="str">
        <f t="shared" si="407"/>
        <v>PAID</v>
      </c>
      <c r="AP859" t="str">
        <f t="shared" si="416"/>
        <v>OK</v>
      </c>
      <c r="AQ859" t="s">
        <v>77</v>
      </c>
      <c r="AR859" t="str">
        <f t="shared" si="408"/>
        <v>CANCELLED</v>
      </c>
      <c r="AS859" t="str">
        <f t="shared" si="417"/>
        <v>EXCLUDE_FROM_SALES</v>
      </c>
      <c r="AT859">
        <f t="shared" si="418"/>
        <v>12158.504999999999</v>
      </c>
      <c r="AU859">
        <f t="shared" si="419"/>
        <v>1898.4349999999995</v>
      </c>
      <c r="AV859" s="6">
        <f t="shared" si="420"/>
        <v>0.19813023887394043</v>
      </c>
      <c r="AW859" t="str">
        <f t="shared" si="421"/>
        <v>CLEAN</v>
      </c>
      <c r="AX859" s="10" t="str">
        <f t="shared" si="422"/>
        <v>MISMATCH</v>
      </c>
      <c r="AY859" t="str">
        <f t="shared" si="423"/>
        <v>MISMATCH</v>
      </c>
    </row>
    <row r="860" spans="1:51">
      <c r="A860" t="s">
        <v>3464</v>
      </c>
      <c r="B860">
        <f t="shared" si="399"/>
        <v>1</v>
      </c>
      <c r="C860" t="s">
        <v>1347</v>
      </c>
      <c r="D860" s="3">
        <v>45748</v>
      </c>
      <c r="E860" t="str">
        <f t="shared" si="400"/>
        <v>2025/04/01</v>
      </c>
      <c r="F860" t="str">
        <f t="shared" si="409"/>
        <v>April</v>
      </c>
      <c r="G860">
        <f t="shared" si="410"/>
        <v>2025</v>
      </c>
      <c r="H860" t="s">
        <v>3465</v>
      </c>
      <c r="I860" s="4">
        <v>45931</v>
      </c>
      <c r="J860" s="8">
        <f t="shared" si="401"/>
        <v>183</v>
      </c>
      <c r="K860" s="8" t="str">
        <f t="shared" si="411"/>
        <v>OK</v>
      </c>
      <c r="L860" t="s">
        <v>3052</v>
      </c>
      <c r="M860" t="s">
        <v>161</v>
      </c>
      <c r="N860" t="str">
        <f t="shared" si="402"/>
        <v>Aarav Sharma</v>
      </c>
      <c r="O860" t="s">
        <v>114</v>
      </c>
      <c r="P860" t="str">
        <f t="shared" si="425"/>
        <v>Home Office</v>
      </c>
      <c r="Q860" t="s">
        <v>41</v>
      </c>
      <c r="R860" t="str">
        <f t="shared" si="398"/>
        <v>East</v>
      </c>
      <c r="S860" t="str">
        <f t="shared" si="412"/>
        <v>OK</v>
      </c>
      <c r="T860" t="s">
        <v>120</v>
      </c>
      <c r="U860" t="str">
        <f t="shared" si="403"/>
        <v>West Bengal</v>
      </c>
      <c r="V860" t="s">
        <v>121</v>
      </c>
      <c r="W860" t="str">
        <f t="shared" si="404"/>
        <v>Kolkata</v>
      </c>
      <c r="X860" t="str">
        <f t="shared" si="405"/>
        <v>Office Supplies</v>
      </c>
      <c r="Y860" t="s">
        <v>29</v>
      </c>
      <c r="Z860" t="s">
        <v>30</v>
      </c>
      <c r="AA860" t="str">
        <f t="shared" si="406"/>
        <v>Paper</v>
      </c>
      <c r="AB860" t="s">
        <v>3466</v>
      </c>
      <c r="AC860" t="s">
        <v>66</v>
      </c>
      <c r="AD860" t="str">
        <f t="shared" si="424"/>
        <v>Standard Class</v>
      </c>
      <c r="AE860" t="str">
        <f t="shared" si="413"/>
        <v>OK</v>
      </c>
      <c r="AF860">
        <v>4</v>
      </c>
      <c r="AG860">
        <v>2583.19</v>
      </c>
      <c r="AH860">
        <v>0.2</v>
      </c>
      <c r="AI860">
        <f t="shared" si="414"/>
        <v>0.2</v>
      </c>
      <c r="AJ860" t="str">
        <f t="shared" si="415"/>
        <v>OK</v>
      </c>
      <c r="AK860">
        <v>8266.2099999999991</v>
      </c>
      <c r="AL860">
        <v>6236.32</v>
      </c>
      <c r="AM860">
        <v>2029.89</v>
      </c>
      <c r="AN860" t="s">
        <v>33</v>
      </c>
      <c r="AO860" t="str">
        <f t="shared" si="407"/>
        <v>PAID</v>
      </c>
      <c r="AP860" t="str">
        <f t="shared" si="416"/>
        <v>OK</v>
      </c>
      <c r="AQ860" t="s">
        <v>34</v>
      </c>
      <c r="AR860" t="str">
        <f t="shared" si="408"/>
        <v>COMPLETED</v>
      </c>
      <c r="AS860" t="str">
        <f t="shared" si="417"/>
        <v>OK</v>
      </c>
      <c r="AT860">
        <f t="shared" si="418"/>
        <v>8266.2080000000005</v>
      </c>
      <c r="AU860">
        <f t="shared" si="419"/>
        <v>2029.8880000000008</v>
      </c>
      <c r="AV860" s="6">
        <f t="shared" si="420"/>
        <v>0.6893063905481206</v>
      </c>
      <c r="AW860" t="str">
        <f t="shared" si="421"/>
        <v>CLEAN</v>
      </c>
      <c r="AX860" s="10" t="str">
        <f t="shared" si="422"/>
        <v>MATCH</v>
      </c>
      <c r="AY860" t="str">
        <f t="shared" si="423"/>
        <v>MATCH</v>
      </c>
    </row>
    <row r="861" spans="1:51">
      <c r="A861" t="s">
        <v>3482</v>
      </c>
      <c r="B861">
        <f t="shared" si="399"/>
        <v>1</v>
      </c>
      <c r="C861" t="s">
        <v>3483</v>
      </c>
      <c r="D861" s="3">
        <v>45694</v>
      </c>
      <c r="E861" t="str">
        <f t="shared" si="400"/>
        <v>2025/02/06</v>
      </c>
      <c r="F861" t="str">
        <f t="shared" si="409"/>
        <v>February</v>
      </c>
      <c r="G861">
        <f t="shared" si="410"/>
        <v>2025</v>
      </c>
      <c r="H861" t="s">
        <v>374</v>
      </c>
      <c r="I861" s="4">
        <v>45810</v>
      </c>
      <c r="J861" s="8">
        <f t="shared" si="401"/>
        <v>116</v>
      </c>
      <c r="K861" s="8" t="str">
        <f t="shared" si="411"/>
        <v>OK</v>
      </c>
      <c r="L861" t="s">
        <v>3484</v>
      </c>
      <c r="M861" t="s">
        <v>161</v>
      </c>
      <c r="N861" t="str">
        <f t="shared" si="402"/>
        <v>Aarav Sharma</v>
      </c>
      <c r="O861" t="s">
        <v>114</v>
      </c>
      <c r="P861" t="str">
        <f t="shared" si="425"/>
        <v>Home Office</v>
      </c>
      <c r="Q861" t="s">
        <v>61</v>
      </c>
      <c r="R861" t="str">
        <f t="shared" si="398"/>
        <v>South</v>
      </c>
      <c r="S861" t="str">
        <f t="shared" si="412"/>
        <v>OK</v>
      </c>
      <c r="T861" t="s">
        <v>62</v>
      </c>
      <c r="U861" t="str">
        <f t="shared" si="403"/>
        <v>Telangana</v>
      </c>
      <c r="V861" t="s">
        <v>63</v>
      </c>
      <c r="W861" t="str">
        <f t="shared" si="404"/>
        <v>Hyderabad</v>
      </c>
      <c r="X861" t="str">
        <f t="shared" si="405"/>
        <v>Technology</v>
      </c>
      <c r="Y861" t="s">
        <v>85</v>
      </c>
      <c r="Z861" t="s">
        <v>86</v>
      </c>
      <c r="AA861" t="str">
        <f t="shared" si="406"/>
        <v>Accessories</v>
      </c>
      <c r="AB861" t="s">
        <v>3485</v>
      </c>
      <c r="AC861" t="s">
        <v>55</v>
      </c>
      <c r="AD861" t="str">
        <f t="shared" si="424"/>
        <v>First Class</v>
      </c>
      <c r="AE861" t="str">
        <f t="shared" si="413"/>
        <v>OK</v>
      </c>
      <c r="AF861">
        <v>8</v>
      </c>
      <c r="AG861">
        <v>3925.93</v>
      </c>
      <c r="AH861">
        <v>0.15</v>
      </c>
      <c r="AI861">
        <f t="shared" si="414"/>
        <v>0.15</v>
      </c>
      <c r="AJ861" t="str">
        <f t="shared" si="415"/>
        <v>OK</v>
      </c>
      <c r="AK861">
        <v>26696.32</v>
      </c>
      <c r="AL861">
        <v>22724.52</v>
      </c>
      <c r="AM861">
        <v>3971.8</v>
      </c>
      <c r="AN861" t="s">
        <v>33</v>
      </c>
      <c r="AO861" t="str">
        <f t="shared" si="407"/>
        <v>PAID</v>
      </c>
      <c r="AP861" t="str">
        <f t="shared" si="416"/>
        <v>OK</v>
      </c>
      <c r="AQ861" t="s">
        <v>34</v>
      </c>
      <c r="AR861" t="str">
        <f t="shared" si="408"/>
        <v>COMPLETED</v>
      </c>
      <c r="AS861" t="str">
        <f t="shared" si="417"/>
        <v>OK</v>
      </c>
      <c r="AT861">
        <f t="shared" si="418"/>
        <v>26696.323999999997</v>
      </c>
      <c r="AU861">
        <f t="shared" si="419"/>
        <v>3971.8039999999964</v>
      </c>
      <c r="AV861" s="6">
        <f t="shared" si="420"/>
        <v>7.6447753630799545E-2</v>
      </c>
      <c r="AW861" t="str">
        <f t="shared" si="421"/>
        <v>CLEAN</v>
      </c>
      <c r="AX861" s="10" t="str">
        <f t="shared" si="422"/>
        <v>MATCH</v>
      </c>
      <c r="AY861" t="str">
        <f t="shared" si="423"/>
        <v>MATCH</v>
      </c>
    </row>
    <row r="862" spans="1:51">
      <c r="A862" t="s">
        <v>3486</v>
      </c>
      <c r="B862">
        <f t="shared" si="399"/>
        <v>1</v>
      </c>
      <c r="C862" t="s">
        <v>719</v>
      </c>
      <c r="D862" s="3">
        <v>45856</v>
      </c>
      <c r="E862" t="str">
        <f t="shared" si="400"/>
        <v>2025/07/18</v>
      </c>
      <c r="F862" t="str">
        <f t="shared" si="409"/>
        <v>July</v>
      </c>
      <c r="G862">
        <f t="shared" si="410"/>
        <v>2025</v>
      </c>
      <c r="H862" t="s">
        <v>3487</v>
      </c>
      <c r="I862" s="4">
        <v>45857</v>
      </c>
      <c r="J862" s="8">
        <f t="shared" si="401"/>
        <v>1</v>
      </c>
      <c r="K862" s="8" t="str">
        <f t="shared" si="411"/>
        <v>OK</v>
      </c>
      <c r="L862" t="s">
        <v>3488</v>
      </c>
      <c r="M862" t="s">
        <v>141</v>
      </c>
      <c r="N862" t="str">
        <f t="shared" si="402"/>
        <v>Priya Menon</v>
      </c>
      <c r="O862" t="s">
        <v>114</v>
      </c>
      <c r="P862" t="str">
        <f t="shared" si="425"/>
        <v>Home Office</v>
      </c>
      <c r="R862" t="s">
        <v>4109</v>
      </c>
      <c r="S862" t="str">
        <f t="shared" si="412"/>
        <v>MISSING_REGION</v>
      </c>
      <c r="T862" t="s">
        <v>173</v>
      </c>
      <c r="U862" t="str">
        <f t="shared" si="403"/>
        <v>Uttar Pradesh</v>
      </c>
      <c r="V862" t="s">
        <v>174</v>
      </c>
      <c r="W862" t="str">
        <f t="shared" si="404"/>
        <v>Noida</v>
      </c>
      <c r="X862" t="str">
        <f t="shared" si="405"/>
        <v>Technology</v>
      </c>
      <c r="Y862" t="s">
        <v>85</v>
      </c>
      <c r="Z862" t="s">
        <v>381</v>
      </c>
      <c r="AA862" t="str">
        <f t="shared" si="406"/>
        <v>Machines</v>
      </c>
      <c r="AB862" t="s">
        <v>3489</v>
      </c>
      <c r="AD862" t="s">
        <v>4109</v>
      </c>
      <c r="AE862" t="str">
        <f t="shared" si="413"/>
        <v>MISSING_SHIP_MODE</v>
      </c>
      <c r="AF862">
        <v>3</v>
      </c>
      <c r="AG862">
        <v>2963.25</v>
      </c>
      <c r="AH862">
        <v>0.05</v>
      </c>
      <c r="AI862">
        <f t="shared" si="414"/>
        <v>0.05</v>
      </c>
      <c r="AJ862" t="str">
        <f t="shared" si="415"/>
        <v>OK</v>
      </c>
      <c r="AK862">
        <v>8445.26</v>
      </c>
      <c r="AL862">
        <v>6937.6</v>
      </c>
      <c r="AM862">
        <v>1507.66</v>
      </c>
      <c r="AN862" t="s">
        <v>33</v>
      </c>
      <c r="AO862" t="str">
        <f t="shared" si="407"/>
        <v>PAID</v>
      </c>
      <c r="AP862" t="str">
        <f t="shared" si="416"/>
        <v>OK</v>
      </c>
      <c r="AQ862" t="s">
        <v>34</v>
      </c>
      <c r="AR862" t="str">
        <f t="shared" si="408"/>
        <v>COMPLETED</v>
      </c>
      <c r="AS862" t="str">
        <f t="shared" si="417"/>
        <v>OK</v>
      </c>
      <c r="AT862">
        <f t="shared" si="418"/>
        <v>8445.2624999999989</v>
      </c>
      <c r="AU862">
        <f t="shared" si="419"/>
        <v>1507.6624999999985</v>
      </c>
      <c r="AV862" s="6">
        <f t="shared" si="420"/>
        <v>0.40221840351321247</v>
      </c>
      <c r="AW862" t="str">
        <f t="shared" si="421"/>
        <v>WARNING</v>
      </c>
      <c r="AX862" s="10" t="str">
        <f t="shared" si="422"/>
        <v>MATCH</v>
      </c>
      <c r="AY862" t="str">
        <f t="shared" si="423"/>
        <v>MATCH</v>
      </c>
    </row>
    <row r="863" spans="1:51">
      <c r="A863" t="s">
        <v>3496</v>
      </c>
      <c r="B863">
        <f t="shared" si="399"/>
        <v>1</v>
      </c>
      <c r="C863" t="s">
        <v>3497</v>
      </c>
      <c r="D863" s="3">
        <v>45753</v>
      </c>
      <c r="E863" t="str">
        <f t="shared" si="400"/>
        <v>2025/04/06</v>
      </c>
      <c r="F863" t="str">
        <f t="shared" si="409"/>
        <v>April</v>
      </c>
      <c r="G863">
        <f t="shared" si="410"/>
        <v>2025</v>
      </c>
      <c r="H863" t="s">
        <v>3497</v>
      </c>
      <c r="I863" s="4">
        <v>45812</v>
      </c>
      <c r="J863" s="8">
        <f t="shared" si="401"/>
        <v>59</v>
      </c>
      <c r="K863" s="8" t="str">
        <f t="shared" si="411"/>
        <v>OK</v>
      </c>
      <c r="L863" t="s">
        <v>3498</v>
      </c>
      <c r="M863" t="s">
        <v>92</v>
      </c>
      <c r="N863" t="str">
        <f t="shared" si="402"/>
        <v>Neha Gupta</v>
      </c>
      <c r="O863" t="s">
        <v>107</v>
      </c>
      <c r="P863" t="str">
        <f t="shared" si="425"/>
        <v>Corporate</v>
      </c>
      <c r="Q863" t="s">
        <v>61</v>
      </c>
      <c r="R863" t="str">
        <f t="shared" ref="R863:R877" si="426">PROPER(TRIM(SUBSTITUTE(Q863,CHAR(160)," ")))</f>
        <v>South</v>
      </c>
      <c r="S863" t="str">
        <f t="shared" si="412"/>
        <v>OK</v>
      </c>
      <c r="T863" t="s">
        <v>241</v>
      </c>
      <c r="U863" t="str">
        <f t="shared" si="403"/>
        <v>Kerala</v>
      </c>
      <c r="V863" t="s">
        <v>242</v>
      </c>
      <c r="W863" t="str">
        <f t="shared" si="404"/>
        <v>Kochi</v>
      </c>
      <c r="X863" t="str">
        <f t="shared" si="405"/>
        <v>Office Supplies</v>
      </c>
      <c r="Y863" t="s">
        <v>29</v>
      </c>
      <c r="Z863" t="s">
        <v>155</v>
      </c>
      <c r="AA863" t="str">
        <f t="shared" si="406"/>
        <v>Storage</v>
      </c>
      <c r="AB863" t="s">
        <v>3499</v>
      </c>
      <c r="AC863" t="s">
        <v>66</v>
      </c>
      <c r="AD863" t="str">
        <f t="shared" ref="AD863:AD871" si="427">PROPER(TRIM(SUBSTITUTE(AC863,CHAR(160)," ")))</f>
        <v>Standard Class</v>
      </c>
      <c r="AE863" t="str">
        <f t="shared" si="413"/>
        <v>OK</v>
      </c>
      <c r="AF863">
        <v>4</v>
      </c>
      <c r="AG863">
        <v>891.34</v>
      </c>
      <c r="AH863">
        <v>0.25</v>
      </c>
      <c r="AI863">
        <f t="shared" si="414"/>
        <v>0.25</v>
      </c>
      <c r="AJ863" t="str">
        <f t="shared" si="415"/>
        <v>OK</v>
      </c>
      <c r="AK863">
        <v>2674.02</v>
      </c>
      <c r="AL863">
        <v>2207.5700000000002</v>
      </c>
      <c r="AM863">
        <v>466.45</v>
      </c>
      <c r="AN863" t="s">
        <v>33</v>
      </c>
      <c r="AO863" t="str">
        <f t="shared" si="407"/>
        <v>PAID</v>
      </c>
      <c r="AP863" t="str">
        <f t="shared" si="416"/>
        <v>OK</v>
      </c>
      <c r="AQ863" t="s">
        <v>34</v>
      </c>
      <c r="AR863" t="str">
        <f t="shared" si="408"/>
        <v>COMPLETED</v>
      </c>
      <c r="AS863" t="str">
        <f t="shared" si="417"/>
        <v>OK</v>
      </c>
      <c r="AT863">
        <f t="shared" si="418"/>
        <v>2674.02</v>
      </c>
      <c r="AU863">
        <f t="shared" si="419"/>
        <v>466.44999999999982</v>
      </c>
      <c r="AV863" s="6">
        <f t="shared" si="420"/>
        <v>0.16492359817802402</v>
      </c>
      <c r="AW863" t="str">
        <f t="shared" si="421"/>
        <v>CLEAN</v>
      </c>
      <c r="AX863" s="10" t="str">
        <f t="shared" si="422"/>
        <v>MATCH</v>
      </c>
      <c r="AY863" t="str">
        <f t="shared" si="423"/>
        <v>MATCH</v>
      </c>
    </row>
    <row r="864" spans="1:51">
      <c r="A864" t="s">
        <v>3500</v>
      </c>
      <c r="B864">
        <f t="shared" si="399"/>
        <v>1</v>
      </c>
      <c r="C864" t="s">
        <v>1093</v>
      </c>
      <c r="D864" s="3">
        <v>45858</v>
      </c>
      <c r="E864" t="str">
        <f t="shared" si="400"/>
        <v>2025/07/20</v>
      </c>
      <c r="F864" t="str">
        <f t="shared" si="409"/>
        <v>July</v>
      </c>
      <c r="G864">
        <f t="shared" si="410"/>
        <v>2025</v>
      </c>
      <c r="H864" t="s">
        <v>1728</v>
      </c>
      <c r="I864" s="4">
        <v>45862</v>
      </c>
      <c r="J864" s="8">
        <f t="shared" si="401"/>
        <v>4</v>
      </c>
      <c r="K864" s="8" t="str">
        <f t="shared" si="411"/>
        <v>OK</v>
      </c>
      <c r="L864" t="s">
        <v>3501</v>
      </c>
      <c r="M864" t="s">
        <v>141</v>
      </c>
      <c r="N864" t="str">
        <f t="shared" si="402"/>
        <v>Priya Menon</v>
      </c>
      <c r="O864" t="s">
        <v>114</v>
      </c>
      <c r="P864" t="str">
        <f t="shared" si="425"/>
        <v>Home Office</v>
      </c>
      <c r="Q864" t="s">
        <v>72</v>
      </c>
      <c r="R864" t="str">
        <f t="shared" si="426"/>
        <v>West</v>
      </c>
      <c r="S864" t="str">
        <f t="shared" si="412"/>
        <v>OK</v>
      </c>
      <c r="T864" t="s">
        <v>83</v>
      </c>
      <c r="U864" t="str">
        <f t="shared" si="403"/>
        <v>Madhya Pradesh</v>
      </c>
      <c r="V864" t="s">
        <v>84</v>
      </c>
      <c r="W864" t="str">
        <f t="shared" si="404"/>
        <v>Indore</v>
      </c>
      <c r="X864" t="str">
        <f t="shared" si="405"/>
        <v>Office Supplies</v>
      </c>
      <c r="Y864" t="s">
        <v>29</v>
      </c>
      <c r="Z864" t="s">
        <v>155</v>
      </c>
      <c r="AA864" t="str">
        <f t="shared" si="406"/>
        <v>Storage</v>
      </c>
      <c r="AB864" t="s">
        <v>3502</v>
      </c>
      <c r="AC864" t="s">
        <v>32</v>
      </c>
      <c r="AD864" t="str">
        <f t="shared" si="427"/>
        <v>Second Class</v>
      </c>
      <c r="AE864" t="str">
        <f t="shared" si="413"/>
        <v>OK</v>
      </c>
      <c r="AF864">
        <v>5</v>
      </c>
      <c r="AG864">
        <v>2481.7399999999998</v>
      </c>
      <c r="AH864">
        <v>0.2</v>
      </c>
      <c r="AI864">
        <f t="shared" si="414"/>
        <v>0.2</v>
      </c>
      <c r="AJ864" t="str">
        <f t="shared" si="415"/>
        <v>OK</v>
      </c>
      <c r="AK864">
        <v>9926.9599999999991</v>
      </c>
      <c r="AL864">
        <v>7994.98</v>
      </c>
      <c r="AM864">
        <v>1931.98</v>
      </c>
      <c r="AN864" t="s">
        <v>33</v>
      </c>
      <c r="AO864" t="str">
        <f t="shared" si="407"/>
        <v>PAID</v>
      </c>
      <c r="AP864" t="str">
        <f t="shared" si="416"/>
        <v>OK</v>
      </c>
      <c r="AQ864" t="s">
        <v>34</v>
      </c>
      <c r="AR864" t="str">
        <f t="shared" si="408"/>
        <v>COMPLETED</v>
      </c>
      <c r="AS864" t="str">
        <f t="shared" si="417"/>
        <v>OK</v>
      </c>
      <c r="AT864">
        <f t="shared" si="418"/>
        <v>9926.9599999999991</v>
      </c>
      <c r="AU864">
        <f t="shared" si="419"/>
        <v>1931.9799999999996</v>
      </c>
      <c r="AV864" s="6">
        <f t="shared" si="420"/>
        <v>4.4726683697728212E-2</v>
      </c>
      <c r="AW864" t="str">
        <f t="shared" si="421"/>
        <v>CLEAN</v>
      </c>
      <c r="AX864" s="10" t="str">
        <f t="shared" si="422"/>
        <v>MATCH</v>
      </c>
      <c r="AY864" t="str">
        <f t="shared" si="423"/>
        <v>MATCH</v>
      </c>
    </row>
    <row r="865" spans="1:51">
      <c r="A865" t="s">
        <v>3508</v>
      </c>
      <c r="B865">
        <f t="shared" si="399"/>
        <v>1</v>
      </c>
      <c r="C865" t="s">
        <v>3509</v>
      </c>
      <c r="D865" s="2">
        <v>45665</v>
      </c>
      <c r="E865" t="str">
        <f t="shared" si="400"/>
        <v>2025/01/08</v>
      </c>
      <c r="F865" t="str">
        <f t="shared" si="409"/>
        <v>January</v>
      </c>
      <c r="G865">
        <f t="shared" si="410"/>
        <v>2025</v>
      </c>
      <c r="H865" t="s">
        <v>3510</v>
      </c>
      <c r="I865" s="4">
        <v>45872</v>
      </c>
      <c r="J865" s="8">
        <f t="shared" si="401"/>
        <v>207</v>
      </c>
      <c r="K865" s="8" t="str">
        <f t="shared" si="411"/>
        <v>OK</v>
      </c>
      <c r="L865" t="s">
        <v>3511</v>
      </c>
      <c r="M865" t="s">
        <v>106</v>
      </c>
      <c r="N865" t="str">
        <f t="shared" si="402"/>
        <v>Aditi Sen</v>
      </c>
      <c r="O865" t="s">
        <v>40</v>
      </c>
      <c r="P865" t="str">
        <f t="shared" si="425"/>
        <v>Small Business</v>
      </c>
      <c r="Q865" t="s">
        <v>61</v>
      </c>
      <c r="R865" t="str">
        <f t="shared" si="426"/>
        <v>South</v>
      </c>
      <c r="S865" t="str">
        <f t="shared" si="412"/>
        <v>OK</v>
      </c>
      <c r="T865" t="s">
        <v>241</v>
      </c>
      <c r="U865" t="str">
        <f t="shared" si="403"/>
        <v>Kerala</v>
      </c>
      <c r="V865" t="s">
        <v>242</v>
      </c>
      <c r="W865" t="str">
        <f t="shared" si="404"/>
        <v>Kochi</v>
      </c>
      <c r="X865" t="str">
        <f t="shared" si="405"/>
        <v>Furniture</v>
      </c>
      <c r="Y865" t="s">
        <v>44</v>
      </c>
      <c r="Z865" t="s">
        <v>203</v>
      </c>
      <c r="AA865" t="str">
        <f t="shared" si="406"/>
        <v>Bookcases</v>
      </c>
      <c r="AB865" t="s">
        <v>3512</v>
      </c>
      <c r="AC865" t="s">
        <v>66</v>
      </c>
      <c r="AD865" t="str">
        <f t="shared" si="427"/>
        <v>Standard Class</v>
      </c>
      <c r="AE865" t="str">
        <f t="shared" si="413"/>
        <v>OK</v>
      </c>
      <c r="AF865">
        <v>3</v>
      </c>
      <c r="AG865">
        <v>1904.78</v>
      </c>
      <c r="AH865">
        <v>0.25</v>
      </c>
      <c r="AI865">
        <f t="shared" si="414"/>
        <v>0.25</v>
      </c>
      <c r="AJ865" t="str">
        <f t="shared" si="415"/>
        <v>OK</v>
      </c>
      <c r="AK865">
        <v>4285.76</v>
      </c>
      <c r="AL865">
        <v>2386.33</v>
      </c>
      <c r="AM865">
        <v>1899.43</v>
      </c>
      <c r="AN865" t="s">
        <v>199</v>
      </c>
      <c r="AO865" t="str">
        <f t="shared" si="407"/>
        <v>FAILED</v>
      </c>
      <c r="AP865" t="str">
        <f t="shared" si="416"/>
        <v>EXCLUDE_FROM_SALES</v>
      </c>
      <c r="AQ865" t="s">
        <v>77</v>
      </c>
      <c r="AR865" t="str">
        <f t="shared" si="408"/>
        <v>CANCELLED</v>
      </c>
      <c r="AS865" t="str">
        <f t="shared" si="417"/>
        <v>EXCLUDE_FROM_SALES</v>
      </c>
      <c r="AT865">
        <f t="shared" si="418"/>
        <v>4285.7550000000001</v>
      </c>
      <c r="AU865">
        <f t="shared" si="419"/>
        <v>1899.4250000000002</v>
      </c>
      <c r="AV865" s="6">
        <f t="shared" si="420"/>
        <v>0.15293314713510237</v>
      </c>
      <c r="AW865" t="str">
        <f t="shared" si="421"/>
        <v>CLEAN</v>
      </c>
      <c r="AX865" s="10" t="str">
        <f t="shared" si="422"/>
        <v>MATCH</v>
      </c>
      <c r="AY865" t="str">
        <f t="shared" si="423"/>
        <v>MATCH</v>
      </c>
    </row>
    <row r="866" spans="1:51">
      <c r="A866" t="s">
        <v>3525</v>
      </c>
      <c r="B866">
        <f t="shared" si="399"/>
        <v>1</v>
      </c>
      <c r="C866" t="s">
        <v>454</v>
      </c>
      <c r="D866" s="2">
        <v>45896</v>
      </c>
      <c r="E866" t="str">
        <f t="shared" si="400"/>
        <v>2025/08/27</v>
      </c>
      <c r="F866" t="str">
        <f t="shared" si="409"/>
        <v>August</v>
      </c>
      <c r="G866">
        <f t="shared" si="410"/>
        <v>2025</v>
      </c>
      <c r="H866" t="s">
        <v>3526</v>
      </c>
      <c r="I866" s="4">
        <v>45900</v>
      </c>
      <c r="J866" s="8">
        <f t="shared" si="401"/>
        <v>4</v>
      </c>
      <c r="K866" s="8" t="str">
        <f t="shared" si="411"/>
        <v>OK</v>
      </c>
      <c r="L866" t="s">
        <v>3527</v>
      </c>
      <c r="M866" t="s">
        <v>52</v>
      </c>
      <c r="N866" t="str">
        <f t="shared" si="402"/>
        <v>Isha Nair</v>
      </c>
      <c r="O866" t="s">
        <v>25</v>
      </c>
      <c r="P866" t="str">
        <f t="shared" si="425"/>
        <v>Consumer</v>
      </c>
      <c r="Q866" t="s">
        <v>61</v>
      </c>
      <c r="R866" t="str">
        <f t="shared" si="426"/>
        <v>South</v>
      </c>
      <c r="S866" t="str">
        <f t="shared" si="412"/>
        <v>OK</v>
      </c>
      <c r="T866" t="s">
        <v>228</v>
      </c>
      <c r="U866" t="str">
        <f t="shared" si="403"/>
        <v>Karnataka</v>
      </c>
      <c r="V866" t="s">
        <v>229</v>
      </c>
      <c r="W866" t="str">
        <f t="shared" si="404"/>
        <v>Bengaluru</v>
      </c>
      <c r="X866" t="str">
        <f t="shared" si="405"/>
        <v>Technology</v>
      </c>
      <c r="Y866" t="s">
        <v>85</v>
      </c>
      <c r="Z866" t="s">
        <v>381</v>
      </c>
      <c r="AA866" t="str">
        <f t="shared" si="406"/>
        <v>Machines</v>
      </c>
      <c r="AB866" t="s">
        <v>3528</v>
      </c>
      <c r="AC866" t="s">
        <v>55</v>
      </c>
      <c r="AD866" t="str">
        <f t="shared" si="427"/>
        <v>First Class</v>
      </c>
      <c r="AE866" t="str">
        <f t="shared" si="413"/>
        <v>OK</v>
      </c>
      <c r="AF866">
        <v>3</v>
      </c>
      <c r="AG866">
        <v>2489.12</v>
      </c>
      <c r="AH866">
        <v>0</v>
      </c>
      <c r="AI866">
        <f t="shared" si="414"/>
        <v>0</v>
      </c>
      <c r="AJ866" t="str">
        <f t="shared" si="415"/>
        <v>OK</v>
      </c>
      <c r="AK866">
        <v>7467.36</v>
      </c>
      <c r="AL866">
        <v>5010.6099999999997</v>
      </c>
      <c r="AM866">
        <v>2456.75</v>
      </c>
      <c r="AN866" t="s">
        <v>33</v>
      </c>
      <c r="AO866" t="str">
        <f t="shared" si="407"/>
        <v>PAID</v>
      </c>
      <c r="AP866" t="str">
        <f t="shared" si="416"/>
        <v>OK</v>
      </c>
      <c r="AQ866" t="s">
        <v>34</v>
      </c>
      <c r="AR866" t="str">
        <f t="shared" si="408"/>
        <v>COMPLETED</v>
      </c>
      <c r="AS866" t="str">
        <f t="shared" si="417"/>
        <v>OK</v>
      </c>
      <c r="AT866">
        <f t="shared" si="418"/>
        <v>7467.36</v>
      </c>
      <c r="AU866">
        <f t="shared" si="419"/>
        <v>2456.75</v>
      </c>
      <c r="AV866" s="6">
        <f t="shared" si="420"/>
        <v>0.13330521094469802</v>
      </c>
      <c r="AW866" t="str">
        <f t="shared" si="421"/>
        <v>CLEAN</v>
      </c>
      <c r="AX866" s="10" t="str">
        <f t="shared" si="422"/>
        <v>MATCH</v>
      </c>
      <c r="AY866" t="str">
        <f t="shared" si="423"/>
        <v>MATCH</v>
      </c>
    </row>
    <row r="867" spans="1:51">
      <c r="A867" t="s">
        <v>3534</v>
      </c>
      <c r="B867">
        <f t="shared" si="399"/>
        <v>1</v>
      </c>
      <c r="C867" t="s">
        <v>3535</v>
      </c>
      <c r="D867" s="2">
        <v>45892</v>
      </c>
      <c r="E867" t="str">
        <f t="shared" si="400"/>
        <v>2025/08/23</v>
      </c>
      <c r="F867" t="str">
        <f t="shared" si="409"/>
        <v>August</v>
      </c>
      <c r="G867">
        <f t="shared" si="410"/>
        <v>2025</v>
      </c>
      <c r="H867" t="s">
        <v>3536</v>
      </c>
      <c r="I867" s="4">
        <v>45894</v>
      </c>
      <c r="J867" s="8">
        <f t="shared" si="401"/>
        <v>2</v>
      </c>
      <c r="K867" s="8" t="str">
        <f t="shared" si="411"/>
        <v>OK</v>
      </c>
      <c r="L867" t="s">
        <v>3537</v>
      </c>
      <c r="M867" t="s">
        <v>209</v>
      </c>
      <c r="N867" t="str">
        <f t="shared" si="402"/>
        <v>Diya Patel</v>
      </c>
      <c r="O867" t="s">
        <v>25</v>
      </c>
      <c r="P867" t="str">
        <f t="shared" si="425"/>
        <v>Consumer</v>
      </c>
      <c r="Q867" t="s">
        <v>26</v>
      </c>
      <c r="R867" t="str">
        <f t="shared" si="426"/>
        <v>North</v>
      </c>
      <c r="S867" t="str">
        <f t="shared" si="412"/>
        <v>OK</v>
      </c>
      <c r="T867" t="s">
        <v>27</v>
      </c>
      <c r="U867" t="str">
        <f t="shared" si="403"/>
        <v>Rajasthan</v>
      </c>
      <c r="V867" t="s">
        <v>28</v>
      </c>
      <c r="W867" t="str">
        <f t="shared" si="404"/>
        <v>Jaipur</v>
      </c>
      <c r="X867" t="str">
        <f t="shared" si="405"/>
        <v>Furniture</v>
      </c>
      <c r="Y867" t="s">
        <v>44</v>
      </c>
      <c r="Z867" t="s">
        <v>64</v>
      </c>
      <c r="AA867" t="str">
        <f t="shared" si="406"/>
        <v>Furnishings</v>
      </c>
      <c r="AB867" t="s">
        <v>3538</v>
      </c>
      <c r="AC867" t="s">
        <v>47</v>
      </c>
      <c r="AD867" t="str">
        <f t="shared" si="427"/>
        <v>Same Day</v>
      </c>
      <c r="AE867" t="str">
        <f t="shared" si="413"/>
        <v>OK</v>
      </c>
      <c r="AF867">
        <v>6</v>
      </c>
      <c r="AG867">
        <v>2742.48</v>
      </c>
      <c r="AH867">
        <v>0</v>
      </c>
      <c r="AI867">
        <f t="shared" si="414"/>
        <v>0</v>
      </c>
      <c r="AJ867" t="str">
        <f t="shared" si="415"/>
        <v>OK</v>
      </c>
      <c r="AK867">
        <v>16454.88</v>
      </c>
      <c r="AL867">
        <v>12081.54</v>
      </c>
      <c r="AM867">
        <v>4373.34</v>
      </c>
      <c r="AN867" t="s">
        <v>33</v>
      </c>
      <c r="AO867" t="str">
        <f t="shared" si="407"/>
        <v>PAID</v>
      </c>
      <c r="AP867" t="str">
        <f t="shared" si="416"/>
        <v>OK</v>
      </c>
      <c r="AQ867" t="s">
        <v>34</v>
      </c>
      <c r="AR867" t="str">
        <f t="shared" si="408"/>
        <v>COMPLETED</v>
      </c>
      <c r="AS867" t="str">
        <f t="shared" si="417"/>
        <v>OK</v>
      </c>
      <c r="AT867">
        <f t="shared" si="418"/>
        <v>16454.88</v>
      </c>
      <c r="AU867">
        <f t="shared" si="419"/>
        <v>4373.34</v>
      </c>
      <c r="AV867" s="6">
        <f t="shared" si="420"/>
        <v>0.13928342230390015</v>
      </c>
      <c r="AW867" t="str">
        <f t="shared" si="421"/>
        <v>CLEAN</v>
      </c>
      <c r="AX867" s="10" t="str">
        <f t="shared" si="422"/>
        <v>MATCH</v>
      </c>
      <c r="AY867" t="str">
        <f t="shared" si="423"/>
        <v>MATCH</v>
      </c>
    </row>
    <row r="868" spans="1:51">
      <c r="A868" t="s">
        <v>3539</v>
      </c>
      <c r="B868">
        <f t="shared" si="399"/>
        <v>1</v>
      </c>
      <c r="C868" t="s">
        <v>1861</v>
      </c>
      <c r="D868" s="3">
        <v>45760</v>
      </c>
      <c r="E868" t="str">
        <f t="shared" si="400"/>
        <v>2025/04/13</v>
      </c>
      <c r="F868" t="str">
        <f t="shared" si="409"/>
        <v>April</v>
      </c>
      <c r="G868">
        <f t="shared" si="410"/>
        <v>2025</v>
      </c>
      <c r="H868" t="s">
        <v>2912</v>
      </c>
      <c r="I868" s="4">
        <v>45760</v>
      </c>
      <c r="J868" s="8">
        <f t="shared" si="401"/>
        <v>0</v>
      </c>
      <c r="K868" s="8" t="str">
        <f t="shared" si="411"/>
        <v>OK</v>
      </c>
      <c r="L868" t="s">
        <v>1353</v>
      </c>
      <c r="M868" t="s">
        <v>141</v>
      </c>
      <c r="N868" t="str">
        <f t="shared" si="402"/>
        <v>Priya Menon</v>
      </c>
      <c r="O868" t="s">
        <v>107</v>
      </c>
      <c r="P868" t="str">
        <f t="shared" si="425"/>
        <v>Corporate</v>
      </c>
      <c r="Q868" t="s">
        <v>61</v>
      </c>
      <c r="R868" t="str">
        <f t="shared" si="426"/>
        <v>South</v>
      </c>
      <c r="S868" t="str">
        <f t="shared" si="412"/>
        <v>OK</v>
      </c>
      <c r="T868" t="s">
        <v>241</v>
      </c>
      <c r="U868" t="str">
        <f t="shared" si="403"/>
        <v>Kerala</v>
      </c>
      <c r="V868" t="s">
        <v>242</v>
      </c>
      <c r="W868" t="str">
        <f t="shared" si="404"/>
        <v>Kochi</v>
      </c>
      <c r="X868" t="str">
        <f t="shared" si="405"/>
        <v>Furniture</v>
      </c>
      <c r="Y868" t="s">
        <v>44</v>
      </c>
      <c r="Z868" t="s">
        <v>203</v>
      </c>
      <c r="AA868" t="str">
        <f t="shared" si="406"/>
        <v>Bookcases</v>
      </c>
      <c r="AB868" t="s">
        <v>3540</v>
      </c>
      <c r="AC868" t="s">
        <v>55</v>
      </c>
      <c r="AD868" t="str">
        <f t="shared" si="427"/>
        <v>First Class</v>
      </c>
      <c r="AE868" t="str">
        <f t="shared" si="413"/>
        <v>OK</v>
      </c>
      <c r="AF868">
        <v>6</v>
      </c>
      <c r="AG868">
        <v>4414</v>
      </c>
      <c r="AH868">
        <v>0.05</v>
      </c>
      <c r="AI868">
        <f t="shared" si="414"/>
        <v>0.05</v>
      </c>
      <c r="AJ868" t="str">
        <f t="shared" si="415"/>
        <v>OK</v>
      </c>
      <c r="AK868">
        <v>25159.8</v>
      </c>
      <c r="AL868">
        <v>21606.83</v>
      </c>
      <c r="AM868">
        <v>3552.97</v>
      </c>
      <c r="AN868" t="s">
        <v>33</v>
      </c>
      <c r="AO868" t="str">
        <f t="shared" si="407"/>
        <v>PAID</v>
      </c>
      <c r="AP868" t="str">
        <f t="shared" si="416"/>
        <v>OK</v>
      </c>
      <c r="AQ868" t="s">
        <v>34</v>
      </c>
      <c r="AR868" t="str">
        <f t="shared" si="408"/>
        <v>COMPLETED</v>
      </c>
      <c r="AS868" t="str">
        <f t="shared" si="417"/>
        <v>OK</v>
      </c>
      <c r="AT868">
        <f t="shared" si="418"/>
        <v>25159.8</v>
      </c>
      <c r="AU868">
        <f t="shared" si="419"/>
        <v>3552.9699999999975</v>
      </c>
      <c r="AV868" s="6">
        <f t="shared" si="420"/>
        <v>4.29045540902551E-2</v>
      </c>
      <c r="AW868" t="str">
        <f t="shared" si="421"/>
        <v>CLEAN</v>
      </c>
      <c r="AX868" s="10" t="str">
        <f t="shared" si="422"/>
        <v>MATCH</v>
      </c>
      <c r="AY868" t="str">
        <f t="shared" si="423"/>
        <v>MATCH</v>
      </c>
    </row>
    <row r="869" spans="1:51">
      <c r="A869" t="s">
        <v>3541</v>
      </c>
      <c r="B869">
        <f t="shared" si="399"/>
        <v>1</v>
      </c>
      <c r="C869" t="s">
        <v>3542</v>
      </c>
      <c r="D869" s="3">
        <v>45837</v>
      </c>
      <c r="E869" t="str">
        <f t="shared" si="400"/>
        <v>2025/06/29</v>
      </c>
      <c r="F869" t="str">
        <f t="shared" si="409"/>
        <v>June</v>
      </c>
      <c r="G869">
        <f t="shared" si="410"/>
        <v>2025</v>
      </c>
      <c r="H869" t="s">
        <v>3543</v>
      </c>
      <c r="I869" s="4">
        <v>45841</v>
      </c>
      <c r="J869" s="8">
        <f t="shared" si="401"/>
        <v>4</v>
      </c>
      <c r="K869" s="8" t="str">
        <f t="shared" si="411"/>
        <v>OK</v>
      </c>
      <c r="L869" t="s">
        <v>3544</v>
      </c>
      <c r="M869" t="s">
        <v>82</v>
      </c>
      <c r="N869" t="str">
        <f t="shared" si="402"/>
        <v>Vikram Iyer</v>
      </c>
      <c r="O869" t="s">
        <v>107</v>
      </c>
      <c r="P869" t="str">
        <f t="shared" si="425"/>
        <v>Corporate</v>
      </c>
      <c r="Q869" t="s">
        <v>41</v>
      </c>
      <c r="R869" t="str">
        <f t="shared" si="426"/>
        <v>East</v>
      </c>
      <c r="S869" t="str">
        <f t="shared" si="412"/>
        <v>OK</v>
      </c>
      <c r="T869" t="s">
        <v>310</v>
      </c>
      <c r="U869" t="str">
        <f t="shared" si="403"/>
        <v>Jharkhand</v>
      </c>
      <c r="V869" t="s">
        <v>311</v>
      </c>
      <c r="W869" t="str">
        <f t="shared" si="404"/>
        <v>Ranchi</v>
      </c>
      <c r="X869" t="str">
        <f t="shared" si="405"/>
        <v>Office Supplies</v>
      </c>
      <c r="Y869" t="s">
        <v>29</v>
      </c>
      <c r="Z869" t="s">
        <v>108</v>
      </c>
      <c r="AA869" t="str">
        <f t="shared" si="406"/>
        <v>Labels</v>
      </c>
      <c r="AB869" t="s">
        <v>3545</v>
      </c>
      <c r="AC869" t="s">
        <v>55</v>
      </c>
      <c r="AD869" t="str">
        <f t="shared" si="427"/>
        <v>First Class</v>
      </c>
      <c r="AE869" t="str">
        <f t="shared" si="413"/>
        <v>OK</v>
      </c>
      <c r="AF869">
        <v>3</v>
      </c>
      <c r="AG869">
        <v>608.14</v>
      </c>
      <c r="AH869">
        <v>0</v>
      </c>
      <c r="AI869">
        <f t="shared" si="414"/>
        <v>0</v>
      </c>
      <c r="AJ869" t="str">
        <f t="shared" si="415"/>
        <v>OK</v>
      </c>
      <c r="AK869">
        <v>1824.42</v>
      </c>
      <c r="AL869">
        <v>1214.8699999999999</v>
      </c>
      <c r="AM869">
        <v>609.54999999999995</v>
      </c>
      <c r="AN869" t="s">
        <v>33</v>
      </c>
      <c r="AO869" t="str">
        <f t="shared" si="407"/>
        <v>PAID</v>
      </c>
      <c r="AP869" t="str">
        <f t="shared" si="416"/>
        <v>OK</v>
      </c>
      <c r="AQ869" t="s">
        <v>34</v>
      </c>
      <c r="AR869" t="str">
        <f t="shared" si="408"/>
        <v>COMPLETED</v>
      </c>
      <c r="AS869" t="str">
        <f t="shared" si="417"/>
        <v>OK</v>
      </c>
      <c r="AT869">
        <f t="shared" si="418"/>
        <v>1824.42</v>
      </c>
      <c r="AU869">
        <f t="shared" si="419"/>
        <v>609.55000000000018</v>
      </c>
      <c r="AV869" s="6">
        <f t="shared" si="420"/>
        <v>0.50657743282796719</v>
      </c>
      <c r="AW869" t="str">
        <f t="shared" si="421"/>
        <v>CLEAN</v>
      </c>
      <c r="AX869" s="10" t="str">
        <f t="shared" si="422"/>
        <v>MATCH</v>
      </c>
      <c r="AY869" t="str">
        <f t="shared" si="423"/>
        <v>MATCH</v>
      </c>
    </row>
    <row r="870" spans="1:51">
      <c r="A870" t="s">
        <v>3554</v>
      </c>
      <c r="B870">
        <f t="shared" si="399"/>
        <v>1</v>
      </c>
      <c r="C870" t="s">
        <v>1811</v>
      </c>
      <c r="D870" s="3">
        <v>45692</v>
      </c>
      <c r="E870" t="str">
        <f t="shared" si="400"/>
        <v>2025/02/04</v>
      </c>
      <c r="F870" t="str">
        <f t="shared" si="409"/>
        <v>February</v>
      </c>
      <c r="G870">
        <f t="shared" si="410"/>
        <v>2025</v>
      </c>
      <c r="H870" t="s">
        <v>3555</v>
      </c>
      <c r="I870" s="4">
        <v>45751</v>
      </c>
      <c r="J870" s="8">
        <f t="shared" si="401"/>
        <v>59</v>
      </c>
      <c r="K870" s="8" t="str">
        <f t="shared" si="411"/>
        <v>OK</v>
      </c>
      <c r="L870" t="s">
        <v>3556</v>
      </c>
      <c r="M870" t="s">
        <v>167</v>
      </c>
      <c r="N870" t="str">
        <f t="shared" si="402"/>
        <v>Sneha Kapoor</v>
      </c>
      <c r="O870" t="s">
        <v>114</v>
      </c>
      <c r="P870" t="str">
        <f t="shared" si="425"/>
        <v>Home Office</v>
      </c>
      <c r="Q870" t="s">
        <v>41</v>
      </c>
      <c r="R870" t="str">
        <f t="shared" si="426"/>
        <v>East</v>
      </c>
      <c r="S870" t="str">
        <f t="shared" si="412"/>
        <v>OK</v>
      </c>
      <c r="T870" t="s">
        <v>310</v>
      </c>
      <c r="U870" t="str">
        <f t="shared" si="403"/>
        <v>Jharkhand</v>
      </c>
      <c r="V870" t="s">
        <v>311</v>
      </c>
      <c r="W870" t="str">
        <f t="shared" si="404"/>
        <v>Ranchi</v>
      </c>
      <c r="X870" t="str">
        <f t="shared" si="405"/>
        <v>Office Supplies</v>
      </c>
      <c r="Y870" t="s">
        <v>29</v>
      </c>
      <c r="Z870" t="s">
        <v>30</v>
      </c>
      <c r="AA870" t="str">
        <f t="shared" si="406"/>
        <v>Paper</v>
      </c>
      <c r="AB870" t="s">
        <v>3557</v>
      </c>
      <c r="AC870" t="s">
        <v>47</v>
      </c>
      <c r="AD870" t="str">
        <f t="shared" si="427"/>
        <v>Same Day</v>
      </c>
      <c r="AE870" t="str">
        <f t="shared" si="413"/>
        <v>OK</v>
      </c>
      <c r="AF870">
        <v>5</v>
      </c>
      <c r="AG870">
        <v>3234.24</v>
      </c>
      <c r="AH870">
        <v>0.1</v>
      </c>
      <c r="AI870">
        <f t="shared" si="414"/>
        <v>0.1</v>
      </c>
      <c r="AJ870" t="str">
        <f t="shared" si="415"/>
        <v>OK</v>
      </c>
      <c r="AK870">
        <v>14554.08</v>
      </c>
      <c r="AL870">
        <v>11166.84</v>
      </c>
      <c r="AM870">
        <v>3387.24</v>
      </c>
      <c r="AN870" t="s">
        <v>33</v>
      </c>
      <c r="AO870" t="str">
        <f t="shared" si="407"/>
        <v>PAID</v>
      </c>
      <c r="AP870" t="str">
        <f t="shared" si="416"/>
        <v>OK</v>
      </c>
      <c r="AQ870" t="s">
        <v>34</v>
      </c>
      <c r="AR870" t="str">
        <f t="shared" si="408"/>
        <v>COMPLETED</v>
      </c>
      <c r="AS870" t="str">
        <f t="shared" si="417"/>
        <v>OK</v>
      </c>
      <c r="AT870">
        <f t="shared" si="418"/>
        <v>14554.08</v>
      </c>
      <c r="AU870">
        <f t="shared" si="419"/>
        <v>3387.24</v>
      </c>
      <c r="AV870" s="6">
        <f t="shared" si="420"/>
        <v>0.24184386783637302</v>
      </c>
      <c r="AW870" t="str">
        <f t="shared" si="421"/>
        <v>CLEAN</v>
      </c>
      <c r="AX870" s="10" t="str">
        <f t="shared" si="422"/>
        <v>MATCH</v>
      </c>
      <c r="AY870" t="str">
        <f t="shared" si="423"/>
        <v>MATCH</v>
      </c>
    </row>
    <row r="871" spans="1:51">
      <c r="A871" t="s">
        <v>3568</v>
      </c>
      <c r="B871">
        <f t="shared" si="399"/>
        <v>1</v>
      </c>
      <c r="C871" t="s">
        <v>170</v>
      </c>
      <c r="D871" s="3">
        <v>45853</v>
      </c>
      <c r="E871" t="str">
        <f t="shared" si="400"/>
        <v>2025/07/15</v>
      </c>
      <c r="F871" t="str">
        <f t="shared" si="409"/>
        <v>July</v>
      </c>
      <c r="G871">
        <f t="shared" si="410"/>
        <v>2025</v>
      </c>
      <c r="H871" t="s">
        <v>1570</v>
      </c>
      <c r="I871" s="4">
        <v>45857</v>
      </c>
      <c r="J871" s="8">
        <f t="shared" si="401"/>
        <v>4</v>
      </c>
      <c r="K871" s="8" t="str">
        <f t="shared" si="411"/>
        <v>OK</v>
      </c>
      <c r="L871" t="s">
        <v>3569</v>
      </c>
      <c r="M871" t="s">
        <v>209</v>
      </c>
      <c r="N871" t="str">
        <f t="shared" si="402"/>
        <v>Diya Patel</v>
      </c>
      <c r="O871" t="s">
        <v>25</v>
      </c>
      <c r="P871" t="str">
        <f t="shared" si="425"/>
        <v>Consumer</v>
      </c>
      <c r="Q871" t="s">
        <v>61</v>
      </c>
      <c r="R871" t="str">
        <f t="shared" si="426"/>
        <v>South</v>
      </c>
      <c r="S871" t="str">
        <f t="shared" si="412"/>
        <v>OK</v>
      </c>
      <c r="T871" t="s">
        <v>338</v>
      </c>
      <c r="U871" t="str">
        <f t="shared" si="403"/>
        <v>Tamil Nadu</v>
      </c>
      <c r="V871" t="s">
        <v>339</v>
      </c>
      <c r="W871" t="str">
        <f t="shared" si="404"/>
        <v>Chennai</v>
      </c>
      <c r="X871" t="str">
        <f t="shared" si="405"/>
        <v>Furniture</v>
      </c>
      <c r="Y871" t="s">
        <v>44</v>
      </c>
      <c r="Z871" t="s">
        <v>75</v>
      </c>
      <c r="AA871" t="str">
        <f t="shared" si="406"/>
        <v>Chairs</v>
      </c>
      <c r="AB871" t="s">
        <v>3570</v>
      </c>
      <c r="AC871" t="s">
        <v>47</v>
      </c>
      <c r="AD871" t="str">
        <f t="shared" si="427"/>
        <v>Same Day</v>
      </c>
      <c r="AE871" t="str">
        <f t="shared" si="413"/>
        <v>OK</v>
      </c>
      <c r="AF871">
        <v>1</v>
      </c>
      <c r="AG871">
        <v>3903.22</v>
      </c>
      <c r="AH871">
        <v>0.05</v>
      </c>
      <c r="AI871">
        <f t="shared" si="414"/>
        <v>0.05</v>
      </c>
      <c r="AJ871" t="str">
        <f t="shared" si="415"/>
        <v>OK</v>
      </c>
      <c r="AK871">
        <v>3708.06</v>
      </c>
      <c r="AL871">
        <v>2760.29</v>
      </c>
      <c r="AM871">
        <v>947.77</v>
      </c>
      <c r="AN871" t="s">
        <v>136</v>
      </c>
      <c r="AO871" t="str">
        <f t="shared" si="407"/>
        <v>PENDING</v>
      </c>
      <c r="AP871" t="str">
        <f t="shared" si="416"/>
        <v>OK</v>
      </c>
      <c r="AQ871" t="s">
        <v>77</v>
      </c>
      <c r="AR871" t="str">
        <f t="shared" si="408"/>
        <v>CANCELLED</v>
      </c>
      <c r="AS871" t="str">
        <f t="shared" si="417"/>
        <v>EXCLUDE_FROM_SALES</v>
      </c>
      <c r="AT871">
        <f t="shared" si="418"/>
        <v>3708.0589999999997</v>
      </c>
      <c r="AU871">
        <f t="shared" si="419"/>
        <v>947.76899999999978</v>
      </c>
      <c r="AV871" s="6">
        <f t="shared" si="420"/>
        <v>2.0194392807665683E-2</v>
      </c>
      <c r="AW871" t="str">
        <f t="shared" si="421"/>
        <v>CLEAN</v>
      </c>
      <c r="AX871" s="10" t="str">
        <f t="shared" si="422"/>
        <v>MATCH</v>
      </c>
      <c r="AY871" t="str">
        <f t="shared" si="423"/>
        <v>MATCH</v>
      </c>
    </row>
    <row r="872" spans="1:51">
      <c r="A872" t="s">
        <v>3571</v>
      </c>
      <c r="B872">
        <f t="shared" si="399"/>
        <v>1</v>
      </c>
      <c r="C872" t="s">
        <v>3572</v>
      </c>
      <c r="D872" s="3">
        <v>45709</v>
      </c>
      <c r="E872" t="str">
        <f t="shared" si="400"/>
        <v>2025/02/21</v>
      </c>
      <c r="F872" t="str">
        <f t="shared" si="409"/>
        <v>February</v>
      </c>
      <c r="G872">
        <f t="shared" si="410"/>
        <v>2025</v>
      </c>
      <c r="H872" t="s">
        <v>3573</v>
      </c>
      <c r="I872" s="4">
        <v>45709</v>
      </c>
      <c r="J872" s="8">
        <f t="shared" si="401"/>
        <v>0</v>
      </c>
      <c r="K872" s="8" t="str">
        <f t="shared" si="411"/>
        <v>OK</v>
      </c>
      <c r="L872" t="s">
        <v>3574</v>
      </c>
      <c r="M872" t="s">
        <v>24</v>
      </c>
      <c r="N872" t="str">
        <f t="shared" si="402"/>
        <v>Karan Malhotra</v>
      </c>
      <c r="O872" t="s">
        <v>114</v>
      </c>
      <c r="P872" t="str">
        <f t="shared" si="425"/>
        <v>Home Office</v>
      </c>
      <c r="Q872" t="s">
        <v>72</v>
      </c>
      <c r="R872" t="str">
        <f t="shared" si="426"/>
        <v>West</v>
      </c>
      <c r="S872" t="str">
        <f t="shared" si="412"/>
        <v>OK</v>
      </c>
      <c r="T872" t="s">
        <v>234</v>
      </c>
      <c r="U872" t="str">
        <f t="shared" si="403"/>
        <v>Gujarat</v>
      </c>
      <c r="V872" t="s">
        <v>235</v>
      </c>
      <c r="W872" t="str">
        <f t="shared" si="404"/>
        <v>Ahmedabad</v>
      </c>
      <c r="X872" t="str">
        <f t="shared" si="405"/>
        <v>Technology</v>
      </c>
      <c r="Y872" t="s">
        <v>85</v>
      </c>
      <c r="Z872" t="s">
        <v>222</v>
      </c>
      <c r="AA872" t="str">
        <f t="shared" si="406"/>
        <v>Phones</v>
      </c>
      <c r="AB872" t="s">
        <v>3575</v>
      </c>
      <c r="AD872" t="s">
        <v>4109</v>
      </c>
      <c r="AE872" t="str">
        <f t="shared" si="413"/>
        <v>MISSING_SHIP_MODE</v>
      </c>
      <c r="AF872">
        <v>4</v>
      </c>
      <c r="AG872">
        <v>2945.07</v>
      </c>
      <c r="AH872">
        <v>0.2</v>
      </c>
      <c r="AI872">
        <f t="shared" si="414"/>
        <v>0.2</v>
      </c>
      <c r="AJ872" t="str">
        <f t="shared" si="415"/>
        <v>OK</v>
      </c>
      <c r="AK872">
        <v>9424.2199999999993</v>
      </c>
      <c r="AL872">
        <v>6178.92</v>
      </c>
      <c r="AM872">
        <v>3245.3</v>
      </c>
      <c r="AN872" t="s">
        <v>33</v>
      </c>
      <c r="AO872" t="str">
        <f t="shared" si="407"/>
        <v>PAID</v>
      </c>
      <c r="AP872" t="str">
        <f t="shared" si="416"/>
        <v>OK</v>
      </c>
      <c r="AQ872" t="s">
        <v>34</v>
      </c>
      <c r="AR872" t="str">
        <f t="shared" si="408"/>
        <v>COMPLETED</v>
      </c>
      <c r="AS872" t="str">
        <f t="shared" si="417"/>
        <v>OK</v>
      </c>
      <c r="AT872">
        <f t="shared" si="418"/>
        <v>9424.2240000000002</v>
      </c>
      <c r="AU872">
        <f t="shared" si="419"/>
        <v>3245.3040000000001</v>
      </c>
      <c r="AV872" s="6">
        <f t="shared" si="420"/>
        <v>7.9231085763666068E-2</v>
      </c>
      <c r="AW872" t="str">
        <f t="shared" si="421"/>
        <v>WARNING</v>
      </c>
      <c r="AX872" s="10" t="str">
        <f t="shared" si="422"/>
        <v>MATCH</v>
      </c>
      <c r="AY872" t="str">
        <f t="shared" si="423"/>
        <v>MATCH</v>
      </c>
    </row>
    <row r="873" spans="1:51">
      <c r="A873" t="s">
        <v>3576</v>
      </c>
      <c r="B873">
        <f t="shared" si="399"/>
        <v>1</v>
      </c>
      <c r="C873" t="s">
        <v>3577</v>
      </c>
      <c r="D873" s="3">
        <v>45876</v>
      </c>
      <c r="E873" t="str">
        <f t="shared" si="400"/>
        <v>2025/08/07</v>
      </c>
      <c r="F873" t="str">
        <f t="shared" si="409"/>
        <v>August</v>
      </c>
      <c r="G873">
        <f t="shared" si="410"/>
        <v>2025</v>
      </c>
      <c r="H873" t="s">
        <v>1798</v>
      </c>
      <c r="I873" s="4">
        <v>45876</v>
      </c>
      <c r="J873" s="8">
        <f t="shared" si="401"/>
        <v>0</v>
      </c>
      <c r="K873" s="8" t="str">
        <f t="shared" si="411"/>
        <v>OK</v>
      </c>
      <c r="L873" t="s">
        <v>3578</v>
      </c>
      <c r="M873" t="s">
        <v>365</v>
      </c>
      <c r="N873" t="str">
        <f t="shared" si="402"/>
        <v>Kabir Singh</v>
      </c>
      <c r="O873" t="s">
        <v>25</v>
      </c>
      <c r="P873" t="str">
        <f t="shared" si="425"/>
        <v>Consumer</v>
      </c>
      <c r="Q873" t="s">
        <v>72</v>
      </c>
      <c r="R873" t="str">
        <f t="shared" si="426"/>
        <v>West</v>
      </c>
      <c r="S873" t="str">
        <f t="shared" si="412"/>
        <v>OK</v>
      </c>
      <c r="T873" t="s">
        <v>27</v>
      </c>
      <c r="U873" t="str">
        <f t="shared" si="403"/>
        <v>Rajasthan</v>
      </c>
      <c r="V873" t="s">
        <v>134</v>
      </c>
      <c r="W873" t="str">
        <f t="shared" si="404"/>
        <v>Udaipur</v>
      </c>
      <c r="X873" t="str">
        <f t="shared" si="405"/>
        <v>Technology</v>
      </c>
      <c r="Y873" t="s">
        <v>85</v>
      </c>
      <c r="Z873" t="s">
        <v>381</v>
      </c>
      <c r="AA873" t="str">
        <f t="shared" si="406"/>
        <v>Machines</v>
      </c>
      <c r="AB873" t="s">
        <v>3579</v>
      </c>
      <c r="AD873" t="s">
        <v>4109</v>
      </c>
      <c r="AE873" t="str">
        <f t="shared" si="413"/>
        <v>MISSING_SHIP_MODE</v>
      </c>
      <c r="AF873">
        <v>9</v>
      </c>
      <c r="AG873">
        <v>1076.75</v>
      </c>
      <c r="AH873">
        <v>0.2</v>
      </c>
      <c r="AI873">
        <f t="shared" si="414"/>
        <v>0.2</v>
      </c>
      <c r="AJ873" t="str">
        <f t="shared" si="415"/>
        <v>OK</v>
      </c>
      <c r="AK873">
        <v>7752.6</v>
      </c>
      <c r="AL873">
        <v>4689.3</v>
      </c>
      <c r="AM873">
        <v>3063.3</v>
      </c>
      <c r="AN873" t="s">
        <v>33</v>
      </c>
      <c r="AO873" t="str">
        <f t="shared" si="407"/>
        <v>PAID</v>
      </c>
      <c r="AP873" t="str">
        <f t="shared" si="416"/>
        <v>OK</v>
      </c>
      <c r="AQ873" t="s">
        <v>34</v>
      </c>
      <c r="AR873" t="str">
        <f t="shared" si="408"/>
        <v>COMPLETED</v>
      </c>
      <c r="AS873" t="str">
        <f t="shared" si="417"/>
        <v>OK</v>
      </c>
      <c r="AT873">
        <f t="shared" si="418"/>
        <v>7752.6</v>
      </c>
      <c r="AU873">
        <f t="shared" si="419"/>
        <v>3063.3</v>
      </c>
      <c r="AV873" s="6">
        <f t="shared" si="420"/>
        <v>0.61847560818306047</v>
      </c>
      <c r="AW873" t="str">
        <f t="shared" si="421"/>
        <v>WARNING</v>
      </c>
      <c r="AX873" s="10" t="str">
        <f t="shared" si="422"/>
        <v>MATCH</v>
      </c>
      <c r="AY873" t="str">
        <f t="shared" si="423"/>
        <v>MATCH</v>
      </c>
    </row>
    <row r="874" spans="1:51">
      <c r="A874" t="s">
        <v>3585</v>
      </c>
      <c r="B874">
        <f t="shared" si="399"/>
        <v>1</v>
      </c>
      <c r="C874" t="s">
        <v>3586</v>
      </c>
      <c r="D874" s="3">
        <v>45816</v>
      </c>
      <c r="E874" t="str">
        <f t="shared" si="400"/>
        <v>2025/06/08</v>
      </c>
      <c r="F874" t="str">
        <f t="shared" si="409"/>
        <v>June</v>
      </c>
      <c r="G874">
        <f t="shared" si="410"/>
        <v>2025</v>
      </c>
      <c r="H874" t="s">
        <v>2350</v>
      </c>
      <c r="I874" s="4">
        <v>45821</v>
      </c>
      <c r="J874" s="8">
        <f t="shared" si="401"/>
        <v>5</v>
      </c>
      <c r="K874" s="8" t="str">
        <f t="shared" si="411"/>
        <v>OK</v>
      </c>
      <c r="L874" t="s">
        <v>3587</v>
      </c>
      <c r="M874" t="s">
        <v>106</v>
      </c>
      <c r="N874" t="str">
        <f t="shared" si="402"/>
        <v>Aditi Sen</v>
      </c>
      <c r="O874" t="s">
        <v>40</v>
      </c>
      <c r="P874" t="str">
        <f t="shared" si="425"/>
        <v>Small Business</v>
      </c>
      <c r="Q874" t="s">
        <v>26</v>
      </c>
      <c r="R874" t="str">
        <f t="shared" si="426"/>
        <v>North</v>
      </c>
      <c r="S874" t="str">
        <f t="shared" si="412"/>
        <v>OK</v>
      </c>
      <c r="T874" t="s">
        <v>27</v>
      </c>
      <c r="U874" t="str">
        <f t="shared" si="403"/>
        <v>Rajasthan</v>
      </c>
      <c r="V874" t="s">
        <v>28</v>
      </c>
      <c r="W874" t="str">
        <f t="shared" si="404"/>
        <v>Jaipur</v>
      </c>
      <c r="X874" t="str">
        <f t="shared" si="405"/>
        <v>Technology</v>
      </c>
      <c r="Y874" t="s">
        <v>85</v>
      </c>
      <c r="Z874" t="s">
        <v>93</v>
      </c>
      <c r="AA874" t="str">
        <f t="shared" si="406"/>
        <v>Copiers</v>
      </c>
      <c r="AB874" t="s">
        <v>3588</v>
      </c>
      <c r="AC874" t="s">
        <v>32</v>
      </c>
      <c r="AD874" t="str">
        <f>PROPER(TRIM(SUBSTITUTE(AC874,CHAR(160)," ")))</f>
        <v>Second Class</v>
      </c>
      <c r="AE874" t="str">
        <f t="shared" si="413"/>
        <v>OK</v>
      </c>
      <c r="AF874">
        <v>7</v>
      </c>
      <c r="AG874">
        <v>3857.13</v>
      </c>
      <c r="AH874">
        <v>0</v>
      </c>
      <c r="AI874">
        <f t="shared" si="414"/>
        <v>0</v>
      </c>
      <c r="AJ874" t="str">
        <f t="shared" si="415"/>
        <v>OK</v>
      </c>
      <c r="AK874">
        <v>26999.91</v>
      </c>
      <c r="AL874">
        <v>17815.98</v>
      </c>
      <c r="AM874">
        <v>9183.93</v>
      </c>
      <c r="AN874" t="s">
        <v>33</v>
      </c>
      <c r="AO874" t="str">
        <f t="shared" si="407"/>
        <v>PAID</v>
      </c>
      <c r="AP874" t="str">
        <f t="shared" si="416"/>
        <v>OK</v>
      </c>
      <c r="AQ874" t="s">
        <v>34</v>
      </c>
      <c r="AR874" t="str">
        <f t="shared" si="408"/>
        <v>COMPLETED</v>
      </c>
      <c r="AS874" t="str">
        <f t="shared" si="417"/>
        <v>OK</v>
      </c>
      <c r="AT874">
        <f t="shared" si="418"/>
        <v>26999.91</v>
      </c>
      <c r="AU874">
        <f t="shared" si="419"/>
        <v>9183.93</v>
      </c>
      <c r="AV874" s="6">
        <f t="shared" si="420"/>
        <v>3.2812701968265821E-2</v>
      </c>
      <c r="AW874" t="str">
        <f t="shared" si="421"/>
        <v>CLEAN</v>
      </c>
      <c r="AX874" s="10" t="str">
        <f t="shared" si="422"/>
        <v>MATCH</v>
      </c>
      <c r="AY874" t="str">
        <f t="shared" si="423"/>
        <v>MATCH</v>
      </c>
    </row>
    <row r="875" spans="1:51">
      <c r="A875" t="s">
        <v>3609</v>
      </c>
      <c r="B875">
        <f t="shared" si="399"/>
        <v>1</v>
      </c>
      <c r="C875" t="s">
        <v>1434</v>
      </c>
      <c r="D875" s="3">
        <v>45730</v>
      </c>
      <c r="E875" t="str">
        <f t="shared" si="400"/>
        <v>2025/03/14</v>
      </c>
      <c r="F875" t="str">
        <f t="shared" si="409"/>
        <v>March</v>
      </c>
      <c r="G875">
        <f t="shared" si="410"/>
        <v>2025</v>
      </c>
      <c r="H875" t="s">
        <v>3610</v>
      </c>
      <c r="I875" s="4">
        <v>45738</v>
      </c>
      <c r="J875" s="8">
        <f t="shared" si="401"/>
        <v>8</v>
      </c>
      <c r="K875" s="8" t="str">
        <f t="shared" si="411"/>
        <v>OK</v>
      </c>
      <c r="L875" t="s">
        <v>3611</v>
      </c>
      <c r="M875" t="s">
        <v>39</v>
      </c>
      <c r="N875" t="str">
        <f t="shared" si="402"/>
        <v>Mira Das</v>
      </c>
      <c r="O875" t="s">
        <v>107</v>
      </c>
      <c r="P875" t="str">
        <f t="shared" si="425"/>
        <v>Corporate</v>
      </c>
      <c r="Q875" t="s">
        <v>41</v>
      </c>
      <c r="R875" t="str">
        <f t="shared" si="426"/>
        <v>East</v>
      </c>
      <c r="S875" t="str">
        <f t="shared" si="412"/>
        <v>OK</v>
      </c>
      <c r="T875" t="s">
        <v>120</v>
      </c>
      <c r="U875" t="str">
        <f t="shared" si="403"/>
        <v>West Bengal</v>
      </c>
      <c r="V875" t="s">
        <v>121</v>
      </c>
      <c r="W875" t="str">
        <f t="shared" si="404"/>
        <v>Kolkata</v>
      </c>
      <c r="X875" t="str">
        <f t="shared" si="405"/>
        <v>Technology</v>
      </c>
      <c r="Y875" t="s">
        <v>85</v>
      </c>
      <c r="Z875" t="s">
        <v>93</v>
      </c>
      <c r="AA875" t="str">
        <f t="shared" si="406"/>
        <v>Copiers</v>
      </c>
      <c r="AB875" t="s">
        <v>3612</v>
      </c>
      <c r="AC875" t="s">
        <v>66</v>
      </c>
      <c r="AD875" t="str">
        <f>PROPER(TRIM(SUBSTITUTE(AC875,CHAR(160)," ")))</f>
        <v>Standard Class</v>
      </c>
      <c r="AE875" t="str">
        <f t="shared" si="413"/>
        <v>OK</v>
      </c>
      <c r="AF875">
        <v>2</v>
      </c>
      <c r="AG875">
        <v>669.63</v>
      </c>
      <c r="AH875">
        <v>0.15</v>
      </c>
      <c r="AI875">
        <f t="shared" si="414"/>
        <v>0.15</v>
      </c>
      <c r="AJ875" t="str">
        <f t="shared" si="415"/>
        <v>OK</v>
      </c>
      <c r="AK875">
        <v>1138.3699999999999</v>
      </c>
      <c r="AL875">
        <v>797.34</v>
      </c>
      <c r="AM875">
        <v>341.03</v>
      </c>
      <c r="AN875" t="s">
        <v>33</v>
      </c>
      <c r="AO875" t="str">
        <f t="shared" si="407"/>
        <v>PAID</v>
      </c>
      <c r="AP875" t="str">
        <f t="shared" si="416"/>
        <v>OK</v>
      </c>
      <c r="AQ875" t="s">
        <v>34</v>
      </c>
      <c r="AR875" t="str">
        <f t="shared" si="408"/>
        <v>COMPLETED</v>
      </c>
      <c r="AS875" t="str">
        <f t="shared" si="417"/>
        <v>OK</v>
      </c>
      <c r="AT875">
        <f t="shared" si="418"/>
        <v>1138.3709999999999</v>
      </c>
      <c r="AU875">
        <f t="shared" si="419"/>
        <v>341.03099999999984</v>
      </c>
      <c r="AV875" s="6">
        <f t="shared" si="420"/>
        <v>2.3223755700031008</v>
      </c>
      <c r="AW875" t="str">
        <f t="shared" si="421"/>
        <v>CLEAN</v>
      </c>
      <c r="AX875" s="10" t="str">
        <f t="shared" si="422"/>
        <v>MATCH</v>
      </c>
      <c r="AY875" t="str">
        <f t="shared" si="423"/>
        <v>MATCH</v>
      </c>
    </row>
    <row r="876" spans="1:51">
      <c r="A876" t="s">
        <v>3618</v>
      </c>
      <c r="B876">
        <f t="shared" si="399"/>
        <v>1</v>
      </c>
      <c r="C876" t="s">
        <v>3619</v>
      </c>
      <c r="D876" s="3">
        <v>45757</v>
      </c>
      <c r="E876" t="str">
        <f t="shared" si="400"/>
        <v>2025/04/10</v>
      </c>
      <c r="F876" t="str">
        <f t="shared" si="409"/>
        <v>April</v>
      </c>
      <c r="G876">
        <f t="shared" si="410"/>
        <v>2025</v>
      </c>
      <c r="H876" t="s">
        <v>2552</v>
      </c>
      <c r="I876" s="4">
        <v>45935</v>
      </c>
      <c r="J876" s="8">
        <f t="shared" si="401"/>
        <v>178</v>
      </c>
      <c r="K876" s="8" t="str">
        <f t="shared" si="411"/>
        <v>OK</v>
      </c>
      <c r="L876" t="s">
        <v>3620</v>
      </c>
      <c r="M876" t="s">
        <v>141</v>
      </c>
      <c r="N876" t="str">
        <f t="shared" si="402"/>
        <v>Priya Menon</v>
      </c>
      <c r="O876" t="s">
        <v>107</v>
      </c>
      <c r="P876" t="str">
        <f t="shared" si="425"/>
        <v>Corporate</v>
      </c>
      <c r="Q876" t="s">
        <v>3621</v>
      </c>
      <c r="R876" t="str">
        <f t="shared" si="426"/>
        <v>North</v>
      </c>
      <c r="S876" t="str">
        <f t="shared" si="412"/>
        <v>OK</v>
      </c>
      <c r="T876" t="s">
        <v>153</v>
      </c>
      <c r="U876" t="str">
        <f t="shared" si="403"/>
        <v>Punjab</v>
      </c>
      <c r="V876" t="s">
        <v>154</v>
      </c>
      <c r="W876" t="str">
        <f t="shared" si="404"/>
        <v>Ludhiana</v>
      </c>
      <c r="X876" t="str">
        <f t="shared" si="405"/>
        <v>Technology</v>
      </c>
      <c r="Y876" t="s">
        <v>85</v>
      </c>
      <c r="Z876" t="s">
        <v>93</v>
      </c>
      <c r="AA876" t="str">
        <f t="shared" si="406"/>
        <v>Copiers</v>
      </c>
      <c r="AB876" t="s">
        <v>3622</v>
      </c>
      <c r="AC876" t="s">
        <v>55</v>
      </c>
      <c r="AD876" t="str">
        <f>PROPER(TRIM(SUBSTITUTE(AC876,CHAR(160)," ")))</f>
        <v>First Class</v>
      </c>
      <c r="AE876" t="str">
        <f t="shared" si="413"/>
        <v>OK</v>
      </c>
      <c r="AF876">
        <v>4</v>
      </c>
      <c r="AG876">
        <v>418.18</v>
      </c>
      <c r="AH876">
        <v>0.05</v>
      </c>
      <c r="AI876">
        <f t="shared" si="414"/>
        <v>0.05</v>
      </c>
      <c r="AJ876" t="str">
        <f t="shared" si="415"/>
        <v>OK</v>
      </c>
      <c r="AK876">
        <v>1589.08</v>
      </c>
      <c r="AL876">
        <v>1084.6600000000001</v>
      </c>
      <c r="AM876">
        <v>504.42</v>
      </c>
      <c r="AN876" t="s">
        <v>33</v>
      </c>
      <c r="AO876" t="str">
        <f t="shared" si="407"/>
        <v>PAID</v>
      </c>
      <c r="AP876" t="str">
        <f t="shared" si="416"/>
        <v>OK</v>
      </c>
      <c r="AQ876" t="s">
        <v>34</v>
      </c>
      <c r="AR876" t="str">
        <f t="shared" si="408"/>
        <v>COMPLETED</v>
      </c>
      <c r="AS876" t="str">
        <f t="shared" si="417"/>
        <v>OK</v>
      </c>
      <c r="AT876">
        <f t="shared" si="418"/>
        <v>1589.0840000000001</v>
      </c>
      <c r="AU876">
        <f t="shared" si="419"/>
        <v>504.42399999999998</v>
      </c>
      <c r="AV876" s="6">
        <f t="shared" si="420"/>
        <v>6.9219713998756509</v>
      </c>
      <c r="AW876" t="str">
        <f t="shared" si="421"/>
        <v>CLEAN</v>
      </c>
      <c r="AX876" s="10" t="str">
        <f t="shared" si="422"/>
        <v>MATCH</v>
      </c>
      <c r="AY876" t="str">
        <f t="shared" si="423"/>
        <v>MATCH</v>
      </c>
    </row>
    <row r="877" spans="1:51">
      <c r="A877" t="s">
        <v>3627</v>
      </c>
      <c r="B877">
        <f t="shared" si="399"/>
        <v>1</v>
      </c>
      <c r="C877" t="s">
        <v>1270</v>
      </c>
      <c r="D877" s="3">
        <v>45815</v>
      </c>
      <c r="E877" t="str">
        <f t="shared" si="400"/>
        <v>2025/06/07</v>
      </c>
      <c r="F877" t="str">
        <f t="shared" si="409"/>
        <v>June</v>
      </c>
      <c r="G877">
        <f t="shared" si="410"/>
        <v>2025</v>
      </c>
      <c r="H877" t="s">
        <v>2852</v>
      </c>
      <c r="I877" s="4">
        <v>45846</v>
      </c>
      <c r="J877" s="8">
        <f t="shared" si="401"/>
        <v>31</v>
      </c>
      <c r="K877" s="8" t="str">
        <f t="shared" si="411"/>
        <v>OK</v>
      </c>
      <c r="L877" t="s">
        <v>3628</v>
      </c>
      <c r="M877" t="s">
        <v>71</v>
      </c>
      <c r="N877" t="str">
        <f t="shared" si="402"/>
        <v>Ananya Rao</v>
      </c>
      <c r="O877" t="s">
        <v>107</v>
      </c>
      <c r="P877" t="str">
        <f t="shared" si="425"/>
        <v>Corporate</v>
      </c>
      <c r="Q877" t="s">
        <v>26</v>
      </c>
      <c r="R877" t="str">
        <f t="shared" si="426"/>
        <v>North</v>
      </c>
      <c r="S877" t="str">
        <f t="shared" si="412"/>
        <v>OK</v>
      </c>
      <c r="T877" t="s">
        <v>27</v>
      </c>
      <c r="U877" t="str">
        <f t="shared" si="403"/>
        <v>Rajasthan</v>
      </c>
      <c r="V877" t="s">
        <v>28</v>
      </c>
      <c r="W877" t="str">
        <f t="shared" si="404"/>
        <v>Jaipur</v>
      </c>
      <c r="X877" t="str">
        <f t="shared" si="405"/>
        <v>Furniture</v>
      </c>
      <c r="Y877" t="s">
        <v>44</v>
      </c>
      <c r="Z877" t="s">
        <v>64</v>
      </c>
      <c r="AA877" t="str">
        <f t="shared" si="406"/>
        <v>Furnishings</v>
      </c>
      <c r="AB877" t="s">
        <v>3629</v>
      </c>
      <c r="AD877" t="s">
        <v>4109</v>
      </c>
      <c r="AE877" t="str">
        <f t="shared" si="413"/>
        <v>MISSING_SHIP_MODE</v>
      </c>
      <c r="AF877">
        <v>4</v>
      </c>
      <c r="AG877">
        <v>715.45</v>
      </c>
      <c r="AH877">
        <v>0.05</v>
      </c>
      <c r="AI877">
        <f t="shared" si="414"/>
        <v>0.05</v>
      </c>
      <c r="AJ877" t="str">
        <f t="shared" si="415"/>
        <v>OK</v>
      </c>
      <c r="AK877">
        <v>2718.71</v>
      </c>
      <c r="AL877">
        <v>2065.0500000000002</v>
      </c>
      <c r="AM877">
        <v>653.66</v>
      </c>
      <c r="AN877" t="s">
        <v>123</v>
      </c>
      <c r="AO877" t="str">
        <f t="shared" si="407"/>
        <v>REFUNDED</v>
      </c>
      <c r="AP877" t="str">
        <f t="shared" si="416"/>
        <v>REFUNDED_PAYMENT</v>
      </c>
      <c r="AQ877" t="s">
        <v>124</v>
      </c>
      <c r="AR877" t="str">
        <f t="shared" si="408"/>
        <v>RETURNED</v>
      </c>
      <c r="AS877" t="str">
        <f t="shared" si="417"/>
        <v>RETURNED_ORDER</v>
      </c>
      <c r="AT877">
        <f t="shared" si="418"/>
        <v>2718.71</v>
      </c>
      <c r="AU877">
        <f t="shared" si="419"/>
        <v>653.65999999999985</v>
      </c>
      <c r="AV877" s="6">
        <f t="shared" si="420"/>
        <v>1.0293896737791088</v>
      </c>
      <c r="AW877" t="str">
        <f t="shared" si="421"/>
        <v>WARNING</v>
      </c>
      <c r="AX877" s="10" t="str">
        <f t="shared" si="422"/>
        <v>MATCH</v>
      </c>
      <c r="AY877" t="str">
        <f t="shared" si="423"/>
        <v>MATCH</v>
      </c>
    </row>
    <row r="878" spans="1:51">
      <c r="A878" t="s">
        <v>3637</v>
      </c>
      <c r="B878">
        <f t="shared" si="399"/>
        <v>1</v>
      </c>
      <c r="C878" t="s">
        <v>3638</v>
      </c>
      <c r="D878" s="2">
        <v>45841</v>
      </c>
      <c r="E878" t="str">
        <f t="shared" si="400"/>
        <v>2025/07/03</v>
      </c>
      <c r="F878" t="str">
        <f t="shared" si="409"/>
        <v>July</v>
      </c>
      <c r="G878">
        <f t="shared" si="410"/>
        <v>2025</v>
      </c>
      <c r="H878" t="s">
        <v>2323</v>
      </c>
      <c r="I878" s="4">
        <v>45724</v>
      </c>
      <c r="J878" s="8">
        <f t="shared" si="401"/>
        <v>-117</v>
      </c>
      <c r="K878" s="8" t="str">
        <f t="shared" si="411"/>
        <v>INVAILD_SHIPPING</v>
      </c>
      <c r="L878" t="s">
        <v>3639</v>
      </c>
      <c r="M878" t="s">
        <v>141</v>
      </c>
      <c r="N878" t="str">
        <f t="shared" si="402"/>
        <v>Priya Menon</v>
      </c>
      <c r="O878" t="s">
        <v>114</v>
      </c>
      <c r="P878" t="str">
        <f t="shared" si="425"/>
        <v>Home Office</v>
      </c>
      <c r="R878" t="s">
        <v>4109</v>
      </c>
      <c r="S878" t="str">
        <f t="shared" si="412"/>
        <v>MISSING_REGION</v>
      </c>
      <c r="T878" t="s">
        <v>27</v>
      </c>
      <c r="U878" t="str">
        <f t="shared" si="403"/>
        <v>Rajasthan</v>
      </c>
      <c r="V878" t="s">
        <v>134</v>
      </c>
      <c r="W878" t="str">
        <f t="shared" si="404"/>
        <v>Udaipur</v>
      </c>
      <c r="X878" t="str">
        <f t="shared" si="405"/>
        <v>Technology</v>
      </c>
      <c r="Y878" t="s">
        <v>85</v>
      </c>
      <c r="Z878" t="s">
        <v>93</v>
      </c>
      <c r="AA878" t="str">
        <f t="shared" si="406"/>
        <v>Copiers</v>
      </c>
      <c r="AB878" t="s">
        <v>3640</v>
      </c>
      <c r="AC878" t="s">
        <v>47</v>
      </c>
      <c r="AD878" t="str">
        <f t="shared" ref="AD878:AD909" si="428">PROPER(TRIM(SUBSTITUTE(AC878,CHAR(160)," ")))</f>
        <v>Same Day</v>
      </c>
      <c r="AE878" t="str">
        <f t="shared" si="413"/>
        <v>OK</v>
      </c>
      <c r="AF878">
        <v>4</v>
      </c>
      <c r="AG878">
        <v>3537.48</v>
      </c>
      <c r="AH878">
        <v>0</v>
      </c>
      <c r="AI878">
        <f t="shared" si="414"/>
        <v>0</v>
      </c>
      <c r="AJ878" t="str">
        <f t="shared" si="415"/>
        <v>OK</v>
      </c>
      <c r="AK878">
        <v>14149.92</v>
      </c>
      <c r="AL878">
        <v>9466.51</v>
      </c>
      <c r="AM878">
        <v>4683.41</v>
      </c>
      <c r="AN878" t="s">
        <v>33</v>
      </c>
      <c r="AO878" t="str">
        <f t="shared" si="407"/>
        <v>PAID</v>
      </c>
      <c r="AP878" t="str">
        <f t="shared" si="416"/>
        <v>OK</v>
      </c>
      <c r="AQ878" t="s">
        <v>34</v>
      </c>
      <c r="AR878" t="str">
        <f t="shared" si="408"/>
        <v>COMPLETED</v>
      </c>
      <c r="AS878" t="str">
        <f t="shared" si="417"/>
        <v>OK</v>
      </c>
      <c r="AT878">
        <f t="shared" si="418"/>
        <v>14149.92</v>
      </c>
      <c r="AU878">
        <f t="shared" si="419"/>
        <v>4683.41</v>
      </c>
      <c r="AV878" s="6">
        <f t="shared" si="420"/>
        <v>0.75415232029580381</v>
      </c>
      <c r="AW878" t="str">
        <f t="shared" si="421"/>
        <v>WARNING</v>
      </c>
      <c r="AX878" s="10" t="str">
        <f t="shared" si="422"/>
        <v>MATCH</v>
      </c>
      <c r="AY878" t="str">
        <f t="shared" si="423"/>
        <v>MATCH</v>
      </c>
    </row>
    <row r="879" spans="1:51">
      <c r="A879" t="s">
        <v>3650</v>
      </c>
      <c r="B879">
        <f t="shared" si="399"/>
        <v>1</v>
      </c>
      <c r="C879" t="s">
        <v>1229</v>
      </c>
      <c r="D879" s="3">
        <v>45753</v>
      </c>
      <c r="E879" t="str">
        <f t="shared" si="400"/>
        <v>2025/04/06</v>
      </c>
      <c r="F879" t="str">
        <f t="shared" si="409"/>
        <v>April</v>
      </c>
      <c r="G879">
        <f t="shared" si="410"/>
        <v>2025</v>
      </c>
      <c r="H879" t="s">
        <v>3651</v>
      </c>
      <c r="I879" s="4">
        <v>45816</v>
      </c>
      <c r="J879" s="8">
        <f t="shared" si="401"/>
        <v>63</v>
      </c>
      <c r="K879" s="8" t="str">
        <f t="shared" si="411"/>
        <v>OK</v>
      </c>
      <c r="L879" t="s">
        <v>3652</v>
      </c>
      <c r="M879" t="s">
        <v>60</v>
      </c>
      <c r="N879" t="str">
        <f t="shared" si="402"/>
        <v>Arjun Bose</v>
      </c>
      <c r="O879" t="s">
        <v>40</v>
      </c>
      <c r="P879" t="str">
        <f t="shared" si="425"/>
        <v>Small Business</v>
      </c>
      <c r="Q879" t="s">
        <v>41</v>
      </c>
      <c r="R879" t="str">
        <f t="shared" ref="R879:R887" si="429">PROPER(TRIM(SUBSTITUTE(Q879,CHAR(160)," ")))</f>
        <v>East</v>
      </c>
      <c r="S879" t="str">
        <f t="shared" si="412"/>
        <v>OK</v>
      </c>
      <c r="T879" t="s">
        <v>215</v>
      </c>
      <c r="U879" t="str">
        <f t="shared" si="403"/>
        <v>Assam</v>
      </c>
      <c r="V879" t="s">
        <v>216</v>
      </c>
      <c r="W879" t="str">
        <f t="shared" si="404"/>
        <v>Guwahati</v>
      </c>
      <c r="X879" t="str">
        <f t="shared" si="405"/>
        <v>Furniture</v>
      </c>
      <c r="Y879" t="s">
        <v>44</v>
      </c>
      <c r="Z879" t="s">
        <v>64</v>
      </c>
      <c r="AA879" t="str">
        <f t="shared" si="406"/>
        <v>Furnishings</v>
      </c>
      <c r="AB879" t="s">
        <v>3653</v>
      </c>
      <c r="AC879" t="s">
        <v>32</v>
      </c>
      <c r="AD879" t="str">
        <f t="shared" si="428"/>
        <v>Second Class</v>
      </c>
      <c r="AE879" t="str">
        <f t="shared" si="413"/>
        <v>OK</v>
      </c>
      <c r="AF879">
        <v>1</v>
      </c>
      <c r="AG879">
        <v>3501.12</v>
      </c>
      <c r="AH879">
        <v>0.2</v>
      </c>
      <c r="AI879">
        <f t="shared" si="414"/>
        <v>0.2</v>
      </c>
      <c r="AJ879" t="str">
        <f t="shared" si="415"/>
        <v>OK</v>
      </c>
      <c r="AK879">
        <v>2800.9</v>
      </c>
      <c r="AL879">
        <v>1735.98</v>
      </c>
      <c r="AM879">
        <v>1064.92</v>
      </c>
      <c r="AN879" t="s">
        <v>33</v>
      </c>
      <c r="AO879" t="str">
        <f t="shared" si="407"/>
        <v>PAID</v>
      </c>
      <c r="AP879" t="str">
        <f t="shared" si="416"/>
        <v>OK</v>
      </c>
      <c r="AQ879" t="s">
        <v>124</v>
      </c>
      <c r="AR879" t="str">
        <f t="shared" si="408"/>
        <v>RETURNED</v>
      </c>
      <c r="AS879" t="str">
        <f t="shared" si="417"/>
        <v>RETURNED_ORDER</v>
      </c>
      <c r="AT879">
        <f t="shared" si="418"/>
        <v>2800.8960000000002</v>
      </c>
      <c r="AU879">
        <f t="shared" si="419"/>
        <v>1064.9160000000002</v>
      </c>
      <c r="AV879" s="6">
        <f t="shared" si="420"/>
        <v>3.8842788164930102</v>
      </c>
      <c r="AW879" t="str">
        <f t="shared" si="421"/>
        <v>CLEAN</v>
      </c>
      <c r="AX879" s="10" t="str">
        <f t="shared" si="422"/>
        <v>MATCH</v>
      </c>
      <c r="AY879" t="str">
        <f t="shared" si="423"/>
        <v>MATCH</v>
      </c>
    </row>
    <row r="880" spans="1:51">
      <c r="A880" t="s">
        <v>3658</v>
      </c>
      <c r="B880">
        <f t="shared" si="399"/>
        <v>1</v>
      </c>
      <c r="C880" t="s">
        <v>3659</v>
      </c>
      <c r="D880" s="3">
        <v>45830</v>
      </c>
      <c r="E880" t="str">
        <f t="shared" si="400"/>
        <v>2025/06/22</v>
      </c>
      <c r="F880" t="str">
        <f t="shared" si="409"/>
        <v>June</v>
      </c>
      <c r="G880">
        <f t="shared" si="410"/>
        <v>2025</v>
      </c>
      <c r="H880" t="s">
        <v>995</v>
      </c>
      <c r="I880" s="4">
        <v>45832</v>
      </c>
      <c r="J880" s="8">
        <f t="shared" si="401"/>
        <v>2</v>
      </c>
      <c r="K880" s="8" t="str">
        <f t="shared" si="411"/>
        <v>OK</v>
      </c>
      <c r="L880" t="s">
        <v>3660</v>
      </c>
      <c r="M880" t="s">
        <v>167</v>
      </c>
      <c r="N880" t="str">
        <f t="shared" si="402"/>
        <v>Sneha Kapoor</v>
      </c>
      <c r="O880" t="s">
        <v>107</v>
      </c>
      <c r="P880" t="str">
        <f t="shared" si="425"/>
        <v>Corporate</v>
      </c>
      <c r="Q880" t="s">
        <v>41</v>
      </c>
      <c r="R880" t="str">
        <f t="shared" si="429"/>
        <v>East</v>
      </c>
      <c r="S880" t="str">
        <f t="shared" si="412"/>
        <v>OK</v>
      </c>
      <c r="T880" t="s">
        <v>215</v>
      </c>
      <c r="U880" t="str">
        <f t="shared" si="403"/>
        <v>Assam</v>
      </c>
      <c r="V880" t="s">
        <v>216</v>
      </c>
      <c r="W880" t="str">
        <f t="shared" si="404"/>
        <v>Guwahati</v>
      </c>
      <c r="X880" t="str">
        <f t="shared" si="405"/>
        <v>Office Supplies</v>
      </c>
      <c r="Y880" t="s">
        <v>29</v>
      </c>
      <c r="Z880" t="s">
        <v>30</v>
      </c>
      <c r="AA880" t="str">
        <f t="shared" si="406"/>
        <v>Paper</v>
      </c>
      <c r="AB880" t="s">
        <v>3661</v>
      </c>
      <c r="AC880" t="s">
        <v>66</v>
      </c>
      <c r="AD880" t="str">
        <f t="shared" si="428"/>
        <v>Standard Class</v>
      </c>
      <c r="AE880" t="str">
        <f t="shared" si="413"/>
        <v>OK</v>
      </c>
      <c r="AF880">
        <v>9</v>
      </c>
      <c r="AG880">
        <v>951.55</v>
      </c>
      <c r="AH880">
        <v>0.15</v>
      </c>
      <c r="AI880">
        <f t="shared" si="414"/>
        <v>0.15</v>
      </c>
      <c r="AJ880" t="str">
        <f t="shared" si="415"/>
        <v>OK</v>
      </c>
      <c r="AK880">
        <v>7279.36</v>
      </c>
      <c r="AL880">
        <v>4870.3900000000003</v>
      </c>
      <c r="AM880">
        <v>2408.9699999999998</v>
      </c>
      <c r="AN880" t="s">
        <v>33</v>
      </c>
      <c r="AO880" t="str">
        <f t="shared" si="407"/>
        <v>PAID</v>
      </c>
      <c r="AP880" t="str">
        <f t="shared" si="416"/>
        <v>OK</v>
      </c>
      <c r="AQ880" t="s">
        <v>34</v>
      </c>
      <c r="AR880" t="str">
        <f t="shared" si="408"/>
        <v>COMPLETED</v>
      </c>
      <c r="AS880" t="str">
        <f t="shared" si="417"/>
        <v>OK</v>
      </c>
      <c r="AT880">
        <f t="shared" si="418"/>
        <v>7279.3574999999992</v>
      </c>
      <c r="AU880">
        <f t="shared" si="419"/>
        <v>2408.9674999999988</v>
      </c>
      <c r="AV880" s="6">
        <f t="shared" si="420"/>
        <v>0.59973335558804464</v>
      </c>
      <c r="AW880" t="str">
        <f t="shared" si="421"/>
        <v>CLEAN</v>
      </c>
      <c r="AX880" s="10" t="str">
        <f t="shared" si="422"/>
        <v>MATCH</v>
      </c>
      <c r="AY880" t="str">
        <f t="shared" si="423"/>
        <v>MATCH</v>
      </c>
    </row>
    <row r="881" spans="1:51">
      <c r="A881" t="s">
        <v>3674</v>
      </c>
      <c r="B881">
        <f t="shared" si="399"/>
        <v>1</v>
      </c>
      <c r="C881" t="s">
        <v>3675</v>
      </c>
      <c r="D881" s="3">
        <v>45968</v>
      </c>
      <c r="E881" t="str">
        <f t="shared" si="400"/>
        <v>2025/11/07</v>
      </c>
      <c r="F881" t="str">
        <f t="shared" si="409"/>
        <v>November</v>
      </c>
      <c r="G881">
        <f t="shared" si="410"/>
        <v>2025</v>
      </c>
      <c r="H881" t="s">
        <v>3676</v>
      </c>
      <c r="I881" s="4">
        <v>45907</v>
      </c>
      <c r="J881" s="8">
        <f t="shared" si="401"/>
        <v>-61</v>
      </c>
      <c r="K881" s="8" t="str">
        <f t="shared" si="411"/>
        <v>INVAILD_SHIPPING</v>
      </c>
      <c r="L881" t="s">
        <v>3677</v>
      </c>
      <c r="M881" t="s">
        <v>106</v>
      </c>
      <c r="N881" t="str">
        <f t="shared" si="402"/>
        <v>Aditi Sen</v>
      </c>
      <c r="O881" t="s">
        <v>107</v>
      </c>
      <c r="P881" t="str">
        <f t="shared" si="425"/>
        <v>Corporate</v>
      </c>
      <c r="Q881" t="s">
        <v>26</v>
      </c>
      <c r="R881" t="str">
        <f t="shared" si="429"/>
        <v>North</v>
      </c>
      <c r="S881" t="str">
        <f t="shared" si="412"/>
        <v>OK</v>
      </c>
      <c r="T881" t="s">
        <v>505</v>
      </c>
      <c r="U881" t="str">
        <f t="shared" si="403"/>
        <v>Delhi</v>
      </c>
      <c r="V881" t="s">
        <v>506</v>
      </c>
      <c r="W881" t="str">
        <f t="shared" si="404"/>
        <v>New Delhi</v>
      </c>
      <c r="X881" t="str">
        <f t="shared" si="405"/>
        <v>Furniture</v>
      </c>
      <c r="Y881" t="s">
        <v>44</v>
      </c>
      <c r="Z881" t="s">
        <v>64</v>
      </c>
      <c r="AA881" t="str">
        <f t="shared" si="406"/>
        <v>Furnishings</v>
      </c>
      <c r="AB881" t="s">
        <v>3678</v>
      </c>
      <c r="AC881" t="s">
        <v>66</v>
      </c>
      <c r="AD881" t="str">
        <f t="shared" si="428"/>
        <v>Standard Class</v>
      </c>
      <c r="AE881" t="str">
        <f t="shared" si="413"/>
        <v>OK</v>
      </c>
      <c r="AF881">
        <v>9</v>
      </c>
      <c r="AG881">
        <v>1706.05</v>
      </c>
      <c r="AH881">
        <v>0</v>
      </c>
      <c r="AI881">
        <f t="shared" si="414"/>
        <v>0</v>
      </c>
      <c r="AJ881" t="str">
        <f t="shared" si="415"/>
        <v>OK</v>
      </c>
      <c r="AK881">
        <v>15354.45</v>
      </c>
      <c r="AL881">
        <v>9656.5</v>
      </c>
      <c r="AM881">
        <v>5697.95</v>
      </c>
      <c r="AN881" t="s">
        <v>33</v>
      </c>
      <c r="AO881" t="str">
        <f t="shared" si="407"/>
        <v>PAID</v>
      </c>
      <c r="AP881" t="str">
        <f t="shared" si="416"/>
        <v>OK</v>
      </c>
      <c r="AQ881" t="s">
        <v>34</v>
      </c>
      <c r="AR881" t="str">
        <f t="shared" si="408"/>
        <v>COMPLETED</v>
      </c>
      <c r="AS881" t="str">
        <f t="shared" si="417"/>
        <v>OK</v>
      </c>
      <c r="AT881">
        <f t="shared" si="418"/>
        <v>15354.449999999999</v>
      </c>
      <c r="AU881">
        <f t="shared" si="419"/>
        <v>5697.9499999999989</v>
      </c>
      <c r="AV881" s="6">
        <f t="shared" si="420"/>
        <v>0.18621946732054875</v>
      </c>
      <c r="AW881" t="str">
        <f t="shared" si="421"/>
        <v>CLEAN</v>
      </c>
      <c r="AX881" s="10" t="str">
        <f t="shared" si="422"/>
        <v>MATCH</v>
      </c>
      <c r="AY881" t="str">
        <f t="shared" si="423"/>
        <v>MATCH</v>
      </c>
    </row>
    <row r="882" spans="1:51">
      <c r="A882" t="s">
        <v>3687</v>
      </c>
      <c r="B882">
        <f t="shared" si="399"/>
        <v>1</v>
      </c>
      <c r="C882" t="s">
        <v>3688</v>
      </c>
      <c r="D882" s="3">
        <v>45879</v>
      </c>
      <c r="E882" t="str">
        <f t="shared" si="400"/>
        <v>2025/08/10</v>
      </c>
      <c r="F882" t="str">
        <f t="shared" si="409"/>
        <v>August</v>
      </c>
      <c r="G882">
        <f t="shared" si="410"/>
        <v>2025</v>
      </c>
      <c r="H882" t="s">
        <v>308</v>
      </c>
      <c r="I882" s="4">
        <v>45945</v>
      </c>
      <c r="J882" s="8">
        <f t="shared" si="401"/>
        <v>66</v>
      </c>
      <c r="K882" s="8" t="str">
        <f t="shared" si="411"/>
        <v>OK</v>
      </c>
      <c r="L882" t="s">
        <v>3689</v>
      </c>
      <c r="M882" t="s">
        <v>161</v>
      </c>
      <c r="N882" t="str">
        <f t="shared" si="402"/>
        <v>Aarav Sharma</v>
      </c>
      <c r="O882" t="s">
        <v>114</v>
      </c>
      <c r="P882" t="str">
        <f t="shared" si="425"/>
        <v>Home Office</v>
      </c>
      <c r="Q882" t="s">
        <v>41</v>
      </c>
      <c r="R882" t="str">
        <f t="shared" si="429"/>
        <v>East</v>
      </c>
      <c r="S882" t="str">
        <f t="shared" si="412"/>
        <v>OK</v>
      </c>
      <c r="T882" t="s">
        <v>42</v>
      </c>
      <c r="U882" t="str">
        <f t="shared" si="403"/>
        <v>Odisha</v>
      </c>
      <c r="V882" t="s">
        <v>43</v>
      </c>
      <c r="W882" t="str">
        <f t="shared" si="404"/>
        <v>Bhubaneswar</v>
      </c>
      <c r="X882" t="str">
        <f t="shared" si="405"/>
        <v>Technology</v>
      </c>
      <c r="Y882" t="s">
        <v>85</v>
      </c>
      <c r="Z882" t="s">
        <v>86</v>
      </c>
      <c r="AA882" t="str">
        <f t="shared" si="406"/>
        <v>Accessories</v>
      </c>
      <c r="AB882" t="s">
        <v>3690</v>
      </c>
      <c r="AC882" t="s">
        <v>32</v>
      </c>
      <c r="AD882" t="str">
        <f t="shared" si="428"/>
        <v>Second Class</v>
      </c>
      <c r="AE882" t="str">
        <f t="shared" si="413"/>
        <v>OK</v>
      </c>
      <c r="AF882">
        <v>3</v>
      </c>
      <c r="AG882">
        <v>3372.21</v>
      </c>
      <c r="AH882">
        <v>0.2</v>
      </c>
      <c r="AI882">
        <f t="shared" si="414"/>
        <v>0.2</v>
      </c>
      <c r="AJ882" t="str">
        <f t="shared" si="415"/>
        <v>OK</v>
      </c>
      <c r="AK882">
        <v>8093.3</v>
      </c>
      <c r="AL882">
        <v>6052.43</v>
      </c>
      <c r="AM882">
        <v>2040.87</v>
      </c>
      <c r="AN882" t="s">
        <v>136</v>
      </c>
      <c r="AO882" t="str">
        <f t="shared" si="407"/>
        <v>PENDING</v>
      </c>
      <c r="AP882" t="str">
        <f t="shared" si="416"/>
        <v>OK</v>
      </c>
      <c r="AQ882" t="s">
        <v>77</v>
      </c>
      <c r="AR882" t="str">
        <f t="shared" si="408"/>
        <v>CANCELLED</v>
      </c>
      <c r="AS882" t="str">
        <f t="shared" si="417"/>
        <v>EXCLUDE_FROM_SALES</v>
      </c>
      <c r="AT882">
        <f t="shared" si="418"/>
        <v>8093.304000000001</v>
      </c>
      <c r="AU882">
        <f t="shared" si="419"/>
        <v>2040.8740000000007</v>
      </c>
      <c r="AV882" s="6">
        <f t="shared" si="420"/>
        <v>7.8651438275394059E-2</v>
      </c>
      <c r="AW882" t="str">
        <f t="shared" si="421"/>
        <v>CLEAN</v>
      </c>
      <c r="AX882" s="10" t="str">
        <f t="shared" si="422"/>
        <v>MATCH</v>
      </c>
      <c r="AY882" t="str">
        <f t="shared" si="423"/>
        <v>MATCH</v>
      </c>
    </row>
    <row r="883" spans="1:51">
      <c r="A883" t="s">
        <v>3691</v>
      </c>
      <c r="B883">
        <f t="shared" si="399"/>
        <v>1</v>
      </c>
      <c r="C883" t="s">
        <v>3171</v>
      </c>
      <c r="D883" s="2">
        <v>45704</v>
      </c>
      <c r="E883" t="str">
        <f t="shared" si="400"/>
        <v>2025/02/16</v>
      </c>
      <c r="F883" t="str">
        <f t="shared" si="409"/>
        <v>February</v>
      </c>
      <c r="G883">
        <f t="shared" si="410"/>
        <v>2025</v>
      </c>
      <c r="H883" t="s">
        <v>3692</v>
      </c>
      <c r="I883" s="4">
        <v>45704</v>
      </c>
      <c r="J883" s="8">
        <f t="shared" si="401"/>
        <v>0</v>
      </c>
      <c r="K883" s="8" t="str">
        <f t="shared" si="411"/>
        <v>OK</v>
      </c>
      <c r="L883" t="s">
        <v>3693</v>
      </c>
      <c r="M883" t="s">
        <v>179</v>
      </c>
      <c r="N883" t="str">
        <f t="shared" si="402"/>
        <v>Rohan Mehta</v>
      </c>
      <c r="O883" t="s">
        <v>40</v>
      </c>
      <c r="P883" t="str">
        <f t="shared" si="425"/>
        <v>Small Business</v>
      </c>
      <c r="Q883" t="s">
        <v>41</v>
      </c>
      <c r="R883" t="str">
        <f t="shared" si="429"/>
        <v>East</v>
      </c>
      <c r="S883" t="str">
        <f t="shared" si="412"/>
        <v>OK</v>
      </c>
      <c r="T883" t="s">
        <v>215</v>
      </c>
      <c r="U883" t="str">
        <f t="shared" si="403"/>
        <v>Assam</v>
      </c>
      <c r="V883" t="s">
        <v>216</v>
      </c>
      <c r="W883" t="str">
        <f t="shared" si="404"/>
        <v>Guwahati</v>
      </c>
      <c r="X883" t="str">
        <f t="shared" si="405"/>
        <v>Furniture</v>
      </c>
      <c r="Y883" t="s">
        <v>44</v>
      </c>
      <c r="Z883" t="s">
        <v>64</v>
      </c>
      <c r="AA883" t="str">
        <f t="shared" si="406"/>
        <v>Furnishings</v>
      </c>
      <c r="AB883" t="s">
        <v>3694</v>
      </c>
      <c r="AC883" t="s">
        <v>32</v>
      </c>
      <c r="AD883" t="str">
        <f t="shared" si="428"/>
        <v>Second Class</v>
      </c>
      <c r="AE883" t="str">
        <f t="shared" si="413"/>
        <v>OK</v>
      </c>
      <c r="AF883">
        <v>6</v>
      </c>
      <c r="AG883">
        <v>1441.91</v>
      </c>
      <c r="AH883">
        <v>0</v>
      </c>
      <c r="AI883">
        <f t="shared" si="414"/>
        <v>0</v>
      </c>
      <c r="AJ883" t="str">
        <f t="shared" si="415"/>
        <v>OK</v>
      </c>
      <c r="AK883">
        <v>8651.4599999999991</v>
      </c>
      <c r="AL883">
        <v>5254.62</v>
      </c>
      <c r="AM883">
        <v>3396.84</v>
      </c>
      <c r="AN883" t="s">
        <v>3695</v>
      </c>
      <c r="AO883" t="str">
        <f t="shared" si="407"/>
        <v>FAILED</v>
      </c>
      <c r="AP883" t="str">
        <f t="shared" si="416"/>
        <v>EXCLUDE_FROM_SALES</v>
      </c>
      <c r="AQ883" t="s">
        <v>124</v>
      </c>
      <c r="AR883" t="str">
        <f t="shared" si="408"/>
        <v>RETURNED</v>
      </c>
      <c r="AS883" t="str">
        <f t="shared" si="417"/>
        <v>RETURNED_ORDER</v>
      </c>
      <c r="AT883">
        <f t="shared" si="418"/>
        <v>8651.4600000000009</v>
      </c>
      <c r="AU883">
        <f t="shared" si="419"/>
        <v>3396.8400000000011</v>
      </c>
      <c r="AV883" s="6">
        <f t="shared" si="420"/>
        <v>0.19138503790111716</v>
      </c>
      <c r="AW883" t="str">
        <f t="shared" si="421"/>
        <v>CLEAN</v>
      </c>
      <c r="AX883" s="10" t="str">
        <f t="shared" si="422"/>
        <v>MATCH</v>
      </c>
      <c r="AY883" t="str">
        <f t="shared" si="423"/>
        <v>MATCH</v>
      </c>
    </row>
    <row r="884" spans="1:51">
      <c r="A884" t="s">
        <v>3700</v>
      </c>
      <c r="B884">
        <f t="shared" si="399"/>
        <v>1</v>
      </c>
      <c r="C884" t="s">
        <v>988</v>
      </c>
      <c r="D884" s="3">
        <v>45910</v>
      </c>
      <c r="E884" t="str">
        <f t="shared" si="400"/>
        <v>2025/09/10</v>
      </c>
      <c r="F884" t="str">
        <f t="shared" si="409"/>
        <v>September</v>
      </c>
      <c r="G884">
        <f t="shared" si="410"/>
        <v>2025</v>
      </c>
      <c r="H884" t="s">
        <v>2195</v>
      </c>
      <c r="I884" s="4">
        <v>45918</v>
      </c>
      <c r="J884" s="8">
        <f t="shared" si="401"/>
        <v>8</v>
      </c>
      <c r="K884" s="8" t="str">
        <f t="shared" si="411"/>
        <v>OK</v>
      </c>
      <c r="L884" t="s">
        <v>3701</v>
      </c>
      <c r="M884" t="s">
        <v>147</v>
      </c>
      <c r="N884" t="str">
        <f t="shared" si="402"/>
        <v>Rahul Verma</v>
      </c>
      <c r="O884" t="s">
        <v>114</v>
      </c>
      <c r="P884" t="str">
        <f t="shared" si="425"/>
        <v>Home Office</v>
      </c>
      <c r="Q884" t="s">
        <v>61</v>
      </c>
      <c r="R884" t="str">
        <f t="shared" si="429"/>
        <v>South</v>
      </c>
      <c r="S884" t="str">
        <f t="shared" si="412"/>
        <v>OK</v>
      </c>
      <c r="T884" t="s">
        <v>62</v>
      </c>
      <c r="U884" t="str">
        <f t="shared" si="403"/>
        <v>Telangana</v>
      </c>
      <c r="V884" t="s">
        <v>63</v>
      </c>
      <c r="W884" t="str">
        <f t="shared" si="404"/>
        <v>Hyderabad</v>
      </c>
      <c r="X884" t="str">
        <f t="shared" si="405"/>
        <v>Furniture</v>
      </c>
      <c r="Y884" t="s">
        <v>44</v>
      </c>
      <c r="Z884" t="s">
        <v>64</v>
      </c>
      <c r="AA884" t="str">
        <f t="shared" si="406"/>
        <v>Furnishings</v>
      </c>
      <c r="AB884" t="s">
        <v>3702</v>
      </c>
      <c r="AC884" t="s">
        <v>66</v>
      </c>
      <c r="AD884" t="str">
        <f t="shared" si="428"/>
        <v>Standard Class</v>
      </c>
      <c r="AE884" t="str">
        <f t="shared" si="413"/>
        <v>OK</v>
      </c>
      <c r="AF884">
        <v>1</v>
      </c>
      <c r="AG884">
        <v>2050.62</v>
      </c>
      <c r="AH884">
        <v>0.05</v>
      </c>
      <c r="AI884">
        <f t="shared" si="414"/>
        <v>0.05</v>
      </c>
      <c r="AJ884" t="str">
        <f t="shared" si="415"/>
        <v>OK</v>
      </c>
      <c r="AK884">
        <v>1948.09</v>
      </c>
      <c r="AL884">
        <v>1507.08</v>
      </c>
      <c r="AM884">
        <v>441.01</v>
      </c>
      <c r="AN884" t="s">
        <v>33</v>
      </c>
      <c r="AO884" t="str">
        <f t="shared" si="407"/>
        <v>PAID</v>
      </c>
      <c r="AP884" t="str">
        <f t="shared" si="416"/>
        <v>OK</v>
      </c>
      <c r="AQ884" t="s">
        <v>34</v>
      </c>
      <c r="AR884" t="str">
        <f t="shared" si="408"/>
        <v>COMPLETED</v>
      </c>
      <c r="AS884" t="str">
        <f t="shared" si="417"/>
        <v>OK</v>
      </c>
      <c r="AT884">
        <f t="shared" si="418"/>
        <v>1948.0889999999997</v>
      </c>
      <c r="AU884">
        <f t="shared" si="419"/>
        <v>441.00899999999979</v>
      </c>
      <c r="AV884" s="6">
        <f t="shared" si="420"/>
        <v>2.6953080685738682</v>
      </c>
      <c r="AW884" t="str">
        <f t="shared" si="421"/>
        <v>CLEAN</v>
      </c>
      <c r="AX884" s="10" t="str">
        <f t="shared" si="422"/>
        <v>MATCH</v>
      </c>
      <c r="AY884" t="str">
        <f t="shared" si="423"/>
        <v>MATCH</v>
      </c>
    </row>
    <row r="885" spans="1:51">
      <c r="A885" t="s">
        <v>3703</v>
      </c>
      <c r="B885">
        <f t="shared" si="399"/>
        <v>1</v>
      </c>
      <c r="C885" t="s">
        <v>1315</v>
      </c>
      <c r="D885" s="3">
        <v>45812</v>
      </c>
      <c r="E885" t="str">
        <f t="shared" si="400"/>
        <v>2025/06/04</v>
      </c>
      <c r="F885" t="str">
        <f t="shared" si="409"/>
        <v>June</v>
      </c>
      <c r="G885">
        <f t="shared" si="410"/>
        <v>2025</v>
      </c>
      <c r="H885" t="s">
        <v>1062</v>
      </c>
      <c r="I885" s="4">
        <v>45842</v>
      </c>
      <c r="J885" s="8">
        <f t="shared" si="401"/>
        <v>30</v>
      </c>
      <c r="K885" s="8" t="str">
        <f t="shared" si="411"/>
        <v>OK</v>
      </c>
      <c r="L885" t="s">
        <v>3519</v>
      </c>
      <c r="M885" t="s">
        <v>141</v>
      </c>
      <c r="N885" t="str">
        <f t="shared" si="402"/>
        <v>Priya Menon</v>
      </c>
      <c r="O885" t="s">
        <v>114</v>
      </c>
      <c r="P885" t="str">
        <f t="shared" si="425"/>
        <v>Home Office</v>
      </c>
      <c r="Q885" t="s">
        <v>41</v>
      </c>
      <c r="R885" t="str">
        <f t="shared" si="429"/>
        <v>East</v>
      </c>
      <c r="S885" t="str">
        <f t="shared" si="412"/>
        <v>OK</v>
      </c>
      <c r="T885" t="s">
        <v>215</v>
      </c>
      <c r="U885" t="str">
        <f t="shared" si="403"/>
        <v>Assam</v>
      </c>
      <c r="V885" t="s">
        <v>216</v>
      </c>
      <c r="W885" t="str">
        <f t="shared" si="404"/>
        <v>Guwahati</v>
      </c>
      <c r="X885" t="str">
        <f t="shared" si="405"/>
        <v>Office Supplies</v>
      </c>
      <c r="Y885" t="s">
        <v>29</v>
      </c>
      <c r="Z885" t="s">
        <v>197</v>
      </c>
      <c r="AA885" t="str">
        <f t="shared" si="406"/>
        <v>Binders</v>
      </c>
      <c r="AB885" t="s">
        <v>3704</v>
      </c>
      <c r="AC885" t="s">
        <v>32</v>
      </c>
      <c r="AD885" t="str">
        <f t="shared" si="428"/>
        <v>Second Class</v>
      </c>
      <c r="AE885" t="str">
        <f t="shared" si="413"/>
        <v>OK</v>
      </c>
      <c r="AF885">
        <v>2</v>
      </c>
      <c r="AG885">
        <v>2030.06</v>
      </c>
      <c r="AH885">
        <v>0.25</v>
      </c>
      <c r="AI885">
        <f t="shared" si="414"/>
        <v>0.25</v>
      </c>
      <c r="AJ885" t="str">
        <f t="shared" si="415"/>
        <v>OK</v>
      </c>
      <c r="AK885">
        <v>3045.09</v>
      </c>
      <c r="AL885">
        <v>2601.09</v>
      </c>
      <c r="AM885">
        <v>444</v>
      </c>
      <c r="AN885" t="s">
        <v>33</v>
      </c>
      <c r="AO885" t="str">
        <f t="shared" si="407"/>
        <v>PAID</v>
      </c>
      <c r="AP885" t="str">
        <f t="shared" si="416"/>
        <v>OK</v>
      </c>
      <c r="AQ885" t="s">
        <v>34</v>
      </c>
      <c r="AR885" t="str">
        <f t="shared" si="408"/>
        <v>COMPLETED</v>
      </c>
      <c r="AS885" t="str">
        <f t="shared" si="417"/>
        <v>OK</v>
      </c>
      <c r="AT885">
        <f t="shared" si="418"/>
        <v>3045.09</v>
      </c>
      <c r="AU885">
        <f t="shared" si="419"/>
        <v>444</v>
      </c>
      <c r="AW885" t="str">
        <f t="shared" si="421"/>
        <v>CLEAN</v>
      </c>
      <c r="AX885" s="10" t="str">
        <f t="shared" si="422"/>
        <v>MATCH</v>
      </c>
      <c r="AY885" t="str">
        <f t="shared" si="423"/>
        <v>MATCH</v>
      </c>
    </row>
    <row r="886" spans="1:51">
      <c r="A886" t="s">
        <v>3710</v>
      </c>
      <c r="B886">
        <f t="shared" si="399"/>
        <v>1</v>
      </c>
      <c r="C886" t="s">
        <v>1275</v>
      </c>
      <c r="D886" s="2">
        <v>45840</v>
      </c>
      <c r="E886" t="str">
        <f t="shared" si="400"/>
        <v>2025/07/02</v>
      </c>
      <c r="F886" t="str">
        <f t="shared" si="409"/>
        <v>July</v>
      </c>
      <c r="G886">
        <f t="shared" si="410"/>
        <v>2025</v>
      </c>
      <c r="H886" t="s">
        <v>2269</v>
      </c>
      <c r="I886" s="4">
        <v>45696</v>
      </c>
      <c r="J886" s="8">
        <f t="shared" si="401"/>
        <v>-144</v>
      </c>
      <c r="K886" s="8" t="str">
        <f t="shared" si="411"/>
        <v>INVAILD_SHIPPING</v>
      </c>
      <c r="L886" t="s">
        <v>3711</v>
      </c>
      <c r="M886" t="s">
        <v>24</v>
      </c>
      <c r="N886" t="str">
        <f t="shared" si="402"/>
        <v>Karan Malhotra</v>
      </c>
      <c r="O886" t="s">
        <v>40</v>
      </c>
      <c r="P886" t="str">
        <f t="shared" si="425"/>
        <v>Small Business</v>
      </c>
      <c r="Q886" t="s">
        <v>61</v>
      </c>
      <c r="R886" t="str">
        <f t="shared" si="429"/>
        <v>South</v>
      </c>
      <c r="S886" t="str">
        <f t="shared" si="412"/>
        <v>OK</v>
      </c>
      <c r="T886" t="s">
        <v>62</v>
      </c>
      <c r="U886" t="str">
        <f t="shared" si="403"/>
        <v>Telangana</v>
      </c>
      <c r="V886" t="s">
        <v>63</v>
      </c>
      <c r="W886" t="str">
        <f t="shared" si="404"/>
        <v>Hyderabad</v>
      </c>
      <c r="X886" t="str">
        <f t="shared" si="405"/>
        <v>Office Supplies</v>
      </c>
      <c r="Y886" t="s">
        <v>29</v>
      </c>
      <c r="Z886" t="s">
        <v>108</v>
      </c>
      <c r="AA886" t="str">
        <f t="shared" si="406"/>
        <v>Labels</v>
      </c>
      <c r="AB886" t="s">
        <v>3712</v>
      </c>
      <c r="AC886" t="s">
        <v>3713</v>
      </c>
      <c r="AD886" t="str">
        <f t="shared" si="428"/>
        <v>Standard Class</v>
      </c>
      <c r="AE886" t="str">
        <f t="shared" si="413"/>
        <v>OK</v>
      </c>
      <c r="AF886">
        <v>2</v>
      </c>
      <c r="AG886">
        <v>2432.98</v>
      </c>
      <c r="AH886">
        <v>0.1</v>
      </c>
      <c r="AI886">
        <f t="shared" si="414"/>
        <v>0.1</v>
      </c>
      <c r="AJ886" t="str">
        <f t="shared" si="415"/>
        <v>OK</v>
      </c>
      <c r="AK886">
        <v>4379.3599999999997</v>
      </c>
      <c r="AL886">
        <v>3723.93</v>
      </c>
      <c r="AM886">
        <v>655.43</v>
      </c>
      <c r="AN886" t="s">
        <v>33</v>
      </c>
      <c r="AO886" t="str">
        <f t="shared" si="407"/>
        <v>PAID</v>
      </c>
      <c r="AP886" t="str">
        <f t="shared" si="416"/>
        <v>OK</v>
      </c>
      <c r="AQ886" t="s">
        <v>34</v>
      </c>
      <c r="AR886" t="str">
        <f t="shared" si="408"/>
        <v>COMPLETED</v>
      </c>
      <c r="AS886" t="str">
        <f t="shared" si="417"/>
        <v>OK</v>
      </c>
      <c r="AT886">
        <f t="shared" si="418"/>
        <v>4379.3640000000005</v>
      </c>
      <c r="AU886">
        <f t="shared" si="419"/>
        <v>655.43400000000065</v>
      </c>
      <c r="AV886" s="6">
        <f t="shared" si="420"/>
        <v>0.29657502778942324</v>
      </c>
      <c r="AW886" t="str">
        <f t="shared" si="421"/>
        <v>CLEAN</v>
      </c>
      <c r="AX886" s="10" t="str">
        <f t="shared" si="422"/>
        <v>MATCH</v>
      </c>
      <c r="AY886" t="str">
        <f t="shared" si="423"/>
        <v>MATCH</v>
      </c>
    </row>
    <row r="887" spans="1:51">
      <c r="A887" t="s">
        <v>3714</v>
      </c>
      <c r="B887">
        <f t="shared" si="399"/>
        <v>1</v>
      </c>
      <c r="C887" t="s">
        <v>3715</v>
      </c>
      <c r="D887" s="3">
        <v>45900</v>
      </c>
      <c r="E887" t="str">
        <f t="shared" si="400"/>
        <v>2025/08/31</v>
      </c>
      <c r="F887" t="str">
        <f t="shared" si="409"/>
        <v>August</v>
      </c>
      <c r="G887">
        <f t="shared" si="410"/>
        <v>2025</v>
      </c>
      <c r="H887" t="s">
        <v>2033</v>
      </c>
      <c r="I887" s="4">
        <v>45897</v>
      </c>
      <c r="J887" s="8">
        <f t="shared" si="401"/>
        <v>-3</v>
      </c>
      <c r="K887" s="8" t="str">
        <f t="shared" si="411"/>
        <v>INVAILD_SHIPPING</v>
      </c>
      <c r="L887" t="s">
        <v>3716</v>
      </c>
      <c r="M887" t="s">
        <v>161</v>
      </c>
      <c r="N887" t="str">
        <f t="shared" si="402"/>
        <v>Aarav Sharma</v>
      </c>
      <c r="O887" t="s">
        <v>40</v>
      </c>
      <c r="P887" t="str">
        <f t="shared" si="425"/>
        <v>Small Business</v>
      </c>
      <c r="Q887" t="s">
        <v>61</v>
      </c>
      <c r="R887" t="str">
        <f t="shared" si="429"/>
        <v>South</v>
      </c>
      <c r="S887" t="str">
        <f t="shared" si="412"/>
        <v>OK</v>
      </c>
      <c r="T887" t="s">
        <v>338</v>
      </c>
      <c r="U887" t="str">
        <f t="shared" si="403"/>
        <v>Tamil Nadu</v>
      </c>
      <c r="V887" t="s">
        <v>339</v>
      </c>
      <c r="W887" t="str">
        <f t="shared" si="404"/>
        <v>Chennai</v>
      </c>
      <c r="X887" t="str">
        <f t="shared" si="405"/>
        <v>Furniture</v>
      </c>
      <c r="Y887" t="s">
        <v>44</v>
      </c>
      <c r="Z887" t="s">
        <v>64</v>
      </c>
      <c r="AA887" t="str">
        <f t="shared" si="406"/>
        <v>Furnishings</v>
      </c>
      <c r="AB887" t="s">
        <v>3717</v>
      </c>
      <c r="AC887" t="s">
        <v>55</v>
      </c>
      <c r="AD887" t="str">
        <f t="shared" si="428"/>
        <v>First Class</v>
      </c>
      <c r="AE887" t="str">
        <f t="shared" si="413"/>
        <v>OK</v>
      </c>
      <c r="AF887">
        <v>7</v>
      </c>
      <c r="AG887">
        <v>977.28</v>
      </c>
      <c r="AH887">
        <v>0.2</v>
      </c>
      <c r="AI887">
        <f t="shared" si="414"/>
        <v>0.2</v>
      </c>
      <c r="AJ887" t="str">
        <f t="shared" si="415"/>
        <v>OK</v>
      </c>
      <c r="AK887">
        <v>5472.77</v>
      </c>
      <c r="AL887">
        <v>4477.33</v>
      </c>
      <c r="AM887">
        <v>995.44</v>
      </c>
      <c r="AN887" t="s">
        <v>33</v>
      </c>
      <c r="AO887" t="str">
        <f t="shared" si="407"/>
        <v>PAID</v>
      </c>
      <c r="AP887" t="str">
        <f t="shared" si="416"/>
        <v>OK</v>
      </c>
      <c r="AQ887" t="s">
        <v>34</v>
      </c>
      <c r="AR887" t="str">
        <f t="shared" si="408"/>
        <v>COMPLETED</v>
      </c>
      <c r="AS887" t="str">
        <f t="shared" si="417"/>
        <v>OK</v>
      </c>
      <c r="AT887">
        <f t="shared" si="418"/>
        <v>5472.768</v>
      </c>
      <c r="AU887">
        <f t="shared" si="419"/>
        <v>995.4380000000001</v>
      </c>
      <c r="AV887" s="6">
        <f t="shared" si="420"/>
        <v>1.7164623093834791E-2</v>
      </c>
      <c r="AW887" t="str">
        <f t="shared" si="421"/>
        <v>CLEAN</v>
      </c>
      <c r="AX887" s="10" t="str">
        <f t="shared" si="422"/>
        <v>MATCH</v>
      </c>
      <c r="AY887" t="str">
        <f t="shared" si="423"/>
        <v>MATCH</v>
      </c>
    </row>
    <row r="888" spans="1:51">
      <c r="A888" t="s">
        <v>3718</v>
      </c>
      <c r="B888">
        <f t="shared" si="399"/>
        <v>1</v>
      </c>
      <c r="C888" t="s">
        <v>1515</v>
      </c>
      <c r="D888" s="2">
        <v>45833</v>
      </c>
      <c r="E888" t="str">
        <f t="shared" si="400"/>
        <v>2025/06/25</v>
      </c>
      <c r="F888" t="str">
        <f t="shared" si="409"/>
        <v>June</v>
      </c>
      <c r="G888">
        <f t="shared" si="410"/>
        <v>2025</v>
      </c>
      <c r="H888" t="s">
        <v>1515</v>
      </c>
      <c r="I888" s="4">
        <v>45833</v>
      </c>
      <c r="J888" s="8">
        <f t="shared" si="401"/>
        <v>0</v>
      </c>
      <c r="K888" s="8" t="str">
        <f t="shared" si="411"/>
        <v>OK</v>
      </c>
      <c r="L888" t="s">
        <v>3719</v>
      </c>
      <c r="M888" t="s">
        <v>60</v>
      </c>
      <c r="N888" t="str">
        <f t="shared" si="402"/>
        <v>Arjun Bose</v>
      </c>
      <c r="O888" t="s">
        <v>40</v>
      </c>
      <c r="P888" t="str">
        <f t="shared" si="425"/>
        <v>Small Business</v>
      </c>
      <c r="R888" t="s">
        <v>4109</v>
      </c>
      <c r="S888" t="str">
        <f t="shared" si="412"/>
        <v>MISSING_REGION</v>
      </c>
      <c r="T888" t="s">
        <v>153</v>
      </c>
      <c r="U888" t="str">
        <f t="shared" si="403"/>
        <v>Punjab</v>
      </c>
      <c r="V888" t="s">
        <v>154</v>
      </c>
      <c r="W888" t="str">
        <f t="shared" si="404"/>
        <v>Ludhiana</v>
      </c>
      <c r="X888" t="str">
        <f t="shared" si="405"/>
        <v>Office Supplies</v>
      </c>
      <c r="Y888" t="s">
        <v>29</v>
      </c>
      <c r="Z888" t="s">
        <v>197</v>
      </c>
      <c r="AA888" t="str">
        <f t="shared" si="406"/>
        <v>Binders</v>
      </c>
      <c r="AB888" t="s">
        <v>3720</v>
      </c>
      <c r="AC888" t="s">
        <v>32</v>
      </c>
      <c r="AD888" t="str">
        <f t="shared" si="428"/>
        <v>Second Class</v>
      </c>
      <c r="AE888" t="str">
        <f t="shared" si="413"/>
        <v>OK</v>
      </c>
      <c r="AF888">
        <v>6</v>
      </c>
      <c r="AG888">
        <v>1366.13</v>
      </c>
      <c r="AH888">
        <v>0.1</v>
      </c>
      <c r="AI888">
        <f t="shared" si="414"/>
        <v>0.1</v>
      </c>
      <c r="AJ888" t="str">
        <f t="shared" si="415"/>
        <v>OK</v>
      </c>
      <c r="AK888">
        <v>7377.1</v>
      </c>
      <c r="AL888">
        <v>5085.21</v>
      </c>
      <c r="AM888">
        <v>2291.89</v>
      </c>
      <c r="AN888" t="s">
        <v>33</v>
      </c>
      <c r="AO888" t="str">
        <f t="shared" si="407"/>
        <v>PAID</v>
      </c>
      <c r="AP888" t="str">
        <f t="shared" si="416"/>
        <v>OK</v>
      </c>
      <c r="AQ888" t="s">
        <v>34</v>
      </c>
      <c r="AR888" t="str">
        <f t="shared" si="408"/>
        <v>COMPLETED</v>
      </c>
      <c r="AS888" t="str">
        <f t="shared" si="417"/>
        <v>OK</v>
      </c>
      <c r="AT888">
        <f t="shared" si="418"/>
        <v>7377.1020000000008</v>
      </c>
      <c r="AU888">
        <f t="shared" si="419"/>
        <v>2291.8920000000007</v>
      </c>
      <c r="AV888" s="6">
        <f t="shared" si="420"/>
        <v>3.0459454132530612E-2</v>
      </c>
      <c r="AW888" t="str">
        <f t="shared" si="421"/>
        <v>WARNING</v>
      </c>
      <c r="AX888" s="10" t="str">
        <f t="shared" si="422"/>
        <v>MATCH</v>
      </c>
      <c r="AY888" t="str">
        <f t="shared" si="423"/>
        <v>MATCH</v>
      </c>
    </row>
    <row r="889" spans="1:51">
      <c r="A889" t="s">
        <v>3734</v>
      </c>
      <c r="B889">
        <f t="shared" si="399"/>
        <v>1</v>
      </c>
      <c r="C889" t="s">
        <v>3735</v>
      </c>
      <c r="D889" s="3">
        <v>45812</v>
      </c>
      <c r="E889" t="str">
        <f t="shared" si="400"/>
        <v>2025/06/04</v>
      </c>
      <c r="F889" t="str">
        <f t="shared" si="409"/>
        <v>June</v>
      </c>
      <c r="G889">
        <f t="shared" si="410"/>
        <v>2025</v>
      </c>
      <c r="H889" t="s">
        <v>3736</v>
      </c>
      <c r="I889" s="4">
        <v>45757</v>
      </c>
      <c r="J889" s="8">
        <f t="shared" si="401"/>
        <v>-55</v>
      </c>
      <c r="K889" s="8" t="str">
        <f t="shared" si="411"/>
        <v>INVAILD_SHIPPING</v>
      </c>
      <c r="L889" t="s">
        <v>3737</v>
      </c>
      <c r="M889" t="s">
        <v>179</v>
      </c>
      <c r="N889" t="str">
        <f t="shared" si="402"/>
        <v>Rohan Mehta</v>
      </c>
      <c r="O889" t="s">
        <v>25</v>
      </c>
      <c r="P889" t="str">
        <f t="shared" si="425"/>
        <v>Consumer</v>
      </c>
      <c r="Q889" t="s">
        <v>41</v>
      </c>
      <c r="R889" t="str">
        <f t="shared" ref="R889:R897" si="430">PROPER(TRIM(SUBSTITUTE(Q889,CHAR(160)," ")))</f>
        <v>East</v>
      </c>
      <c r="S889" t="str">
        <f t="shared" si="412"/>
        <v>OK</v>
      </c>
      <c r="T889" t="s">
        <v>42</v>
      </c>
      <c r="U889" t="str">
        <f t="shared" si="403"/>
        <v>Odisha</v>
      </c>
      <c r="V889" t="s">
        <v>43</v>
      </c>
      <c r="W889" t="str">
        <f t="shared" si="404"/>
        <v>Bhubaneswar</v>
      </c>
      <c r="X889" t="str">
        <f t="shared" si="405"/>
        <v>Furniture</v>
      </c>
      <c r="Y889" t="s">
        <v>44</v>
      </c>
      <c r="Z889" t="s">
        <v>203</v>
      </c>
      <c r="AA889" t="str">
        <f t="shared" si="406"/>
        <v>Bookcases</v>
      </c>
      <c r="AB889" t="s">
        <v>1716</v>
      </c>
      <c r="AC889" t="s">
        <v>66</v>
      </c>
      <c r="AD889" t="str">
        <f t="shared" si="428"/>
        <v>Standard Class</v>
      </c>
      <c r="AE889" t="str">
        <f t="shared" si="413"/>
        <v>OK</v>
      </c>
      <c r="AF889">
        <v>2</v>
      </c>
      <c r="AG889">
        <v>1337.67</v>
      </c>
      <c r="AH889">
        <v>0</v>
      </c>
      <c r="AI889">
        <f t="shared" si="414"/>
        <v>0</v>
      </c>
      <c r="AJ889" t="str">
        <f t="shared" si="415"/>
        <v>OK</v>
      </c>
      <c r="AK889">
        <v>2675.34</v>
      </c>
      <c r="AL889">
        <v>1595.87</v>
      </c>
      <c r="AM889">
        <v>1079.47</v>
      </c>
      <c r="AN889" t="s">
        <v>33</v>
      </c>
      <c r="AO889" t="str">
        <f t="shared" si="407"/>
        <v>PAID</v>
      </c>
      <c r="AP889" t="str">
        <f t="shared" si="416"/>
        <v>OK</v>
      </c>
      <c r="AQ889" t="s">
        <v>34</v>
      </c>
      <c r="AR889" t="str">
        <f t="shared" si="408"/>
        <v>COMPLETED</v>
      </c>
      <c r="AS889" t="str">
        <f t="shared" si="417"/>
        <v>OK</v>
      </c>
      <c r="AT889">
        <f t="shared" si="418"/>
        <v>2675.34</v>
      </c>
      <c r="AU889">
        <f t="shared" si="419"/>
        <v>1079.4700000000003</v>
      </c>
      <c r="AV889" s="6">
        <f t="shared" si="420"/>
        <v>0.22256236590489425</v>
      </c>
      <c r="AW889" t="str">
        <f t="shared" si="421"/>
        <v>CLEAN</v>
      </c>
      <c r="AX889" s="10" t="str">
        <f t="shared" si="422"/>
        <v>MATCH</v>
      </c>
      <c r="AY889" t="str">
        <f t="shared" si="423"/>
        <v>MATCH</v>
      </c>
    </row>
    <row r="890" spans="1:51">
      <c r="A890" t="s">
        <v>3738</v>
      </c>
      <c r="B890">
        <f t="shared" si="399"/>
        <v>1</v>
      </c>
      <c r="C890" t="s">
        <v>1370</v>
      </c>
      <c r="D890" s="2">
        <v>45816</v>
      </c>
      <c r="E890" t="str">
        <f t="shared" si="400"/>
        <v>2025/06/08</v>
      </c>
      <c r="F890" t="str">
        <f t="shared" si="409"/>
        <v>June</v>
      </c>
      <c r="G890">
        <f t="shared" si="410"/>
        <v>2025</v>
      </c>
      <c r="H890" t="s">
        <v>582</v>
      </c>
      <c r="I890" s="4">
        <v>45880</v>
      </c>
      <c r="J890" s="8">
        <f t="shared" si="401"/>
        <v>64</v>
      </c>
      <c r="K890" s="8" t="str">
        <f t="shared" si="411"/>
        <v>OK</v>
      </c>
      <c r="L890" t="s">
        <v>3739</v>
      </c>
      <c r="M890" t="s">
        <v>60</v>
      </c>
      <c r="N890" t="str">
        <f t="shared" si="402"/>
        <v>Arjun Bose</v>
      </c>
      <c r="O890" t="s">
        <v>25</v>
      </c>
      <c r="P890" t="str">
        <f t="shared" si="425"/>
        <v>Consumer</v>
      </c>
      <c r="Q890" t="s">
        <v>72</v>
      </c>
      <c r="R890" t="str">
        <f t="shared" si="430"/>
        <v>West</v>
      </c>
      <c r="S890" t="str">
        <f t="shared" si="412"/>
        <v>OK</v>
      </c>
      <c r="T890" t="s">
        <v>83</v>
      </c>
      <c r="U890" t="str">
        <f t="shared" si="403"/>
        <v>Madhya Pradesh</v>
      </c>
      <c r="V890" t="s">
        <v>84</v>
      </c>
      <c r="W890" t="str">
        <f t="shared" si="404"/>
        <v>Indore</v>
      </c>
      <c r="X890" t="str">
        <f t="shared" si="405"/>
        <v>Office Supplies</v>
      </c>
      <c r="Y890" t="s">
        <v>29</v>
      </c>
      <c r="Z890" t="s">
        <v>108</v>
      </c>
      <c r="AA890" t="str">
        <f t="shared" si="406"/>
        <v>Labels</v>
      </c>
      <c r="AB890" t="s">
        <v>3740</v>
      </c>
      <c r="AC890" t="s">
        <v>55</v>
      </c>
      <c r="AD890" t="str">
        <f t="shared" si="428"/>
        <v>First Class</v>
      </c>
      <c r="AE890" t="str">
        <f t="shared" si="413"/>
        <v>OK</v>
      </c>
      <c r="AF890">
        <v>2</v>
      </c>
      <c r="AG890">
        <v>2375.94</v>
      </c>
      <c r="AH890">
        <v>0.25</v>
      </c>
      <c r="AI890">
        <f t="shared" si="414"/>
        <v>0.25</v>
      </c>
      <c r="AJ890" t="str">
        <f t="shared" si="415"/>
        <v>OK</v>
      </c>
      <c r="AK890">
        <v>3563.91</v>
      </c>
      <c r="AL890">
        <v>2639.7</v>
      </c>
      <c r="AM890">
        <v>924.21</v>
      </c>
      <c r="AN890" t="s">
        <v>33</v>
      </c>
      <c r="AO890" t="str">
        <f t="shared" si="407"/>
        <v>PAID</v>
      </c>
      <c r="AP890" t="str">
        <f t="shared" si="416"/>
        <v>OK</v>
      </c>
      <c r="AQ890" t="s">
        <v>34</v>
      </c>
      <c r="AR890" t="str">
        <f t="shared" si="408"/>
        <v>COMPLETED</v>
      </c>
      <c r="AS890" t="str">
        <f t="shared" si="417"/>
        <v>OK</v>
      </c>
      <c r="AT890">
        <f t="shared" si="418"/>
        <v>3563.91</v>
      </c>
      <c r="AU890">
        <f t="shared" si="419"/>
        <v>924.21</v>
      </c>
      <c r="AV890" s="6">
        <f t="shared" si="420"/>
        <v>0.90970647406921001</v>
      </c>
      <c r="AW890" t="str">
        <f t="shared" si="421"/>
        <v>CLEAN</v>
      </c>
      <c r="AX890" s="10" t="str">
        <f t="shared" si="422"/>
        <v>MATCH</v>
      </c>
      <c r="AY890" t="str">
        <f t="shared" si="423"/>
        <v>MATCH</v>
      </c>
    </row>
    <row r="891" spans="1:51">
      <c r="A891" t="s">
        <v>3750</v>
      </c>
      <c r="B891">
        <f t="shared" si="399"/>
        <v>1</v>
      </c>
      <c r="C891" t="s">
        <v>3751</v>
      </c>
      <c r="D891" s="2">
        <v>45781</v>
      </c>
      <c r="E891" t="str">
        <f t="shared" si="400"/>
        <v>2025/05/04</v>
      </c>
      <c r="F891" t="str">
        <f t="shared" si="409"/>
        <v>May</v>
      </c>
      <c r="G891">
        <f t="shared" si="410"/>
        <v>2025</v>
      </c>
      <c r="H891" t="s">
        <v>3752</v>
      </c>
      <c r="I891" s="4">
        <v>45752</v>
      </c>
      <c r="J891" s="8">
        <f t="shared" si="401"/>
        <v>-29</v>
      </c>
      <c r="K891" s="8" t="str">
        <f t="shared" si="411"/>
        <v>INVAILD_SHIPPING</v>
      </c>
      <c r="L891" t="s">
        <v>3753</v>
      </c>
      <c r="M891" t="s">
        <v>167</v>
      </c>
      <c r="N891" t="str">
        <f t="shared" si="402"/>
        <v>Sneha Kapoor</v>
      </c>
      <c r="O891" t="s">
        <v>25</v>
      </c>
      <c r="P891" t="str">
        <f t="shared" si="425"/>
        <v>Consumer</v>
      </c>
      <c r="Q891" t="s">
        <v>41</v>
      </c>
      <c r="R891" t="str">
        <f t="shared" si="430"/>
        <v>East</v>
      </c>
      <c r="S891" t="str">
        <f t="shared" si="412"/>
        <v>OK</v>
      </c>
      <c r="T891" t="s">
        <v>185</v>
      </c>
      <c r="U891" t="str">
        <f t="shared" si="403"/>
        <v>Bihar</v>
      </c>
      <c r="V891" t="s">
        <v>186</v>
      </c>
      <c r="W891" t="str">
        <f t="shared" si="404"/>
        <v>Patna</v>
      </c>
      <c r="X891" t="str">
        <f t="shared" si="405"/>
        <v>Office Supplies</v>
      </c>
      <c r="Y891" t="s">
        <v>29</v>
      </c>
      <c r="Z891" t="s">
        <v>197</v>
      </c>
      <c r="AA891" t="str">
        <f t="shared" si="406"/>
        <v>Binders</v>
      </c>
      <c r="AB891" t="s">
        <v>3754</v>
      </c>
      <c r="AC891" t="s">
        <v>66</v>
      </c>
      <c r="AD891" t="str">
        <f t="shared" si="428"/>
        <v>Standard Class</v>
      </c>
      <c r="AE891" t="str">
        <f t="shared" si="413"/>
        <v>OK</v>
      </c>
      <c r="AF891">
        <v>6</v>
      </c>
      <c r="AG891">
        <v>1829.69</v>
      </c>
      <c r="AH891">
        <v>0.25</v>
      </c>
      <c r="AI891">
        <f t="shared" si="414"/>
        <v>0.25</v>
      </c>
      <c r="AJ891" t="str">
        <f t="shared" si="415"/>
        <v>OK</v>
      </c>
      <c r="AK891">
        <v>8233.6</v>
      </c>
      <c r="AL891">
        <v>4713.79</v>
      </c>
      <c r="AM891">
        <v>3519.81</v>
      </c>
      <c r="AN891" t="s">
        <v>33</v>
      </c>
      <c r="AO891" t="str">
        <f t="shared" si="407"/>
        <v>PAID</v>
      </c>
      <c r="AP891" t="str">
        <f t="shared" si="416"/>
        <v>OK</v>
      </c>
      <c r="AQ891" t="s">
        <v>34</v>
      </c>
      <c r="AR891" t="str">
        <f t="shared" si="408"/>
        <v>COMPLETED</v>
      </c>
      <c r="AS891" t="str">
        <f t="shared" si="417"/>
        <v>OK</v>
      </c>
      <c r="AT891">
        <f t="shared" si="418"/>
        <v>8233.6049999999996</v>
      </c>
      <c r="AU891">
        <f t="shared" si="419"/>
        <v>3519.8149999999996</v>
      </c>
      <c r="AV891" s="6">
        <f t="shared" si="420"/>
        <v>0.56679498227082792</v>
      </c>
      <c r="AW891" t="str">
        <f t="shared" si="421"/>
        <v>CLEAN</v>
      </c>
      <c r="AX891" s="10" t="str">
        <f t="shared" si="422"/>
        <v>MISMATCH</v>
      </c>
      <c r="AY891" t="str">
        <f t="shared" si="423"/>
        <v>MISMATCH</v>
      </c>
    </row>
    <row r="892" spans="1:51">
      <c r="A892" t="s">
        <v>3764</v>
      </c>
      <c r="B892">
        <f t="shared" si="399"/>
        <v>1</v>
      </c>
      <c r="C892" t="s">
        <v>3765</v>
      </c>
      <c r="D892" s="3">
        <v>45694</v>
      </c>
      <c r="E892" t="str">
        <f t="shared" si="400"/>
        <v>2025/02/06</v>
      </c>
      <c r="F892" t="str">
        <f t="shared" si="409"/>
        <v>February</v>
      </c>
      <c r="G892">
        <f t="shared" si="410"/>
        <v>2025</v>
      </c>
      <c r="H892" t="s">
        <v>3766</v>
      </c>
      <c r="I892" s="4">
        <v>45932</v>
      </c>
      <c r="J892" s="8">
        <f t="shared" si="401"/>
        <v>238</v>
      </c>
      <c r="K892" s="8" t="str">
        <f t="shared" si="411"/>
        <v>OK</v>
      </c>
      <c r="L892" t="s">
        <v>3767</v>
      </c>
      <c r="M892" t="s">
        <v>71</v>
      </c>
      <c r="N892" t="str">
        <f t="shared" si="402"/>
        <v>Ananya Rao</v>
      </c>
      <c r="O892" t="s">
        <v>114</v>
      </c>
      <c r="P892" t="str">
        <f t="shared" si="425"/>
        <v>Home Office</v>
      </c>
      <c r="Q892" t="s">
        <v>26</v>
      </c>
      <c r="R892" t="str">
        <f t="shared" si="430"/>
        <v>North</v>
      </c>
      <c r="S892" t="str">
        <f t="shared" si="412"/>
        <v>OK</v>
      </c>
      <c r="T892" t="s">
        <v>173</v>
      </c>
      <c r="U892" t="str">
        <f t="shared" si="403"/>
        <v>Uttar Pradesh</v>
      </c>
      <c r="V892" t="s">
        <v>174</v>
      </c>
      <c r="W892" t="str">
        <f t="shared" si="404"/>
        <v>Noida</v>
      </c>
      <c r="X892" t="str">
        <f t="shared" si="405"/>
        <v>Furniture</v>
      </c>
      <c r="Y892" t="s">
        <v>44</v>
      </c>
      <c r="Z892" t="s">
        <v>203</v>
      </c>
      <c r="AA892" t="str">
        <f t="shared" si="406"/>
        <v>Bookcases</v>
      </c>
      <c r="AB892" t="s">
        <v>3768</v>
      </c>
      <c r="AC892" t="s">
        <v>66</v>
      </c>
      <c r="AD892" t="str">
        <f t="shared" si="428"/>
        <v>Standard Class</v>
      </c>
      <c r="AE892" t="str">
        <f t="shared" si="413"/>
        <v>OK</v>
      </c>
      <c r="AF892">
        <v>2</v>
      </c>
      <c r="AG892">
        <v>319.57</v>
      </c>
      <c r="AH892">
        <v>0.2</v>
      </c>
      <c r="AI892">
        <f t="shared" si="414"/>
        <v>0.2</v>
      </c>
      <c r="AJ892" t="str">
        <f t="shared" si="415"/>
        <v>OK</v>
      </c>
      <c r="AK892">
        <v>511.31</v>
      </c>
      <c r="AL892">
        <v>436.43</v>
      </c>
      <c r="AM892">
        <v>74.88</v>
      </c>
      <c r="AN892" t="s">
        <v>33</v>
      </c>
      <c r="AO892" t="str">
        <f t="shared" si="407"/>
        <v>PAID</v>
      </c>
      <c r="AP892" t="str">
        <f t="shared" si="416"/>
        <v>OK</v>
      </c>
      <c r="AQ892" t="s">
        <v>34</v>
      </c>
      <c r="AR892" t="str">
        <f t="shared" si="408"/>
        <v>COMPLETED</v>
      </c>
      <c r="AS892" t="str">
        <f t="shared" si="417"/>
        <v>OK</v>
      </c>
      <c r="AT892">
        <f t="shared" si="418"/>
        <v>511.31200000000001</v>
      </c>
      <c r="AU892">
        <f t="shared" si="419"/>
        <v>74.882000000000005</v>
      </c>
      <c r="AV892" s="6">
        <f t="shared" si="420"/>
        <v>4.2592780924367126</v>
      </c>
      <c r="AW892" t="str">
        <f t="shared" si="421"/>
        <v>CLEAN</v>
      </c>
      <c r="AX892" s="10" t="str">
        <f t="shared" si="422"/>
        <v>MATCH</v>
      </c>
      <c r="AY892" t="str">
        <f t="shared" si="423"/>
        <v>MATCH</v>
      </c>
    </row>
    <row r="893" spans="1:51">
      <c r="A893" t="s">
        <v>3779</v>
      </c>
      <c r="B893">
        <f t="shared" si="399"/>
        <v>1</v>
      </c>
      <c r="C893" t="s">
        <v>3780</v>
      </c>
      <c r="D893" s="3">
        <v>45809</v>
      </c>
      <c r="E893" t="str">
        <f t="shared" si="400"/>
        <v>2025/06/01</v>
      </c>
      <c r="F893" t="str">
        <f t="shared" si="409"/>
        <v>June</v>
      </c>
      <c r="G893">
        <f t="shared" si="410"/>
        <v>2025</v>
      </c>
      <c r="H893" t="s">
        <v>2177</v>
      </c>
      <c r="I893" s="4">
        <v>45669</v>
      </c>
      <c r="J893" s="8">
        <f t="shared" si="401"/>
        <v>-140</v>
      </c>
      <c r="K893" s="8" t="str">
        <f t="shared" si="411"/>
        <v>INVAILD_SHIPPING</v>
      </c>
      <c r="L893" t="s">
        <v>3781</v>
      </c>
      <c r="M893" t="s">
        <v>39</v>
      </c>
      <c r="N893" t="str">
        <f t="shared" si="402"/>
        <v>Mira Das</v>
      </c>
      <c r="O893" t="s">
        <v>114</v>
      </c>
      <c r="P893" t="str">
        <f t="shared" si="425"/>
        <v>Home Office</v>
      </c>
      <c r="Q893" t="s">
        <v>72</v>
      </c>
      <c r="R893" t="str">
        <f t="shared" si="430"/>
        <v>West</v>
      </c>
      <c r="S893" t="str">
        <f t="shared" si="412"/>
        <v>OK</v>
      </c>
      <c r="T893" t="s">
        <v>248</v>
      </c>
      <c r="U893" t="str">
        <f t="shared" si="403"/>
        <v>Goa</v>
      </c>
      <c r="V893" t="s">
        <v>249</v>
      </c>
      <c r="W893" t="str">
        <f t="shared" si="404"/>
        <v>Panaji</v>
      </c>
      <c r="X893" t="str">
        <f t="shared" si="405"/>
        <v>Office Supplies</v>
      </c>
      <c r="Y893" t="s">
        <v>29</v>
      </c>
      <c r="Z893" t="s">
        <v>30</v>
      </c>
      <c r="AA893" t="str">
        <f t="shared" si="406"/>
        <v>Paper</v>
      </c>
      <c r="AB893" t="s">
        <v>3782</v>
      </c>
      <c r="AC893" t="s">
        <v>47</v>
      </c>
      <c r="AD893" t="str">
        <f t="shared" si="428"/>
        <v>Same Day</v>
      </c>
      <c r="AE893" t="str">
        <f t="shared" si="413"/>
        <v>OK</v>
      </c>
      <c r="AF893">
        <v>3</v>
      </c>
      <c r="AG893">
        <v>668.33</v>
      </c>
      <c r="AH893">
        <v>0.15</v>
      </c>
      <c r="AI893">
        <f t="shared" si="414"/>
        <v>0.15</v>
      </c>
      <c r="AJ893" t="str">
        <f t="shared" si="415"/>
        <v>OK</v>
      </c>
      <c r="AK893">
        <v>1704.24</v>
      </c>
      <c r="AL893">
        <v>957.55</v>
      </c>
      <c r="AM893">
        <v>746.69</v>
      </c>
      <c r="AN893" t="s">
        <v>33</v>
      </c>
      <c r="AO893" t="str">
        <f t="shared" si="407"/>
        <v>PAID</v>
      </c>
      <c r="AP893" t="str">
        <f t="shared" si="416"/>
        <v>OK</v>
      </c>
      <c r="AQ893" t="s">
        <v>34</v>
      </c>
      <c r="AR893" t="str">
        <f t="shared" si="408"/>
        <v>COMPLETED</v>
      </c>
      <c r="AS893" t="str">
        <f t="shared" si="417"/>
        <v>OK</v>
      </c>
      <c r="AT893">
        <f t="shared" si="418"/>
        <v>1704.2415000000001</v>
      </c>
      <c r="AU893">
        <f t="shared" si="419"/>
        <v>746.69150000000013</v>
      </c>
      <c r="AV893" s="6">
        <f t="shared" si="420"/>
        <v>1.2004049895510704</v>
      </c>
      <c r="AW893" t="str">
        <f t="shared" si="421"/>
        <v>CLEAN</v>
      </c>
      <c r="AX893" s="10" t="str">
        <f t="shared" si="422"/>
        <v>MATCH</v>
      </c>
      <c r="AY893" t="str">
        <f t="shared" si="423"/>
        <v>MATCH</v>
      </c>
    </row>
    <row r="894" spans="1:51">
      <c r="A894" t="s">
        <v>3783</v>
      </c>
      <c r="B894">
        <f t="shared" si="399"/>
        <v>1</v>
      </c>
      <c r="C894" t="s">
        <v>3784</v>
      </c>
      <c r="D894" s="3">
        <v>45737</v>
      </c>
      <c r="E894" t="str">
        <f t="shared" si="400"/>
        <v>2025/03/21</v>
      </c>
      <c r="F894" t="str">
        <f t="shared" si="409"/>
        <v>March</v>
      </c>
      <c r="G894">
        <f t="shared" si="410"/>
        <v>2025</v>
      </c>
      <c r="H894" t="s">
        <v>2114</v>
      </c>
      <c r="I894" s="4">
        <v>45738</v>
      </c>
      <c r="J894" s="8">
        <f t="shared" si="401"/>
        <v>1</v>
      </c>
      <c r="K894" s="8" t="str">
        <f t="shared" si="411"/>
        <v>OK</v>
      </c>
      <c r="L894" t="s">
        <v>3785</v>
      </c>
      <c r="M894" t="s">
        <v>141</v>
      </c>
      <c r="N894" t="str">
        <f t="shared" si="402"/>
        <v>Priya Menon</v>
      </c>
      <c r="O894" t="s">
        <v>25</v>
      </c>
      <c r="P894" t="str">
        <f t="shared" si="425"/>
        <v>Consumer</v>
      </c>
      <c r="Q894" t="s">
        <v>72</v>
      </c>
      <c r="R894" t="str">
        <f t="shared" si="430"/>
        <v>West</v>
      </c>
      <c r="S894" t="str">
        <f t="shared" si="412"/>
        <v>OK</v>
      </c>
      <c r="T894" t="s">
        <v>248</v>
      </c>
      <c r="U894" t="str">
        <f t="shared" si="403"/>
        <v>Goa</v>
      </c>
      <c r="V894" t="s">
        <v>249</v>
      </c>
      <c r="W894" t="str">
        <f t="shared" si="404"/>
        <v>Panaji</v>
      </c>
      <c r="X894" t="str">
        <f t="shared" si="405"/>
        <v>Office Supplies</v>
      </c>
      <c r="Y894" t="s">
        <v>29</v>
      </c>
      <c r="Z894" t="s">
        <v>30</v>
      </c>
      <c r="AA894" t="str">
        <f t="shared" si="406"/>
        <v>Paper</v>
      </c>
      <c r="AB894" t="s">
        <v>3786</v>
      </c>
      <c r="AC894" t="s">
        <v>55</v>
      </c>
      <c r="AD894" t="str">
        <f t="shared" si="428"/>
        <v>First Class</v>
      </c>
      <c r="AE894" t="str">
        <f t="shared" si="413"/>
        <v>OK</v>
      </c>
      <c r="AF894">
        <v>8</v>
      </c>
      <c r="AG894">
        <v>4436.74</v>
      </c>
      <c r="AH894">
        <v>0.05</v>
      </c>
      <c r="AI894">
        <f t="shared" si="414"/>
        <v>0.05</v>
      </c>
      <c r="AJ894" t="str">
        <f t="shared" si="415"/>
        <v>OK</v>
      </c>
      <c r="AK894">
        <v>33719.22</v>
      </c>
      <c r="AL894">
        <v>28924.43</v>
      </c>
      <c r="AM894">
        <v>4794.79</v>
      </c>
      <c r="AN894" t="s">
        <v>33</v>
      </c>
      <c r="AO894" t="str">
        <f t="shared" si="407"/>
        <v>PAID</v>
      </c>
      <c r="AP894" t="str">
        <f t="shared" si="416"/>
        <v>OK</v>
      </c>
      <c r="AQ894" t="s">
        <v>34</v>
      </c>
      <c r="AR894" t="str">
        <f t="shared" si="408"/>
        <v>COMPLETED</v>
      </c>
      <c r="AS894" t="str">
        <f t="shared" si="417"/>
        <v>OK</v>
      </c>
      <c r="AT894">
        <f t="shared" si="418"/>
        <v>33719.223999999995</v>
      </c>
      <c r="AU894">
        <f t="shared" si="419"/>
        <v>4794.7939999999944</v>
      </c>
      <c r="AV894" s="6">
        <f t="shared" si="420"/>
        <v>7.1264688653570385E-2</v>
      </c>
      <c r="AW894" t="str">
        <f t="shared" si="421"/>
        <v>CLEAN</v>
      </c>
      <c r="AX894" s="10" t="str">
        <f t="shared" si="422"/>
        <v>MATCH</v>
      </c>
      <c r="AY894" t="str">
        <f t="shared" si="423"/>
        <v>MATCH</v>
      </c>
    </row>
    <row r="895" spans="1:51">
      <c r="A895" t="s">
        <v>3787</v>
      </c>
      <c r="B895">
        <f t="shared" si="399"/>
        <v>1</v>
      </c>
      <c r="C895" t="s">
        <v>3788</v>
      </c>
      <c r="D895" s="2">
        <v>45763</v>
      </c>
      <c r="E895" t="str">
        <f t="shared" si="400"/>
        <v>2025/04/16</v>
      </c>
      <c r="F895" t="str">
        <f t="shared" si="409"/>
        <v>April</v>
      </c>
      <c r="G895">
        <f t="shared" si="410"/>
        <v>2025</v>
      </c>
      <c r="H895" t="s">
        <v>3789</v>
      </c>
      <c r="I895" s="4">
        <v>45764</v>
      </c>
      <c r="J895" s="8">
        <f t="shared" si="401"/>
        <v>1</v>
      </c>
      <c r="K895" s="8" t="str">
        <f t="shared" si="411"/>
        <v>OK</v>
      </c>
      <c r="L895" t="s">
        <v>3790</v>
      </c>
      <c r="M895" t="s">
        <v>82</v>
      </c>
      <c r="N895" t="str">
        <f t="shared" si="402"/>
        <v>Vikram Iyer</v>
      </c>
      <c r="O895" t="s">
        <v>40</v>
      </c>
      <c r="P895" t="str">
        <f t="shared" si="425"/>
        <v>Small Business</v>
      </c>
      <c r="Q895" t="s">
        <v>26</v>
      </c>
      <c r="R895" t="str">
        <f t="shared" si="430"/>
        <v>North</v>
      </c>
      <c r="S895" t="str">
        <f t="shared" si="412"/>
        <v>OK</v>
      </c>
      <c r="T895" t="s">
        <v>173</v>
      </c>
      <c r="U895" t="str">
        <f t="shared" si="403"/>
        <v>Uttar Pradesh</v>
      </c>
      <c r="V895" t="s">
        <v>174</v>
      </c>
      <c r="W895" t="str">
        <f t="shared" si="404"/>
        <v>Noida</v>
      </c>
      <c r="X895" t="str">
        <f t="shared" si="405"/>
        <v>Technology</v>
      </c>
      <c r="Y895" t="s">
        <v>85</v>
      </c>
      <c r="Z895" t="s">
        <v>381</v>
      </c>
      <c r="AA895" t="str">
        <f t="shared" si="406"/>
        <v>Machines</v>
      </c>
      <c r="AB895" t="s">
        <v>3791</v>
      </c>
      <c r="AC895" t="s">
        <v>55</v>
      </c>
      <c r="AD895" t="str">
        <f t="shared" si="428"/>
        <v>First Class</v>
      </c>
      <c r="AE895" t="str">
        <f t="shared" si="413"/>
        <v>OK</v>
      </c>
      <c r="AF895">
        <v>1</v>
      </c>
      <c r="AG895">
        <v>2720.17</v>
      </c>
      <c r="AH895">
        <v>0</v>
      </c>
      <c r="AI895">
        <f t="shared" si="414"/>
        <v>0</v>
      </c>
      <c r="AJ895" t="str">
        <f t="shared" si="415"/>
        <v>OK</v>
      </c>
      <c r="AK895">
        <v>2720.17</v>
      </c>
      <c r="AL895">
        <v>1834.23</v>
      </c>
      <c r="AM895">
        <v>885.94</v>
      </c>
      <c r="AN895" t="s">
        <v>33</v>
      </c>
      <c r="AO895" t="str">
        <f t="shared" si="407"/>
        <v>PAID</v>
      </c>
      <c r="AP895" t="str">
        <f t="shared" si="416"/>
        <v>OK</v>
      </c>
      <c r="AQ895" t="s">
        <v>34</v>
      </c>
      <c r="AR895" t="str">
        <f t="shared" si="408"/>
        <v>COMPLETED</v>
      </c>
      <c r="AS895" t="str">
        <f t="shared" si="417"/>
        <v>OK</v>
      </c>
      <c r="AT895">
        <f t="shared" si="418"/>
        <v>2720.17</v>
      </c>
      <c r="AU895">
        <f t="shared" si="419"/>
        <v>885.94</v>
      </c>
      <c r="AV895" s="6">
        <f t="shared" si="420"/>
        <v>0.85510464419503185</v>
      </c>
      <c r="AW895" t="str">
        <f t="shared" si="421"/>
        <v>CLEAN</v>
      </c>
      <c r="AX895" s="10" t="str">
        <f t="shared" si="422"/>
        <v>MATCH</v>
      </c>
      <c r="AY895" t="str">
        <f t="shared" si="423"/>
        <v>MATCH</v>
      </c>
    </row>
    <row r="896" spans="1:51">
      <c r="A896" t="s">
        <v>3792</v>
      </c>
      <c r="B896">
        <f t="shared" si="399"/>
        <v>1</v>
      </c>
      <c r="C896" t="s">
        <v>3102</v>
      </c>
      <c r="D896" s="3">
        <v>45938</v>
      </c>
      <c r="E896" t="str">
        <f t="shared" si="400"/>
        <v>2025/10/08</v>
      </c>
      <c r="F896" t="str">
        <f t="shared" si="409"/>
        <v>October</v>
      </c>
      <c r="G896">
        <f t="shared" si="410"/>
        <v>2025</v>
      </c>
      <c r="H896" t="s">
        <v>3793</v>
      </c>
      <c r="I896" s="4">
        <v>45883</v>
      </c>
      <c r="J896" s="8">
        <f t="shared" si="401"/>
        <v>-55</v>
      </c>
      <c r="K896" s="8" t="str">
        <f t="shared" si="411"/>
        <v>INVAILD_SHIPPING</v>
      </c>
      <c r="L896" t="s">
        <v>3794</v>
      </c>
      <c r="M896" t="s">
        <v>106</v>
      </c>
      <c r="N896" t="str">
        <f t="shared" si="402"/>
        <v>Aditi Sen</v>
      </c>
      <c r="O896" t="s">
        <v>25</v>
      </c>
      <c r="P896" t="str">
        <f t="shared" si="425"/>
        <v>Consumer</v>
      </c>
      <c r="Q896" t="s">
        <v>72</v>
      </c>
      <c r="R896" t="str">
        <f t="shared" si="430"/>
        <v>West</v>
      </c>
      <c r="S896" t="str">
        <f t="shared" si="412"/>
        <v>OK</v>
      </c>
      <c r="T896" t="s">
        <v>27</v>
      </c>
      <c r="U896" t="str">
        <f t="shared" si="403"/>
        <v>Rajasthan</v>
      </c>
      <c r="V896" t="s">
        <v>134</v>
      </c>
      <c r="W896" t="str">
        <f t="shared" si="404"/>
        <v>Udaipur</v>
      </c>
      <c r="X896" t="str">
        <f t="shared" si="405"/>
        <v>Technology</v>
      </c>
      <c r="Y896" t="s">
        <v>85</v>
      </c>
      <c r="Z896" t="s">
        <v>86</v>
      </c>
      <c r="AA896" t="str">
        <f t="shared" si="406"/>
        <v>Accessories</v>
      </c>
      <c r="AB896" t="s">
        <v>3795</v>
      </c>
      <c r="AC896" t="s">
        <v>66</v>
      </c>
      <c r="AD896" t="str">
        <f t="shared" si="428"/>
        <v>Standard Class</v>
      </c>
      <c r="AE896" t="str">
        <f t="shared" si="413"/>
        <v>OK</v>
      </c>
      <c r="AF896">
        <v>5</v>
      </c>
      <c r="AG896">
        <v>2190.14</v>
      </c>
      <c r="AH896">
        <v>0.25</v>
      </c>
      <c r="AI896">
        <f t="shared" si="414"/>
        <v>0.25</v>
      </c>
      <c r="AJ896" t="str">
        <f t="shared" si="415"/>
        <v>OK</v>
      </c>
      <c r="AK896">
        <v>8213.02</v>
      </c>
      <c r="AL896">
        <v>5569.3</v>
      </c>
      <c r="AM896">
        <v>2643.72</v>
      </c>
      <c r="AN896" t="s">
        <v>33</v>
      </c>
      <c r="AO896" t="str">
        <f t="shared" si="407"/>
        <v>PAID</v>
      </c>
      <c r="AP896" t="str">
        <f t="shared" si="416"/>
        <v>OK</v>
      </c>
      <c r="AQ896" t="s">
        <v>34</v>
      </c>
      <c r="AR896" t="str">
        <f t="shared" si="408"/>
        <v>COMPLETED</v>
      </c>
      <c r="AS896" t="str">
        <f t="shared" si="417"/>
        <v>OK</v>
      </c>
      <c r="AT896">
        <f t="shared" si="418"/>
        <v>8213.0249999999996</v>
      </c>
      <c r="AU896">
        <f t="shared" si="419"/>
        <v>2643.7249999999995</v>
      </c>
      <c r="AV896" s="6">
        <f t="shared" si="420"/>
        <v>0.67508427162951512</v>
      </c>
      <c r="AW896" t="str">
        <f t="shared" si="421"/>
        <v>CLEAN</v>
      </c>
      <c r="AX896" s="10" t="str">
        <f t="shared" si="422"/>
        <v>MISMATCH</v>
      </c>
      <c r="AY896" t="str">
        <f t="shared" si="423"/>
        <v>MISMATCH</v>
      </c>
    </row>
    <row r="897" spans="1:51">
      <c r="A897" t="s">
        <v>3800</v>
      </c>
      <c r="B897">
        <f t="shared" si="399"/>
        <v>1</v>
      </c>
      <c r="C897" t="s">
        <v>3801</v>
      </c>
      <c r="D897" s="3">
        <v>45940</v>
      </c>
      <c r="E897" t="str">
        <f t="shared" si="400"/>
        <v>2025/10/10</v>
      </c>
      <c r="F897" t="str">
        <f t="shared" si="409"/>
        <v>October</v>
      </c>
      <c r="G897">
        <f t="shared" si="410"/>
        <v>2025</v>
      </c>
      <c r="H897" t="s">
        <v>3802</v>
      </c>
      <c r="I897" s="4">
        <v>45971</v>
      </c>
      <c r="J897" s="8">
        <f t="shared" si="401"/>
        <v>31</v>
      </c>
      <c r="K897" s="8" t="str">
        <f t="shared" si="411"/>
        <v>OK</v>
      </c>
      <c r="L897" t="s">
        <v>3803</v>
      </c>
      <c r="M897" t="s">
        <v>24</v>
      </c>
      <c r="N897" t="str">
        <f t="shared" si="402"/>
        <v>Karan Malhotra</v>
      </c>
      <c r="O897" t="s">
        <v>107</v>
      </c>
      <c r="P897" t="str">
        <f t="shared" si="425"/>
        <v>Corporate</v>
      </c>
      <c r="Q897" t="s">
        <v>41</v>
      </c>
      <c r="R897" t="str">
        <f t="shared" si="430"/>
        <v>East</v>
      </c>
      <c r="S897" t="str">
        <f t="shared" si="412"/>
        <v>OK</v>
      </c>
      <c r="T897" t="s">
        <v>42</v>
      </c>
      <c r="U897" t="str">
        <f t="shared" si="403"/>
        <v>Odisha</v>
      </c>
      <c r="V897" t="s">
        <v>43</v>
      </c>
      <c r="W897" t="str">
        <f t="shared" si="404"/>
        <v>Bhubaneswar</v>
      </c>
      <c r="X897" t="str">
        <f t="shared" si="405"/>
        <v>Furniture</v>
      </c>
      <c r="Y897" t="s">
        <v>44</v>
      </c>
      <c r="Z897" t="s">
        <v>75</v>
      </c>
      <c r="AA897" t="str">
        <f t="shared" si="406"/>
        <v>Chairs</v>
      </c>
      <c r="AB897" t="s">
        <v>3804</v>
      </c>
      <c r="AC897" t="s">
        <v>32</v>
      </c>
      <c r="AD897" t="str">
        <f t="shared" si="428"/>
        <v>Second Class</v>
      </c>
      <c r="AE897" t="str">
        <f t="shared" si="413"/>
        <v>OK</v>
      </c>
      <c r="AF897">
        <v>7</v>
      </c>
      <c r="AG897">
        <v>3791.96</v>
      </c>
      <c r="AH897">
        <v>0.05</v>
      </c>
      <c r="AI897">
        <f t="shared" si="414"/>
        <v>0.05</v>
      </c>
      <c r="AJ897" t="str">
        <f t="shared" si="415"/>
        <v>OK</v>
      </c>
      <c r="AK897">
        <v>25216.53</v>
      </c>
      <c r="AL897">
        <v>14216.94</v>
      </c>
      <c r="AM897">
        <v>10999.59</v>
      </c>
      <c r="AN897" t="s">
        <v>199</v>
      </c>
      <c r="AO897" t="str">
        <f t="shared" si="407"/>
        <v>FAILED</v>
      </c>
      <c r="AP897" t="str">
        <f t="shared" si="416"/>
        <v>EXCLUDE_FROM_SALES</v>
      </c>
      <c r="AQ897" t="s">
        <v>77</v>
      </c>
      <c r="AR897" t="str">
        <f t="shared" si="408"/>
        <v>CANCELLED</v>
      </c>
      <c r="AS897" t="str">
        <f t="shared" si="417"/>
        <v>EXCLUDE_FROM_SALES</v>
      </c>
      <c r="AT897">
        <f t="shared" si="418"/>
        <v>25216.534</v>
      </c>
      <c r="AU897">
        <f t="shared" si="419"/>
        <v>10999.593999999999</v>
      </c>
      <c r="AV897" s="6">
        <f t="shared" si="420"/>
        <v>3.2898137388746598E-2</v>
      </c>
      <c r="AW897" t="str">
        <f t="shared" si="421"/>
        <v>CLEAN</v>
      </c>
      <c r="AX897" s="10" t="str">
        <f t="shared" si="422"/>
        <v>MATCH</v>
      </c>
      <c r="AY897" t="str">
        <f t="shared" si="423"/>
        <v>MATCH</v>
      </c>
    </row>
    <row r="898" spans="1:51">
      <c r="A898" t="s">
        <v>3809</v>
      </c>
      <c r="B898">
        <f t="shared" ref="B898:B933" si="431">COUNTIF($A:$A,A898)</f>
        <v>1</v>
      </c>
      <c r="C898" t="s">
        <v>2907</v>
      </c>
      <c r="D898" s="2">
        <v>45853</v>
      </c>
      <c r="E898" t="str">
        <f t="shared" ref="E898:E933" si="432">IFERROR(
TEXT(
  IF(ISNUMBER(SEARCH("/",D898)),
     DATE(RIGHT(D898,4),LEFT(D898,FIND("/",D898)-1),
          MID(D898,FIND("/",D898)+1,FIND("/",D898,FIND("/",D898)+1)-FIND("/",D898)-1)),
     IF(ISNUMBER(SEARCH("-",D898)),
        DATEVALUE(SUBSTITUTE(D898,"-","/")),
        DATEVALUE(TEXT(D898,"dd mmm yyyy"))
     )
  ),
"yyyy/mm/dd"
),
"")</f>
        <v>2025/07/15</v>
      </c>
      <c r="F898" t="str">
        <f t="shared" si="409"/>
        <v>July</v>
      </c>
      <c r="G898">
        <f t="shared" si="410"/>
        <v>2025</v>
      </c>
      <c r="H898" t="s">
        <v>719</v>
      </c>
      <c r="I898" s="4">
        <v>45856</v>
      </c>
      <c r="J898" s="8">
        <f t="shared" ref="J898:J933" si="433">I898-E898</f>
        <v>3</v>
      </c>
      <c r="K898" s="8" t="str">
        <f t="shared" si="411"/>
        <v>OK</v>
      </c>
      <c r="L898" t="s">
        <v>3810</v>
      </c>
      <c r="M898" t="s">
        <v>106</v>
      </c>
      <c r="N898" t="str">
        <f t="shared" ref="N898:N933" si="434">PROPER(TRIM(SUBSTITUTE(M898,CHAR(160)," ")))</f>
        <v>Aditi Sen</v>
      </c>
      <c r="O898" t="s">
        <v>40</v>
      </c>
      <c r="P898" t="str">
        <f t="shared" si="425"/>
        <v>Small Business</v>
      </c>
      <c r="R898" t="s">
        <v>4109</v>
      </c>
      <c r="S898" t="str">
        <f t="shared" si="412"/>
        <v>MISSING_REGION</v>
      </c>
      <c r="T898" t="s">
        <v>338</v>
      </c>
      <c r="U898" t="str">
        <f t="shared" ref="U898:U933" si="435">PROPER(TRIM(SUBSTITUTE(T898,CHAR(160)," ")))</f>
        <v>Tamil Nadu</v>
      </c>
      <c r="V898" t="s">
        <v>339</v>
      </c>
      <c r="W898" t="str">
        <f t="shared" ref="W898:W933" si="436">PROPER(TRIM(SUBSTITUTE(V898,CHAR(160)," ")))</f>
        <v>Chennai</v>
      </c>
      <c r="X898" t="str">
        <f t="shared" ref="X898:X933" si="437">PROPER(TRIM(SUBSTITUTE(Y898,CHAR(160)," ")))</f>
        <v>Technology</v>
      </c>
      <c r="Y898" t="s">
        <v>85</v>
      </c>
      <c r="Z898" t="s">
        <v>381</v>
      </c>
      <c r="AA898" t="str">
        <f t="shared" ref="AA898:AA933" si="438">PROPER(TRIM(SUBSTITUTE(Z898,CHAR(160)," ")))</f>
        <v>Machines</v>
      </c>
      <c r="AB898" t="s">
        <v>3811</v>
      </c>
      <c r="AC898" t="s">
        <v>55</v>
      </c>
      <c r="AD898" t="str">
        <f t="shared" si="428"/>
        <v>First Class</v>
      </c>
      <c r="AE898" t="str">
        <f t="shared" si="413"/>
        <v>OK</v>
      </c>
      <c r="AF898">
        <v>6</v>
      </c>
      <c r="AG898">
        <v>2382.88</v>
      </c>
      <c r="AH898">
        <v>0.1</v>
      </c>
      <c r="AI898">
        <f t="shared" si="414"/>
        <v>0.1</v>
      </c>
      <c r="AJ898" t="str">
        <f t="shared" si="415"/>
        <v>OK</v>
      </c>
      <c r="AK898">
        <v>12867.55</v>
      </c>
      <c r="AL898">
        <v>10068.94</v>
      </c>
      <c r="AM898">
        <v>2798.61</v>
      </c>
      <c r="AN898" t="s">
        <v>33</v>
      </c>
      <c r="AO898" t="str">
        <f t="shared" ref="AO898:AO933" si="439">UPPER(TRIM(SUBSTITUTE(AN898,CHAR(160)," ")))</f>
        <v>PAID</v>
      </c>
      <c r="AP898" t="str">
        <f t="shared" si="416"/>
        <v>OK</v>
      </c>
      <c r="AQ898" t="s">
        <v>34</v>
      </c>
      <c r="AR898" t="str">
        <f t="shared" ref="AR898:AR933" si="440">UPPER(TRIM(SUBSTITUTE(AQ898,CHAR(160)," ")))</f>
        <v>COMPLETED</v>
      </c>
      <c r="AS898" t="str">
        <f t="shared" si="417"/>
        <v>OK</v>
      </c>
      <c r="AT898">
        <f t="shared" si="418"/>
        <v>12867.552000000001</v>
      </c>
      <c r="AU898">
        <f t="shared" si="419"/>
        <v>2798.612000000001</v>
      </c>
      <c r="AV898" s="6">
        <f t="shared" si="420"/>
        <v>0.14979616946564503</v>
      </c>
      <c r="AW898" t="str">
        <f t="shared" si="421"/>
        <v>WARNING</v>
      </c>
      <c r="AX898" s="10" t="str">
        <f t="shared" si="422"/>
        <v>MATCH</v>
      </c>
      <c r="AY898" t="str">
        <f t="shared" si="423"/>
        <v>MATCH</v>
      </c>
    </row>
    <row r="899" spans="1:51">
      <c r="A899" t="s">
        <v>3812</v>
      </c>
      <c r="B899">
        <f t="shared" si="431"/>
        <v>1</v>
      </c>
      <c r="C899" t="s">
        <v>468</v>
      </c>
      <c r="D899" s="3">
        <v>45720</v>
      </c>
      <c r="E899" t="str">
        <f t="shared" si="432"/>
        <v>2025/03/04</v>
      </c>
      <c r="F899" t="str">
        <f t="shared" ref="F899:F933" si="441">TEXT(E899,"MMMM")</f>
        <v>March</v>
      </c>
      <c r="G899">
        <f t="shared" ref="G899:G933" si="442">YEAR(E899)</f>
        <v>2025</v>
      </c>
      <c r="H899" t="s">
        <v>3254</v>
      </c>
      <c r="I899" s="4">
        <v>45720</v>
      </c>
      <c r="J899" s="8">
        <f t="shared" si="433"/>
        <v>0</v>
      </c>
      <c r="K899" s="8" t="str">
        <f t="shared" ref="K899:K933" si="443">IF(J899&lt;0,"INVAILD_SHIPPING","OK")</f>
        <v>OK</v>
      </c>
      <c r="L899" t="s">
        <v>3813</v>
      </c>
      <c r="M899" t="s">
        <v>209</v>
      </c>
      <c r="N899" t="str">
        <f t="shared" si="434"/>
        <v>Diya Patel</v>
      </c>
      <c r="O899" t="s">
        <v>114</v>
      </c>
      <c r="P899" t="str">
        <f t="shared" si="425"/>
        <v>Home Office</v>
      </c>
      <c r="R899" t="s">
        <v>4109</v>
      </c>
      <c r="S899" t="str">
        <f t="shared" ref="S899:S933" si="444">IF(R899="Unknown","MISSING_REGION","OK")</f>
        <v>MISSING_REGION</v>
      </c>
      <c r="T899" t="s">
        <v>322</v>
      </c>
      <c r="U899" t="str">
        <f t="shared" si="435"/>
        <v>Haryana</v>
      </c>
      <c r="V899" t="s">
        <v>323</v>
      </c>
      <c r="W899" t="str">
        <f t="shared" si="436"/>
        <v>Gurugram</v>
      </c>
      <c r="X899" t="str">
        <f t="shared" si="437"/>
        <v>Furniture</v>
      </c>
      <c r="Y899" t="s">
        <v>44</v>
      </c>
      <c r="Z899" t="s">
        <v>75</v>
      </c>
      <c r="AA899" t="str">
        <f t="shared" si="438"/>
        <v>Chairs</v>
      </c>
      <c r="AB899" t="s">
        <v>3814</v>
      </c>
      <c r="AC899" t="s">
        <v>55</v>
      </c>
      <c r="AD899" t="str">
        <f t="shared" si="428"/>
        <v>First Class</v>
      </c>
      <c r="AE899" t="str">
        <f t="shared" ref="AE899:AE933" si="445">IF(AD899="Unknown","MISSING_SHIP_MODE","OK")</f>
        <v>OK</v>
      </c>
      <c r="AF899">
        <v>9</v>
      </c>
      <c r="AG899">
        <v>3462.7</v>
      </c>
      <c r="AH899">
        <v>0.15</v>
      </c>
      <c r="AI899">
        <f t="shared" ref="AI899:AI933" si="446">IF(RIGHT(AH899,1)="%",VALUE(SUBSTITUTE(AH899,"%",""))/100,AH899)</f>
        <v>0.15</v>
      </c>
      <c r="AJ899" t="str">
        <f t="shared" ref="AJ899:AJ933" si="447">IF(AH899="","Missing Discount",
IF(AH899&lt;0,"Invalid Negative Discount",
"OK"))</f>
        <v>OK</v>
      </c>
      <c r="AK899">
        <v>26489.65</v>
      </c>
      <c r="AL899">
        <v>15818.46</v>
      </c>
      <c r="AM899">
        <v>10671.19</v>
      </c>
      <c r="AN899" t="s">
        <v>199</v>
      </c>
      <c r="AO899" t="str">
        <f t="shared" si="439"/>
        <v>FAILED</v>
      </c>
      <c r="AP899" t="str">
        <f t="shared" ref="AP899:AP933" si="448">IF(AO899="Failed","EXCLUDE_FROM_SALES",
IF(AO899="Refunded","REFUNDED_PAYMENT",
"OK"))</f>
        <v>EXCLUDE_FROM_SALES</v>
      </c>
      <c r="AQ899" t="s">
        <v>124</v>
      </c>
      <c r="AR899" t="str">
        <f t="shared" si="440"/>
        <v>RETURNED</v>
      </c>
      <c r="AS899" t="str">
        <f t="shared" ref="AS899:AS933" si="449">IF(AR899="Cancelled","EXCLUDE_FROM_SALES",
IF(AR899="Returned","RETURNED_ORDER",
"OK"))</f>
        <v>RETURNED_ORDER</v>
      </c>
      <c r="AT899">
        <f t="shared" ref="AT899:AT933" si="450">IF(AI899&lt;0,"INVAILD",AF899*AG899*(1-AI899))</f>
        <v>26489.654999999999</v>
      </c>
      <c r="AU899">
        <f t="shared" ref="AU899:AU933" si="451">IF(AT899="INVAILD","INVAILD",AT899-AL899)</f>
        <v>10671.195</v>
      </c>
      <c r="AV899" s="6">
        <f t="shared" ref="AV899:AV933" si="452">IF(OR(AT899="INVALID",AU899="INVALID"),"",AU920/AT899)</f>
        <v>0.18807976170320082</v>
      </c>
      <c r="AW899" t="str">
        <f t="shared" ref="AW899:AW933" si="453">IF(OR(AJ899&lt;&gt;"OK",K899="INVALID_SHIPPING"),
"INVALID",
IF(OR(S899&lt;&gt;"OK",AE899&lt;&gt;"OK"),
"WARNING",
"CLEAN"))</f>
        <v>WARNING</v>
      </c>
      <c r="AX899" s="10" t="str">
        <f t="shared" ref="AX899:AX933" si="454">IF(AT899="INVALID","INVALID",
IF(ROUND(AK899,2)=ROUND(AT899,2),"MATCH","MISMATCH"))</f>
        <v>MISMATCH</v>
      </c>
      <c r="AY899" t="str">
        <f t="shared" ref="AY899:AY933" si="455">IF(AU899="INVALID","INVALID",IF(ROUND(AM899,2)=ROUND(AU899,2),"MATCH","MISMATCH"))</f>
        <v>MISMATCH</v>
      </c>
    </row>
    <row r="900" spans="1:51">
      <c r="A900" t="s">
        <v>3815</v>
      </c>
      <c r="B900">
        <f t="shared" si="431"/>
        <v>1</v>
      </c>
      <c r="C900" t="s">
        <v>3816</v>
      </c>
      <c r="D900" s="2">
        <v>45803</v>
      </c>
      <c r="E900" t="str">
        <f t="shared" si="432"/>
        <v>2025/05/26</v>
      </c>
      <c r="F900" t="str">
        <f t="shared" si="441"/>
        <v>May</v>
      </c>
      <c r="G900">
        <f t="shared" si="442"/>
        <v>2025</v>
      </c>
      <c r="H900" t="s">
        <v>3817</v>
      </c>
      <c r="I900" s="4">
        <v>45805</v>
      </c>
      <c r="J900" s="8">
        <f t="shared" si="433"/>
        <v>2</v>
      </c>
      <c r="K900" s="8" t="str">
        <f t="shared" si="443"/>
        <v>OK</v>
      </c>
      <c r="L900" t="s">
        <v>3818</v>
      </c>
      <c r="M900" t="s">
        <v>365</v>
      </c>
      <c r="N900" t="str">
        <f t="shared" si="434"/>
        <v>Kabir Singh</v>
      </c>
      <c r="O900" t="s">
        <v>40</v>
      </c>
      <c r="P900" t="str">
        <f t="shared" si="425"/>
        <v>Small Business</v>
      </c>
      <c r="Q900" t="s">
        <v>61</v>
      </c>
      <c r="R900" t="str">
        <f t="shared" ref="R900:R918" si="456">PROPER(TRIM(SUBSTITUTE(Q900,CHAR(160)," ")))</f>
        <v>South</v>
      </c>
      <c r="S900" t="str">
        <f t="shared" si="444"/>
        <v>OK</v>
      </c>
      <c r="T900" t="s">
        <v>99</v>
      </c>
      <c r="U900" t="str">
        <f t="shared" si="435"/>
        <v>Andhra Pradesh</v>
      </c>
      <c r="V900" t="s">
        <v>100</v>
      </c>
      <c r="W900" t="str">
        <f t="shared" si="436"/>
        <v>Vijayawada</v>
      </c>
      <c r="X900" t="str">
        <f t="shared" si="437"/>
        <v>Technology</v>
      </c>
      <c r="Y900" t="s">
        <v>85</v>
      </c>
      <c r="Z900" t="s">
        <v>222</v>
      </c>
      <c r="AA900" t="str">
        <f t="shared" si="438"/>
        <v>Phones</v>
      </c>
      <c r="AB900" t="s">
        <v>3819</v>
      </c>
      <c r="AC900" t="s">
        <v>32</v>
      </c>
      <c r="AD900" t="str">
        <f t="shared" si="428"/>
        <v>Second Class</v>
      </c>
      <c r="AE900" t="str">
        <f t="shared" si="445"/>
        <v>OK</v>
      </c>
      <c r="AF900">
        <v>9</v>
      </c>
      <c r="AG900">
        <v>4302.0200000000004</v>
      </c>
      <c r="AH900">
        <v>0.05</v>
      </c>
      <c r="AI900">
        <f t="shared" si="446"/>
        <v>0.05</v>
      </c>
      <c r="AJ900" t="str">
        <f t="shared" si="447"/>
        <v>OK</v>
      </c>
      <c r="AK900">
        <v>36782.269999999997</v>
      </c>
      <c r="AL900">
        <v>25902.81</v>
      </c>
      <c r="AM900">
        <v>10879.46</v>
      </c>
      <c r="AN900" t="s">
        <v>33</v>
      </c>
      <c r="AO900" t="str">
        <f t="shared" si="439"/>
        <v>PAID</v>
      </c>
      <c r="AP900" t="str">
        <f t="shared" si="448"/>
        <v>OK</v>
      </c>
      <c r="AQ900" t="s">
        <v>34</v>
      </c>
      <c r="AR900" t="str">
        <f t="shared" si="440"/>
        <v>COMPLETED</v>
      </c>
      <c r="AS900" t="str">
        <f t="shared" si="449"/>
        <v>OK</v>
      </c>
      <c r="AT900">
        <f t="shared" si="450"/>
        <v>36782.271000000008</v>
      </c>
      <c r="AU900">
        <f t="shared" si="451"/>
        <v>10879.461000000007</v>
      </c>
      <c r="AV900" s="6">
        <f t="shared" si="452"/>
        <v>5.0406131801921605E-2</v>
      </c>
      <c r="AW900" t="str">
        <f t="shared" si="453"/>
        <v>CLEAN</v>
      </c>
      <c r="AX900" s="10" t="str">
        <f t="shared" si="454"/>
        <v>MATCH</v>
      </c>
      <c r="AY900" t="str">
        <f t="shared" si="455"/>
        <v>MATCH</v>
      </c>
    </row>
    <row r="901" spans="1:51">
      <c r="A901" t="s">
        <v>3829</v>
      </c>
      <c r="B901">
        <f t="shared" si="431"/>
        <v>1</v>
      </c>
      <c r="C901" t="s">
        <v>2749</v>
      </c>
      <c r="D901" s="3">
        <v>45926</v>
      </c>
      <c r="E901" t="str">
        <f t="shared" si="432"/>
        <v>2025/09/26</v>
      </c>
      <c r="F901" t="str">
        <f t="shared" si="441"/>
        <v>September</v>
      </c>
      <c r="G901">
        <f t="shared" si="442"/>
        <v>2025</v>
      </c>
      <c r="H901" t="s">
        <v>954</v>
      </c>
      <c r="I901" s="4">
        <v>45757</v>
      </c>
      <c r="J901" s="8">
        <f t="shared" si="433"/>
        <v>-169</v>
      </c>
      <c r="K901" s="8" t="str">
        <f t="shared" si="443"/>
        <v>INVAILD_SHIPPING</v>
      </c>
      <c r="L901" t="s">
        <v>3830</v>
      </c>
      <c r="M901" t="s">
        <v>141</v>
      </c>
      <c r="N901" t="str">
        <f t="shared" si="434"/>
        <v>Priya Menon</v>
      </c>
      <c r="O901" t="s">
        <v>40</v>
      </c>
      <c r="P901" t="str">
        <f t="shared" si="425"/>
        <v>Small Business</v>
      </c>
      <c r="Q901" t="s">
        <v>41</v>
      </c>
      <c r="R901" t="str">
        <f t="shared" si="456"/>
        <v>East</v>
      </c>
      <c r="S901" t="str">
        <f t="shared" si="444"/>
        <v>OK</v>
      </c>
      <c r="T901" t="s">
        <v>215</v>
      </c>
      <c r="U901" t="str">
        <f t="shared" si="435"/>
        <v>Assam</v>
      </c>
      <c r="V901" t="s">
        <v>216</v>
      </c>
      <c r="W901" t="str">
        <f t="shared" si="436"/>
        <v>Guwahati</v>
      </c>
      <c r="X901" t="str">
        <f t="shared" si="437"/>
        <v>Technology</v>
      </c>
      <c r="Y901" t="s">
        <v>85</v>
      </c>
      <c r="Z901" t="s">
        <v>222</v>
      </c>
      <c r="AA901" t="str">
        <f t="shared" si="438"/>
        <v>Phones</v>
      </c>
      <c r="AB901" t="s">
        <v>3831</v>
      </c>
      <c r="AC901" t="s">
        <v>32</v>
      </c>
      <c r="AD901" t="str">
        <f t="shared" si="428"/>
        <v>Second Class</v>
      </c>
      <c r="AE901" t="str">
        <f t="shared" si="445"/>
        <v>OK</v>
      </c>
      <c r="AF901">
        <v>7</v>
      </c>
      <c r="AG901">
        <v>1509.59</v>
      </c>
      <c r="AH901">
        <v>0.05</v>
      </c>
      <c r="AI901">
        <f t="shared" si="446"/>
        <v>0.05</v>
      </c>
      <c r="AJ901" t="str">
        <f t="shared" si="447"/>
        <v>OK</v>
      </c>
      <c r="AK901">
        <v>10038.77</v>
      </c>
      <c r="AL901">
        <v>5673.1</v>
      </c>
      <c r="AM901">
        <v>4365.67</v>
      </c>
      <c r="AN901" t="s">
        <v>33</v>
      </c>
      <c r="AO901" t="str">
        <f t="shared" si="439"/>
        <v>PAID</v>
      </c>
      <c r="AP901" t="str">
        <f t="shared" si="448"/>
        <v>OK</v>
      </c>
      <c r="AQ901" t="s">
        <v>34</v>
      </c>
      <c r="AR901" t="str">
        <f t="shared" si="440"/>
        <v>COMPLETED</v>
      </c>
      <c r="AS901" t="str">
        <f t="shared" si="449"/>
        <v>OK</v>
      </c>
      <c r="AT901">
        <f t="shared" si="450"/>
        <v>10038.773499999999</v>
      </c>
      <c r="AU901">
        <f t="shared" si="451"/>
        <v>4365.673499999999</v>
      </c>
      <c r="AV901" s="6">
        <f t="shared" si="452"/>
        <v>0.90836873647961081</v>
      </c>
      <c r="AW901" t="str">
        <f t="shared" si="453"/>
        <v>CLEAN</v>
      </c>
      <c r="AX901" s="10" t="str">
        <f t="shared" si="454"/>
        <v>MATCH</v>
      </c>
      <c r="AY901" t="str">
        <f t="shared" si="455"/>
        <v>MATCH</v>
      </c>
    </row>
    <row r="902" spans="1:51">
      <c r="A902" t="s">
        <v>3836</v>
      </c>
      <c r="B902">
        <f t="shared" si="431"/>
        <v>1</v>
      </c>
      <c r="C902" t="s">
        <v>497</v>
      </c>
      <c r="D902" s="3">
        <v>45927</v>
      </c>
      <c r="E902" t="str">
        <f t="shared" si="432"/>
        <v>2025/09/27</v>
      </c>
      <c r="F902" t="str">
        <f t="shared" si="441"/>
        <v>September</v>
      </c>
      <c r="G902">
        <f t="shared" si="442"/>
        <v>2025</v>
      </c>
      <c r="H902" t="s">
        <v>3837</v>
      </c>
      <c r="I902" s="4">
        <v>45928</v>
      </c>
      <c r="J902" s="8">
        <f t="shared" si="433"/>
        <v>1</v>
      </c>
      <c r="K902" s="8" t="str">
        <f t="shared" si="443"/>
        <v>OK</v>
      </c>
      <c r="L902" t="s">
        <v>3838</v>
      </c>
      <c r="M902" t="s">
        <v>24</v>
      </c>
      <c r="N902" t="str">
        <f t="shared" si="434"/>
        <v>Karan Malhotra</v>
      </c>
      <c r="O902" t="s">
        <v>114</v>
      </c>
      <c r="P902" t="str">
        <f t="shared" si="425"/>
        <v>Home Office</v>
      </c>
      <c r="Q902" t="s">
        <v>72</v>
      </c>
      <c r="R902" t="str">
        <f t="shared" si="456"/>
        <v>West</v>
      </c>
      <c r="S902" t="str">
        <f t="shared" si="444"/>
        <v>OK</v>
      </c>
      <c r="T902" t="s">
        <v>73</v>
      </c>
      <c r="U902" t="str">
        <f t="shared" si="435"/>
        <v>Maharashtra</v>
      </c>
      <c r="V902" t="s">
        <v>74</v>
      </c>
      <c r="W902" t="str">
        <f t="shared" si="436"/>
        <v>Mumbai</v>
      </c>
      <c r="X902" t="str">
        <f t="shared" si="437"/>
        <v>Office Supplies</v>
      </c>
      <c r="Y902" t="s">
        <v>29</v>
      </c>
      <c r="Z902" t="s">
        <v>30</v>
      </c>
      <c r="AA902" t="str">
        <f t="shared" si="438"/>
        <v>Paper</v>
      </c>
      <c r="AB902" t="s">
        <v>3839</v>
      </c>
      <c r="AC902" t="s">
        <v>55</v>
      </c>
      <c r="AD902" t="str">
        <f t="shared" si="428"/>
        <v>First Class</v>
      </c>
      <c r="AE902" t="str">
        <f t="shared" si="445"/>
        <v>OK</v>
      </c>
      <c r="AF902">
        <v>3</v>
      </c>
      <c r="AG902">
        <v>4177.63</v>
      </c>
      <c r="AH902">
        <v>0.25</v>
      </c>
      <c r="AI902">
        <f t="shared" si="446"/>
        <v>0.25</v>
      </c>
      <c r="AJ902" t="str">
        <f t="shared" si="447"/>
        <v>OK</v>
      </c>
      <c r="AK902">
        <v>9399.67</v>
      </c>
      <c r="AL902">
        <v>6540.37</v>
      </c>
      <c r="AM902">
        <v>2859.3</v>
      </c>
      <c r="AN902" t="s">
        <v>33</v>
      </c>
      <c r="AO902" t="str">
        <f t="shared" si="439"/>
        <v>PAID</v>
      </c>
      <c r="AP902" t="str">
        <f t="shared" si="448"/>
        <v>OK</v>
      </c>
      <c r="AQ902" t="s">
        <v>34</v>
      </c>
      <c r="AR902" t="str">
        <f t="shared" si="440"/>
        <v>COMPLETED</v>
      </c>
      <c r="AS902" t="str">
        <f t="shared" si="449"/>
        <v>OK</v>
      </c>
      <c r="AT902">
        <f t="shared" si="450"/>
        <v>9399.6674999999996</v>
      </c>
      <c r="AU902">
        <f t="shared" si="451"/>
        <v>2859.2974999999997</v>
      </c>
      <c r="AV902" s="6">
        <f t="shared" si="452"/>
        <v>0.10119230281283886</v>
      </c>
      <c r="AW902" t="str">
        <f t="shared" si="453"/>
        <v>CLEAN</v>
      </c>
      <c r="AX902" s="10" t="str">
        <f t="shared" si="454"/>
        <v>MATCH</v>
      </c>
      <c r="AY902" t="str">
        <f t="shared" si="455"/>
        <v>MATCH</v>
      </c>
    </row>
    <row r="903" spans="1:51">
      <c r="A903" t="s">
        <v>3840</v>
      </c>
      <c r="B903">
        <f t="shared" si="431"/>
        <v>1</v>
      </c>
      <c r="C903" t="s">
        <v>468</v>
      </c>
      <c r="D903" s="3">
        <v>45720</v>
      </c>
      <c r="E903" t="str">
        <f t="shared" si="432"/>
        <v>2025/03/04</v>
      </c>
      <c r="F903" t="str">
        <f t="shared" si="441"/>
        <v>March</v>
      </c>
      <c r="G903">
        <f t="shared" si="442"/>
        <v>2025</v>
      </c>
      <c r="H903" t="s">
        <v>3841</v>
      </c>
      <c r="I903" s="4">
        <v>45754</v>
      </c>
      <c r="J903" s="8">
        <f t="shared" si="433"/>
        <v>34</v>
      </c>
      <c r="K903" s="8" t="str">
        <f t="shared" si="443"/>
        <v>OK</v>
      </c>
      <c r="L903" t="s">
        <v>3842</v>
      </c>
      <c r="M903" t="s">
        <v>71</v>
      </c>
      <c r="N903" t="str">
        <f t="shared" si="434"/>
        <v>Ananya Rao</v>
      </c>
      <c r="O903" t="s">
        <v>40</v>
      </c>
      <c r="P903" t="str">
        <f t="shared" si="425"/>
        <v>Small Business</v>
      </c>
      <c r="Q903" t="s">
        <v>72</v>
      </c>
      <c r="R903" t="str">
        <f t="shared" si="456"/>
        <v>West</v>
      </c>
      <c r="S903" t="str">
        <f t="shared" si="444"/>
        <v>OK</v>
      </c>
      <c r="T903" t="s">
        <v>248</v>
      </c>
      <c r="U903" t="str">
        <f t="shared" si="435"/>
        <v>Goa</v>
      </c>
      <c r="V903" t="s">
        <v>249</v>
      </c>
      <c r="W903" t="str">
        <f t="shared" si="436"/>
        <v>Panaji</v>
      </c>
      <c r="X903" t="str">
        <f t="shared" si="437"/>
        <v>Office Supplies</v>
      </c>
      <c r="Y903" t="s">
        <v>29</v>
      </c>
      <c r="Z903" t="s">
        <v>30</v>
      </c>
      <c r="AA903" t="str">
        <f t="shared" si="438"/>
        <v>Paper</v>
      </c>
      <c r="AB903" t="s">
        <v>3843</v>
      </c>
      <c r="AC903" t="s">
        <v>47</v>
      </c>
      <c r="AD903" t="str">
        <f t="shared" si="428"/>
        <v>Same Day</v>
      </c>
      <c r="AE903" t="str">
        <f t="shared" si="445"/>
        <v>OK</v>
      </c>
      <c r="AF903">
        <v>1</v>
      </c>
      <c r="AG903">
        <v>1470.57</v>
      </c>
      <c r="AH903">
        <v>0</v>
      </c>
      <c r="AI903">
        <f t="shared" si="446"/>
        <v>0</v>
      </c>
      <c r="AJ903" t="str">
        <f t="shared" si="447"/>
        <v>OK</v>
      </c>
      <c r="AK903">
        <v>1470.57</v>
      </c>
      <c r="AL903">
        <v>834.02</v>
      </c>
      <c r="AM903">
        <v>636.54999999999995</v>
      </c>
      <c r="AN903" t="s">
        <v>33</v>
      </c>
      <c r="AO903" t="str">
        <f t="shared" si="439"/>
        <v>PAID</v>
      </c>
      <c r="AP903" t="str">
        <f t="shared" si="448"/>
        <v>OK</v>
      </c>
      <c r="AQ903" t="s">
        <v>124</v>
      </c>
      <c r="AR903" t="str">
        <f t="shared" si="440"/>
        <v>RETURNED</v>
      </c>
      <c r="AS903" t="str">
        <f t="shared" si="449"/>
        <v>RETURNED_ORDER</v>
      </c>
      <c r="AT903">
        <f t="shared" si="450"/>
        <v>1470.57</v>
      </c>
      <c r="AU903">
        <f t="shared" si="451"/>
        <v>636.54999999999995</v>
      </c>
      <c r="AV903" s="6">
        <f t="shared" si="452"/>
        <v>1.0844250868710772</v>
      </c>
      <c r="AW903" t="str">
        <f t="shared" si="453"/>
        <v>CLEAN</v>
      </c>
      <c r="AX903" s="10" t="str">
        <f t="shared" si="454"/>
        <v>MATCH</v>
      </c>
      <c r="AY903" t="str">
        <f t="shared" si="455"/>
        <v>MATCH</v>
      </c>
    </row>
    <row r="904" spans="1:51">
      <c r="A904" t="s">
        <v>3849</v>
      </c>
      <c r="B904">
        <f t="shared" si="431"/>
        <v>1</v>
      </c>
      <c r="C904" t="s">
        <v>1897</v>
      </c>
      <c r="D904" s="3">
        <v>45919</v>
      </c>
      <c r="E904" t="str">
        <f t="shared" si="432"/>
        <v>2025/09/19</v>
      </c>
      <c r="F904" t="str">
        <f t="shared" si="441"/>
        <v>September</v>
      </c>
      <c r="G904">
        <f t="shared" si="442"/>
        <v>2025</v>
      </c>
      <c r="H904" t="s">
        <v>2196</v>
      </c>
      <c r="I904" s="4">
        <v>45919</v>
      </c>
      <c r="J904" s="8">
        <f t="shared" si="433"/>
        <v>0</v>
      </c>
      <c r="K904" s="8" t="str">
        <f t="shared" si="443"/>
        <v>OK</v>
      </c>
      <c r="L904" t="s">
        <v>3850</v>
      </c>
      <c r="M904" t="s">
        <v>92</v>
      </c>
      <c r="N904" t="str">
        <f t="shared" si="434"/>
        <v>Neha Gupta</v>
      </c>
      <c r="O904" t="s">
        <v>114</v>
      </c>
      <c r="P904" t="str">
        <f t="shared" si="425"/>
        <v>Home Office</v>
      </c>
      <c r="Q904" t="s">
        <v>26</v>
      </c>
      <c r="R904" t="str">
        <f t="shared" si="456"/>
        <v>North</v>
      </c>
      <c r="S904" t="str">
        <f t="shared" si="444"/>
        <v>OK</v>
      </c>
      <c r="T904" t="s">
        <v>505</v>
      </c>
      <c r="U904" t="str">
        <f t="shared" si="435"/>
        <v>Delhi</v>
      </c>
      <c r="V904" t="s">
        <v>506</v>
      </c>
      <c r="W904" t="str">
        <f t="shared" si="436"/>
        <v>New Delhi</v>
      </c>
      <c r="X904" t="str">
        <f t="shared" si="437"/>
        <v>Furniture</v>
      </c>
      <c r="Y904" t="s">
        <v>44</v>
      </c>
      <c r="Z904" t="s">
        <v>75</v>
      </c>
      <c r="AA904" t="str">
        <f t="shared" si="438"/>
        <v>Chairs</v>
      </c>
      <c r="AB904" t="s">
        <v>3851</v>
      </c>
      <c r="AC904" t="s">
        <v>47</v>
      </c>
      <c r="AD904" t="str">
        <f t="shared" si="428"/>
        <v>Same Day</v>
      </c>
      <c r="AE904" t="str">
        <f t="shared" si="445"/>
        <v>OK</v>
      </c>
      <c r="AF904">
        <v>4</v>
      </c>
      <c r="AG904">
        <v>1584.11</v>
      </c>
      <c r="AH904">
        <v>0</v>
      </c>
      <c r="AI904">
        <f t="shared" si="446"/>
        <v>0</v>
      </c>
      <c r="AJ904" t="str">
        <f t="shared" si="447"/>
        <v>OK</v>
      </c>
      <c r="AK904">
        <v>6336.44</v>
      </c>
      <c r="AL904">
        <v>4680.68</v>
      </c>
      <c r="AM904">
        <v>1655.76</v>
      </c>
      <c r="AN904" t="s">
        <v>33</v>
      </c>
      <c r="AO904" t="str">
        <f t="shared" si="439"/>
        <v>PAID</v>
      </c>
      <c r="AP904" t="str">
        <f t="shared" si="448"/>
        <v>OK</v>
      </c>
      <c r="AQ904" t="s">
        <v>34</v>
      </c>
      <c r="AR904" t="str">
        <f t="shared" si="440"/>
        <v>COMPLETED</v>
      </c>
      <c r="AS904" t="str">
        <f t="shared" si="449"/>
        <v>OK</v>
      </c>
      <c r="AT904">
        <f t="shared" si="450"/>
        <v>6336.44</v>
      </c>
      <c r="AU904">
        <f t="shared" si="451"/>
        <v>1655.7599999999993</v>
      </c>
      <c r="AV904" s="6">
        <f t="shared" si="452"/>
        <v>0.43482933634659221</v>
      </c>
      <c r="AW904" t="str">
        <f t="shared" si="453"/>
        <v>CLEAN</v>
      </c>
      <c r="AX904" s="10" t="str">
        <f t="shared" si="454"/>
        <v>MATCH</v>
      </c>
      <c r="AY904" t="str">
        <f t="shared" si="455"/>
        <v>MATCH</v>
      </c>
    </row>
    <row r="905" spans="1:51">
      <c r="A905" t="s">
        <v>3852</v>
      </c>
      <c r="B905">
        <f t="shared" si="431"/>
        <v>1</v>
      </c>
      <c r="C905" t="s">
        <v>3853</v>
      </c>
      <c r="D905" s="3">
        <v>45810</v>
      </c>
      <c r="E905" t="str">
        <f t="shared" si="432"/>
        <v>2025/06/02</v>
      </c>
      <c r="F905" t="str">
        <f t="shared" si="441"/>
        <v>June</v>
      </c>
      <c r="G905">
        <f t="shared" si="442"/>
        <v>2025</v>
      </c>
      <c r="H905" t="s">
        <v>3854</v>
      </c>
      <c r="I905" s="4">
        <v>45700</v>
      </c>
      <c r="J905" s="8">
        <f t="shared" si="433"/>
        <v>-110</v>
      </c>
      <c r="K905" s="8" t="str">
        <f t="shared" si="443"/>
        <v>INVAILD_SHIPPING</v>
      </c>
      <c r="L905" t="s">
        <v>3855</v>
      </c>
      <c r="M905" t="s">
        <v>71</v>
      </c>
      <c r="N905" t="str">
        <f t="shared" si="434"/>
        <v>Ananya Rao</v>
      </c>
      <c r="O905" t="s">
        <v>40</v>
      </c>
      <c r="P905" t="str">
        <f t="shared" ref="P905:P933" si="457">PROPER(TRIM(SUBSTITUTE(O905,CHAR(160)," ")))</f>
        <v>Small Business</v>
      </c>
      <c r="Q905" t="s">
        <v>41</v>
      </c>
      <c r="R905" t="str">
        <f t="shared" si="456"/>
        <v>East</v>
      </c>
      <c r="S905" t="str">
        <f t="shared" si="444"/>
        <v>OK</v>
      </c>
      <c r="T905" t="s">
        <v>185</v>
      </c>
      <c r="U905" t="str">
        <f t="shared" si="435"/>
        <v>Bihar</v>
      </c>
      <c r="V905" t="s">
        <v>186</v>
      </c>
      <c r="W905" t="str">
        <f t="shared" si="436"/>
        <v>Patna</v>
      </c>
      <c r="X905" t="str">
        <f t="shared" si="437"/>
        <v>Office Supplies</v>
      </c>
      <c r="Y905" t="s">
        <v>29</v>
      </c>
      <c r="Z905" t="s">
        <v>53</v>
      </c>
      <c r="AA905" t="str">
        <f t="shared" si="438"/>
        <v>Art</v>
      </c>
      <c r="AB905" t="s">
        <v>3856</v>
      </c>
      <c r="AC905" t="s">
        <v>66</v>
      </c>
      <c r="AD905" t="str">
        <f t="shared" si="428"/>
        <v>Standard Class</v>
      </c>
      <c r="AE905" t="str">
        <f t="shared" si="445"/>
        <v>OK</v>
      </c>
      <c r="AF905">
        <v>9</v>
      </c>
      <c r="AG905">
        <v>3237.16</v>
      </c>
      <c r="AH905">
        <v>0.25</v>
      </c>
      <c r="AI905">
        <f t="shared" si="446"/>
        <v>0.25</v>
      </c>
      <c r="AJ905" t="str">
        <f t="shared" si="447"/>
        <v>OK</v>
      </c>
      <c r="AK905">
        <v>21850.83</v>
      </c>
      <c r="AL905">
        <v>16600.13</v>
      </c>
      <c r="AM905">
        <v>5250.7</v>
      </c>
      <c r="AN905" t="s">
        <v>33</v>
      </c>
      <c r="AO905" t="str">
        <f t="shared" si="439"/>
        <v>PAID</v>
      </c>
      <c r="AP905" t="str">
        <f t="shared" si="448"/>
        <v>OK</v>
      </c>
      <c r="AQ905" t="s">
        <v>34</v>
      </c>
      <c r="AR905" t="str">
        <f t="shared" si="440"/>
        <v>COMPLETED</v>
      </c>
      <c r="AS905" t="str">
        <f t="shared" si="449"/>
        <v>OK</v>
      </c>
      <c r="AT905">
        <f t="shared" si="450"/>
        <v>21850.829999999998</v>
      </c>
      <c r="AU905">
        <f t="shared" si="451"/>
        <v>5250.6999999999971</v>
      </c>
      <c r="AV905" s="6">
        <f t="shared" si="452"/>
        <v>2.3672327321204733E-2</v>
      </c>
      <c r="AW905" t="str">
        <f t="shared" si="453"/>
        <v>CLEAN</v>
      </c>
      <c r="AX905" s="10" t="str">
        <f t="shared" si="454"/>
        <v>MATCH</v>
      </c>
      <c r="AY905" t="str">
        <f t="shared" si="455"/>
        <v>MATCH</v>
      </c>
    </row>
    <row r="906" spans="1:51">
      <c r="A906" t="s">
        <v>3863</v>
      </c>
      <c r="B906">
        <f t="shared" si="431"/>
        <v>1</v>
      </c>
      <c r="C906" t="s">
        <v>2699</v>
      </c>
      <c r="D906" s="2">
        <v>45856</v>
      </c>
      <c r="E906" t="str">
        <f t="shared" si="432"/>
        <v>2025/07/18</v>
      </c>
      <c r="F906" t="str">
        <f t="shared" si="441"/>
        <v>July</v>
      </c>
      <c r="G906">
        <f t="shared" si="442"/>
        <v>2025</v>
      </c>
      <c r="H906" t="s">
        <v>3864</v>
      </c>
      <c r="I906" s="4">
        <v>45863</v>
      </c>
      <c r="J906" s="8">
        <f t="shared" si="433"/>
        <v>7</v>
      </c>
      <c r="K906" s="8" t="str">
        <f t="shared" si="443"/>
        <v>OK</v>
      </c>
      <c r="L906" t="s">
        <v>3865</v>
      </c>
      <c r="M906" t="s">
        <v>141</v>
      </c>
      <c r="N906" t="str">
        <f t="shared" si="434"/>
        <v>Priya Menon</v>
      </c>
      <c r="O906" t="s">
        <v>40</v>
      </c>
      <c r="P906" t="str">
        <f t="shared" si="457"/>
        <v>Small Business</v>
      </c>
      <c r="Q906" t="s">
        <v>26</v>
      </c>
      <c r="R906" t="str">
        <f t="shared" si="456"/>
        <v>North</v>
      </c>
      <c r="S906" t="str">
        <f t="shared" si="444"/>
        <v>OK</v>
      </c>
      <c r="T906" t="s">
        <v>173</v>
      </c>
      <c r="U906" t="str">
        <f t="shared" si="435"/>
        <v>Uttar Pradesh</v>
      </c>
      <c r="V906" t="s">
        <v>174</v>
      </c>
      <c r="W906" t="str">
        <f t="shared" si="436"/>
        <v>Noida</v>
      </c>
      <c r="X906" t="str">
        <f t="shared" si="437"/>
        <v>Technology</v>
      </c>
      <c r="Y906" t="s">
        <v>85</v>
      </c>
      <c r="Z906" t="s">
        <v>222</v>
      </c>
      <c r="AA906" t="str">
        <f t="shared" si="438"/>
        <v>Phones</v>
      </c>
      <c r="AB906" t="s">
        <v>3866</v>
      </c>
      <c r="AC906" t="s">
        <v>55</v>
      </c>
      <c r="AD906" t="str">
        <f t="shared" si="428"/>
        <v>First Class</v>
      </c>
      <c r="AE906" t="str">
        <f t="shared" si="445"/>
        <v>OK</v>
      </c>
      <c r="AF906">
        <v>9</v>
      </c>
      <c r="AG906">
        <v>3989.52</v>
      </c>
      <c r="AH906">
        <v>-0.02</v>
      </c>
      <c r="AI906">
        <f t="shared" si="446"/>
        <v>-0.02</v>
      </c>
      <c r="AJ906" t="str">
        <f t="shared" si="447"/>
        <v>Invalid Negative Discount</v>
      </c>
      <c r="AK906">
        <v>35905.68</v>
      </c>
      <c r="AL906">
        <v>23916.1</v>
      </c>
      <c r="AM906">
        <v>11989.58</v>
      </c>
      <c r="AN906" t="s">
        <v>33</v>
      </c>
      <c r="AO906" t="str">
        <f t="shared" si="439"/>
        <v>PAID</v>
      </c>
      <c r="AP906" t="str">
        <f t="shared" si="448"/>
        <v>OK</v>
      </c>
      <c r="AQ906" t="s">
        <v>34</v>
      </c>
      <c r="AR906" t="str">
        <f t="shared" si="440"/>
        <v>COMPLETED</v>
      </c>
      <c r="AS906" t="str">
        <f t="shared" si="449"/>
        <v>OK</v>
      </c>
      <c r="AT906" t="str">
        <f t="shared" si="450"/>
        <v>INVAILD</v>
      </c>
      <c r="AU906" t="str">
        <f t="shared" si="451"/>
        <v>INVAILD</v>
      </c>
      <c r="AW906" t="str">
        <f t="shared" si="453"/>
        <v>INVALID</v>
      </c>
      <c r="AX906" s="10" t="s">
        <v>4116</v>
      </c>
      <c r="AY906" t="s">
        <v>4116</v>
      </c>
    </row>
    <row r="907" spans="1:51">
      <c r="A907" t="s">
        <v>3867</v>
      </c>
      <c r="B907">
        <f t="shared" si="431"/>
        <v>1</v>
      </c>
      <c r="C907" t="s">
        <v>3868</v>
      </c>
      <c r="D907" s="3">
        <v>45677</v>
      </c>
      <c r="E907" t="str">
        <f t="shared" si="432"/>
        <v>2025/01/20</v>
      </c>
      <c r="F907" t="str">
        <f t="shared" si="441"/>
        <v>January</v>
      </c>
      <c r="G907">
        <f t="shared" si="442"/>
        <v>2025</v>
      </c>
      <c r="H907" t="s">
        <v>3869</v>
      </c>
      <c r="I907" s="4">
        <v>45682</v>
      </c>
      <c r="J907" s="8">
        <f t="shared" si="433"/>
        <v>5</v>
      </c>
      <c r="K907" s="8" t="str">
        <f t="shared" si="443"/>
        <v>OK</v>
      </c>
      <c r="L907" t="s">
        <v>3870</v>
      </c>
      <c r="M907" t="s">
        <v>106</v>
      </c>
      <c r="N907" t="str">
        <f t="shared" si="434"/>
        <v>Aditi Sen</v>
      </c>
      <c r="O907" t="s">
        <v>114</v>
      </c>
      <c r="P907" t="str">
        <f t="shared" si="457"/>
        <v>Home Office</v>
      </c>
      <c r="Q907" t="s">
        <v>72</v>
      </c>
      <c r="R907" t="str">
        <f t="shared" si="456"/>
        <v>West</v>
      </c>
      <c r="S907" t="str">
        <f t="shared" si="444"/>
        <v>OK</v>
      </c>
      <c r="T907" t="s">
        <v>248</v>
      </c>
      <c r="U907" t="str">
        <f t="shared" si="435"/>
        <v>Goa</v>
      </c>
      <c r="V907" t="s">
        <v>249</v>
      </c>
      <c r="W907" t="str">
        <f t="shared" si="436"/>
        <v>Panaji</v>
      </c>
      <c r="X907" t="str">
        <f t="shared" si="437"/>
        <v>Office Supplies</v>
      </c>
      <c r="Y907" t="s">
        <v>29</v>
      </c>
      <c r="Z907" t="s">
        <v>53</v>
      </c>
      <c r="AA907" t="str">
        <f t="shared" si="438"/>
        <v>Art</v>
      </c>
      <c r="AB907" t="s">
        <v>3871</v>
      </c>
      <c r="AC907" t="s">
        <v>55</v>
      </c>
      <c r="AD907" t="str">
        <f t="shared" si="428"/>
        <v>First Class</v>
      </c>
      <c r="AE907" t="str">
        <f t="shared" si="445"/>
        <v>OK</v>
      </c>
      <c r="AF907">
        <v>1</v>
      </c>
      <c r="AG907">
        <v>3515.15</v>
      </c>
      <c r="AH907">
        <v>0</v>
      </c>
      <c r="AI907">
        <f t="shared" si="446"/>
        <v>0</v>
      </c>
      <c r="AJ907" t="str">
        <f t="shared" si="447"/>
        <v>OK</v>
      </c>
      <c r="AK907">
        <v>3515.15</v>
      </c>
      <c r="AL907">
        <v>2216.34</v>
      </c>
      <c r="AM907">
        <v>1298.81</v>
      </c>
      <c r="AN907" t="s">
        <v>33</v>
      </c>
      <c r="AO907" t="str">
        <f t="shared" si="439"/>
        <v>PAID</v>
      </c>
      <c r="AP907" t="str">
        <f t="shared" si="448"/>
        <v>OK</v>
      </c>
      <c r="AQ907" t="s">
        <v>34</v>
      </c>
      <c r="AR907" t="str">
        <f t="shared" si="440"/>
        <v>COMPLETED</v>
      </c>
      <c r="AS907" t="str">
        <f t="shared" si="449"/>
        <v>OK</v>
      </c>
      <c r="AT907">
        <f t="shared" si="450"/>
        <v>3515.15</v>
      </c>
      <c r="AU907">
        <f t="shared" si="451"/>
        <v>1298.81</v>
      </c>
      <c r="AV907" s="6">
        <f t="shared" si="452"/>
        <v>1.7135499196335855</v>
      </c>
      <c r="AW907" t="str">
        <f t="shared" si="453"/>
        <v>CLEAN</v>
      </c>
      <c r="AX907" s="10" t="str">
        <f t="shared" si="454"/>
        <v>MATCH</v>
      </c>
      <c r="AY907" t="str">
        <f t="shared" si="455"/>
        <v>MATCH</v>
      </c>
    </row>
    <row r="908" spans="1:51">
      <c r="A908" t="s">
        <v>3880</v>
      </c>
      <c r="B908">
        <f t="shared" si="431"/>
        <v>1</v>
      </c>
      <c r="C908" t="s">
        <v>3881</v>
      </c>
      <c r="D908" s="3">
        <v>45797</v>
      </c>
      <c r="E908" t="str">
        <f t="shared" si="432"/>
        <v>2025/05/20</v>
      </c>
      <c r="F908" t="str">
        <f t="shared" si="441"/>
        <v>May</v>
      </c>
      <c r="G908">
        <f t="shared" si="442"/>
        <v>2025</v>
      </c>
      <c r="H908" t="s">
        <v>3882</v>
      </c>
      <c r="I908" s="4">
        <v>45799</v>
      </c>
      <c r="J908" s="8">
        <f t="shared" si="433"/>
        <v>2</v>
      </c>
      <c r="K908" s="8" t="str">
        <f t="shared" si="443"/>
        <v>OK</v>
      </c>
      <c r="L908" t="s">
        <v>3883</v>
      </c>
      <c r="M908" t="s">
        <v>209</v>
      </c>
      <c r="N908" t="str">
        <f t="shared" si="434"/>
        <v>Diya Patel</v>
      </c>
      <c r="O908" t="s">
        <v>114</v>
      </c>
      <c r="P908" t="str">
        <f t="shared" si="457"/>
        <v>Home Office</v>
      </c>
      <c r="Q908" t="s">
        <v>41</v>
      </c>
      <c r="R908" t="str">
        <f t="shared" si="456"/>
        <v>East</v>
      </c>
      <c r="S908" t="str">
        <f t="shared" si="444"/>
        <v>OK</v>
      </c>
      <c r="T908" t="s">
        <v>42</v>
      </c>
      <c r="U908" t="str">
        <f t="shared" si="435"/>
        <v>Odisha</v>
      </c>
      <c r="V908" t="s">
        <v>43</v>
      </c>
      <c r="W908" t="str">
        <f t="shared" si="436"/>
        <v>Bhubaneswar</v>
      </c>
      <c r="X908" t="str">
        <f t="shared" si="437"/>
        <v>Furniture</v>
      </c>
      <c r="Y908" t="s">
        <v>44</v>
      </c>
      <c r="Z908" t="s">
        <v>45</v>
      </c>
      <c r="AA908" t="str">
        <f t="shared" si="438"/>
        <v>Tables</v>
      </c>
      <c r="AB908" t="s">
        <v>3884</v>
      </c>
      <c r="AC908" t="s">
        <v>32</v>
      </c>
      <c r="AD908" t="str">
        <f t="shared" si="428"/>
        <v>Second Class</v>
      </c>
      <c r="AE908" t="str">
        <f t="shared" si="445"/>
        <v>OK</v>
      </c>
      <c r="AF908">
        <v>2</v>
      </c>
      <c r="AG908">
        <v>210.08</v>
      </c>
      <c r="AH908">
        <v>0.2</v>
      </c>
      <c r="AI908">
        <f t="shared" si="446"/>
        <v>0.2</v>
      </c>
      <c r="AJ908" t="str">
        <f t="shared" si="447"/>
        <v>OK</v>
      </c>
      <c r="AK908">
        <v>336.13</v>
      </c>
      <c r="AL908">
        <v>242.19</v>
      </c>
      <c r="AM908">
        <v>93.94</v>
      </c>
      <c r="AN908" t="s">
        <v>33</v>
      </c>
      <c r="AO908" t="str">
        <f t="shared" si="439"/>
        <v>PAID</v>
      </c>
      <c r="AP908" t="str">
        <f t="shared" si="448"/>
        <v>OK</v>
      </c>
      <c r="AQ908" t="s">
        <v>34</v>
      </c>
      <c r="AR908" t="str">
        <f t="shared" si="440"/>
        <v>COMPLETED</v>
      </c>
      <c r="AS908" t="str">
        <f t="shared" si="449"/>
        <v>OK</v>
      </c>
      <c r="AT908">
        <f t="shared" si="450"/>
        <v>336.12800000000004</v>
      </c>
      <c r="AU908">
        <f t="shared" si="451"/>
        <v>93.938000000000045</v>
      </c>
      <c r="AV908" s="6">
        <f t="shared" si="452"/>
        <v>5.6691022467631367</v>
      </c>
      <c r="AW908" t="str">
        <f t="shared" si="453"/>
        <v>CLEAN</v>
      </c>
      <c r="AX908" s="10" t="str">
        <f t="shared" si="454"/>
        <v>MATCH</v>
      </c>
      <c r="AY908" t="str">
        <f t="shared" si="455"/>
        <v>MATCH</v>
      </c>
    </row>
    <row r="909" spans="1:51">
      <c r="A909" t="s">
        <v>3885</v>
      </c>
      <c r="B909">
        <f t="shared" si="431"/>
        <v>1</v>
      </c>
      <c r="C909" t="s">
        <v>3144</v>
      </c>
      <c r="D909" s="3">
        <v>45804</v>
      </c>
      <c r="E909" t="str">
        <f t="shared" si="432"/>
        <v>2025/05/27</v>
      </c>
      <c r="F909" t="str">
        <f t="shared" si="441"/>
        <v>May</v>
      </c>
      <c r="G909">
        <f t="shared" si="442"/>
        <v>2025</v>
      </c>
      <c r="H909" t="s">
        <v>3886</v>
      </c>
      <c r="I909" s="4">
        <v>45806</v>
      </c>
      <c r="J909" s="8">
        <f t="shared" si="433"/>
        <v>2</v>
      </c>
      <c r="K909" s="8" t="str">
        <f t="shared" si="443"/>
        <v>OK</v>
      </c>
      <c r="L909" t="s">
        <v>3887</v>
      </c>
      <c r="M909" t="s">
        <v>147</v>
      </c>
      <c r="N909" t="str">
        <f t="shared" si="434"/>
        <v>Rahul Verma</v>
      </c>
      <c r="O909" t="s">
        <v>114</v>
      </c>
      <c r="P909" t="str">
        <f t="shared" si="457"/>
        <v>Home Office</v>
      </c>
      <c r="Q909" t="s">
        <v>61</v>
      </c>
      <c r="R909" t="str">
        <f t="shared" si="456"/>
        <v>South</v>
      </c>
      <c r="S909" t="str">
        <f t="shared" si="444"/>
        <v>OK</v>
      </c>
      <c r="T909" t="s">
        <v>338</v>
      </c>
      <c r="U909" t="str">
        <f t="shared" si="435"/>
        <v>Tamil Nadu</v>
      </c>
      <c r="V909" t="s">
        <v>339</v>
      </c>
      <c r="W909" t="str">
        <f t="shared" si="436"/>
        <v>Chennai</v>
      </c>
      <c r="X909" t="str">
        <f t="shared" si="437"/>
        <v>Furniture</v>
      </c>
      <c r="Y909" t="s">
        <v>44</v>
      </c>
      <c r="Z909" t="s">
        <v>64</v>
      </c>
      <c r="AA909" t="str">
        <f t="shared" si="438"/>
        <v>Furnishings</v>
      </c>
      <c r="AB909" t="s">
        <v>3888</v>
      </c>
      <c r="AC909" t="s">
        <v>32</v>
      </c>
      <c r="AD909" t="str">
        <f t="shared" si="428"/>
        <v>Second Class</v>
      </c>
      <c r="AE909" t="str">
        <f t="shared" si="445"/>
        <v>OK</v>
      </c>
      <c r="AF909">
        <v>1</v>
      </c>
      <c r="AG909">
        <v>1744.35</v>
      </c>
      <c r="AH909">
        <v>0.25</v>
      </c>
      <c r="AI909">
        <f t="shared" si="446"/>
        <v>0.25</v>
      </c>
      <c r="AJ909" t="str">
        <f t="shared" si="447"/>
        <v>OK</v>
      </c>
      <c r="AK909">
        <v>1308.26</v>
      </c>
      <c r="AL909">
        <v>1083.56</v>
      </c>
      <c r="AM909">
        <v>224.7</v>
      </c>
      <c r="AN909" t="s">
        <v>33</v>
      </c>
      <c r="AO909" t="str">
        <f t="shared" si="439"/>
        <v>PAID</v>
      </c>
      <c r="AP909" t="str">
        <f t="shared" si="448"/>
        <v>OK</v>
      </c>
      <c r="AQ909" t="s">
        <v>34</v>
      </c>
      <c r="AR909" t="str">
        <f t="shared" si="440"/>
        <v>COMPLETED</v>
      </c>
      <c r="AS909" t="str">
        <f t="shared" si="449"/>
        <v>OK</v>
      </c>
      <c r="AT909">
        <f t="shared" si="450"/>
        <v>1308.2624999999998</v>
      </c>
      <c r="AU909">
        <f t="shared" si="451"/>
        <v>224.70249999999987</v>
      </c>
      <c r="AV909" s="6">
        <f t="shared" si="452"/>
        <v>0.94416067111913715</v>
      </c>
      <c r="AW909" t="str">
        <f t="shared" si="453"/>
        <v>CLEAN</v>
      </c>
      <c r="AX909" s="10" t="str">
        <f t="shared" si="454"/>
        <v>MATCH</v>
      </c>
      <c r="AY909" t="str">
        <f t="shared" si="455"/>
        <v>MATCH</v>
      </c>
    </row>
    <row r="910" spans="1:51">
      <c r="A910" t="s">
        <v>3903</v>
      </c>
      <c r="B910">
        <f t="shared" si="431"/>
        <v>1</v>
      </c>
      <c r="C910" t="s">
        <v>3904</v>
      </c>
      <c r="D910" s="3">
        <v>45793</v>
      </c>
      <c r="E910" t="str">
        <f t="shared" si="432"/>
        <v>2025/05/16</v>
      </c>
      <c r="F910" t="str">
        <f t="shared" si="441"/>
        <v>May</v>
      </c>
      <c r="G910">
        <f t="shared" si="442"/>
        <v>2025</v>
      </c>
      <c r="H910" t="s">
        <v>3882</v>
      </c>
      <c r="I910" s="4">
        <v>45799</v>
      </c>
      <c r="J910" s="8">
        <f t="shared" si="433"/>
        <v>6</v>
      </c>
      <c r="K910" s="8" t="str">
        <f t="shared" si="443"/>
        <v>OK</v>
      </c>
      <c r="L910" t="s">
        <v>3905</v>
      </c>
      <c r="M910" t="s">
        <v>60</v>
      </c>
      <c r="N910" t="str">
        <f t="shared" si="434"/>
        <v>Arjun Bose</v>
      </c>
      <c r="O910" t="s">
        <v>107</v>
      </c>
      <c r="P910" t="str">
        <f t="shared" si="457"/>
        <v>Corporate</v>
      </c>
      <c r="Q910" t="s">
        <v>61</v>
      </c>
      <c r="R910" t="str">
        <f t="shared" si="456"/>
        <v>South</v>
      </c>
      <c r="S910" t="str">
        <f t="shared" si="444"/>
        <v>OK</v>
      </c>
      <c r="T910" t="s">
        <v>338</v>
      </c>
      <c r="U910" t="str">
        <f t="shared" si="435"/>
        <v>Tamil Nadu</v>
      </c>
      <c r="V910" t="s">
        <v>339</v>
      </c>
      <c r="W910" t="str">
        <f t="shared" si="436"/>
        <v>Chennai</v>
      </c>
      <c r="X910" t="str">
        <f t="shared" si="437"/>
        <v>Technology</v>
      </c>
      <c r="Y910" t="s">
        <v>85</v>
      </c>
      <c r="Z910" t="s">
        <v>86</v>
      </c>
      <c r="AA910" t="str">
        <f t="shared" si="438"/>
        <v>Accessories</v>
      </c>
      <c r="AB910" t="s">
        <v>3906</v>
      </c>
      <c r="AC910" t="s">
        <v>47</v>
      </c>
      <c r="AD910" t="str">
        <f t="shared" ref="AD910:AD933" si="458">PROPER(TRIM(SUBSTITUTE(AC910,CHAR(160)," ")))</f>
        <v>Same Day</v>
      </c>
      <c r="AE910" t="str">
        <f t="shared" si="445"/>
        <v>OK</v>
      </c>
      <c r="AF910">
        <v>8</v>
      </c>
      <c r="AG910">
        <v>579.79999999999995</v>
      </c>
      <c r="AH910">
        <v>0.2</v>
      </c>
      <c r="AI910">
        <f t="shared" si="446"/>
        <v>0.2</v>
      </c>
      <c r="AJ910" t="str">
        <f t="shared" si="447"/>
        <v>OK</v>
      </c>
      <c r="AK910">
        <v>3710.72</v>
      </c>
      <c r="AL910">
        <v>3115.29</v>
      </c>
      <c r="AM910">
        <v>595.42999999999995</v>
      </c>
      <c r="AN910" t="s">
        <v>33</v>
      </c>
      <c r="AO910" t="str">
        <f t="shared" si="439"/>
        <v>PAID</v>
      </c>
      <c r="AP910" t="str">
        <f t="shared" si="448"/>
        <v>OK</v>
      </c>
      <c r="AQ910" t="s">
        <v>34</v>
      </c>
      <c r="AR910" t="str">
        <f t="shared" si="440"/>
        <v>COMPLETED</v>
      </c>
      <c r="AS910" t="str">
        <f t="shared" si="449"/>
        <v>OK</v>
      </c>
      <c r="AT910">
        <f t="shared" si="450"/>
        <v>3710.72</v>
      </c>
      <c r="AU910">
        <f t="shared" si="451"/>
        <v>595.42999999999984</v>
      </c>
      <c r="AV910" s="6">
        <f t="shared" si="452"/>
        <v>4.2485555363918605E-2</v>
      </c>
      <c r="AW910" t="str">
        <f t="shared" si="453"/>
        <v>CLEAN</v>
      </c>
      <c r="AX910" s="10" t="str">
        <f t="shared" si="454"/>
        <v>MATCH</v>
      </c>
      <c r="AY910" t="str">
        <f t="shared" si="455"/>
        <v>MATCH</v>
      </c>
    </row>
    <row r="911" spans="1:51">
      <c r="A911" t="s">
        <v>3907</v>
      </c>
      <c r="B911">
        <f t="shared" si="431"/>
        <v>1</v>
      </c>
      <c r="C911" t="s">
        <v>3908</v>
      </c>
      <c r="D911" s="3">
        <v>45741</v>
      </c>
      <c r="E911" t="str">
        <f t="shared" si="432"/>
        <v>2025/03/25</v>
      </c>
      <c r="F911" t="str">
        <f t="shared" si="441"/>
        <v>March</v>
      </c>
      <c r="G911">
        <f t="shared" si="442"/>
        <v>2025</v>
      </c>
      <c r="H911" t="s">
        <v>3909</v>
      </c>
      <c r="I911" s="4">
        <v>45749</v>
      </c>
      <c r="J911" s="8">
        <f t="shared" si="433"/>
        <v>8</v>
      </c>
      <c r="K911" s="8" t="str">
        <f t="shared" si="443"/>
        <v>OK</v>
      </c>
      <c r="L911" t="s">
        <v>3910</v>
      </c>
      <c r="M911" t="s">
        <v>141</v>
      </c>
      <c r="N911" t="str">
        <f t="shared" si="434"/>
        <v>Priya Menon</v>
      </c>
      <c r="O911" t="s">
        <v>25</v>
      </c>
      <c r="P911" t="str">
        <f t="shared" si="457"/>
        <v>Consumer</v>
      </c>
      <c r="Q911" t="s">
        <v>61</v>
      </c>
      <c r="R911" t="str">
        <f t="shared" si="456"/>
        <v>South</v>
      </c>
      <c r="S911" t="str">
        <f t="shared" si="444"/>
        <v>OK</v>
      </c>
      <c r="T911" t="s">
        <v>228</v>
      </c>
      <c r="U911" t="str">
        <f t="shared" si="435"/>
        <v>Karnataka</v>
      </c>
      <c r="V911" t="s">
        <v>229</v>
      </c>
      <c r="W911" t="str">
        <f t="shared" si="436"/>
        <v>Bengaluru</v>
      </c>
      <c r="X911" t="str">
        <f t="shared" si="437"/>
        <v>Furniture</v>
      </c>
      <c r="Y911" t="s">
        <v>44</v>
      </c>
      <c r="Z911" t="s">
        <v>203</v>
      </c>
      <c r="AA911" t="str">
        <f t="shared" si="438"/>
        <v>Bookcases</v>
      </c>
      <c r="AB911" t="s">
        <v>3911</v>
      </c>
      <c r="AC911" t="s">
        <v>32</v>
      </c>
      <c r="AD911" t="str">
        <f t="shared" si="458"/>
        <v>Second Class</v>
      </c>
      <c r="AE911" t="str">
        <f t="shared" si="445"/>
        <v>OK</v>
      </c>
      <c r="AF911">
        <v>4</v>
      </c>
      <c r="AG911">
        <v>2233.64</v>
      </c>
      <c r="AH911">
        <v>0.05</v>
      </c>
      <c r="AI911">
        <f t="shared" si="446"/>
        <v>0.05</v>
      </c>
      <c r="AJ911" t="str">
        <f t="shared" si="447"/>
        <v>OK</v>
      </c>
      <c r="AK911">
        <v>8487.83</v>
      </c>
      <c r="AL911">
        <v>5245.72</v>
      </c>
      <c r="AM911">
        <v>3242.11</v>
      </c>
      <c r="AN911" t="s">
        <v>33</v>
      </c>
      <c r="AO911" t="str">
        <f t="shared" si="439"/>
        <v>PAID</v>
      </c>
      <c r="AP911" t="str">
        <f t="shared" si="448"/>
        <v>OK</v>
      </c>
      <c r="AQ911" t="s">
        <v>34</v>
      </c>
      <c r="AR911" t="str">
        <f t="shared" si="440"/>
        <v>COMPLETED</v>
      </c>
      <c r="AS911" t="str">
        <f t="shared" si="449"/>
        <v>OK</v>
      </c>
      <c r="AT911">
        <f t="shared" si="450"/>
        <v>8487.8319999999985</v>
      </c>
      <c r="AU911">
        <f t="shared" si="451"/>
        <v>3242.1119999999983</v>
      </c>
      <c r="AV911" s="6">
        <f t="shared" si="452"/>
        <v>0.13700082659505988</v>
      </c>
      <c r="AW911" t="str">
        <f t="shared" si="453"/>
        <v>CLEAN</v>
      </c>
      <c r="AX911" s="10" t="str">
        <f t="shared" si="454"/>
        <v>MATCH</v>
      </c>
      <c r="AY911" t="str">
        <f t="shared" si="455"/>
        <v>MATCH</v>
      </c>
    </row>
    <row r="912" spans="1:51">
      <c r="A912" t="s">
        <v>3934</v>
      </c>
      <c r="B912">
        <f t="shared" si="431"/>
        <v>1</v>
      </c>
      <c r="C912" t="s">
        <v>3935</v>
      </c>
      <c r="D912" s="3">
        <v>45872</v>
      </c>
      <c r="E912" t="str">
        <f t="shared" si="432"/>
        <v>2025/08/03</v>
      </c>
      <c r="F912" t="str">
        <f t="shared" si="441"/>
        <v>August</v>
      </c>
      <c r="G912">
        <f t="shared" si="442"/>
        <v>2025</v>
      </c>
      <c r="H912" t="s">
        <v>3936</v>
      </c>
      <c r="I912" s="4">
        <v>45725</v>
      </c>
      <c r="J912" s="8">
        <f t="shared" si="433"/>
        <v>-147</v>
      </c>
      <c r="K912" s="8" t="str">
        <f t="shared" si="443"/>
        <v>INVAILD_SHIPPING</v>
      </c>
      <c r="L912" t="s">
        <v>3937</v>
      </c>
      <c r="M912" t="s">
        <v>141</v>
      </c>
      <c r="N912" t="str">
        <f t="shared" si="434"/>
        <v>Priya Menon</v>
      </c>
      <c r="O912" t="s">
        <v>114</v>
      </c>
      <c r="P912" t="str">
        <f t="shared" si="457"/>
        <v>Home Office</v>
      </c>
      <c r="Q912" t="s">
        <v>26</v>
      </c>
      <c r="R912" t="str">
        <f t="shared" si="456"/>
        <v>North</v>
      </c>
      <c r="S912" t="str">
        <f t="shared" si="444"/>
        <v>OK</v>
      </c>
      <c r="T912" t="s">
        <v>505</v>
      </c>
      <c r="U912" t="str">
        <f t="shared" si="435"/>
        <v>Delhi</v>
      </c>
      <c r="V912" t="s">
        <v>506</v>
      </c>
      <c r="W912" t="str">
        <f t="shared" si="436"/>
        <v>New Delhi</v>
      </c>
      <c r="X912" t="str">
        <f t="shared" si="437"/>
        <v>Furniture</v>
      </c>
      <c r="Y912" t="s">
        <v>44</v>
      </c>
      <c r="Z912" t="s">
        <v>64</v>
      </c>
      <c r="AA912" t="str">
        <f t="shared" si="438"/>
        <v>Furnishings</v>
      </c>
      <c r="AB912" t="s">
        <v>3938</v>
      </c>
      <c r="AC912" t="s">
        <v>47</v>
      </c>
      <c r="AD912" t="str">
        <f t="shared" si="458"/>
        <v>Same Day</v>
      </c>
      <c r="AE912" t="str">
        <f t="shared" si="445"/>
        <v>OK</v>
      </c>
      <c r="AF912">
        <v>4</v>
      </c>
      <c r="AG912">
        <v>3405.68</v>
      </c>
      <c r="AH912">
        <v>0.2</v>
      </c>
      <c r="AI912">
        <f t="shared" si="446"/>
        <v>0.2</v>
      </c>
      <c r="AJ912" t="str">
        <f t="shared" si="447"/>
        <v>OK</v>
      </c>
      <c r="AK912">
        <v>10898.18</v>
      </c>
      <c r="AL912">
        <v>6231.41</v>
      </c>
      <c r="AM912">
        <v>4666.7700000000004</v>
      </c>
      <c r="AN912" t="s">
        <v>33</v>
      </c>
      <c r="AO912" t="str">
        <f t="shared" si="439"/>
        <v>PAID</v>
      </c>
      <c r="AP912" t="str">
        <f t="shared" si="448"/>
        <v>OK</v>
      </c>
      <c r="AQ912" t="s">
        <v>34</v>
      </c>
      <c r="AR912" t="str">
        <f t="shared" si="440"/>
        <v>COMPLETED</v>
      </c>
      <c r="AS912" t="str">
        <f t="shared" si="449"/>
        <v>OK</v>
      </c>
      <c r="AT912">
        <f t="shared" si="450"/>
        <v>10898.175999999999</v>
      </c>
      <c r="AU912">
        <f t="shared" si="451"/>
        <v>4666.7659999999996</v>
      </c>
      <c r="AV912" s="6">
        <f t="shared" si="452"/>
        <v>9.4019402879894798E-2</v>
      </c>
      <c r="AW912" t="str">
        <f t="shared" si="453"/>
        <v>CLEAN</v>
      </c>
      <c r="AX912" s="10" t="str">
        <f t="shared" si="454"/>
        <v>MATCH</v>
      </c>
      <c r="AY912" t="str">
        <f t="shared" si="455"/>
        <v>MATCH</v>
      </c>
    </row>
    <row r="913" spans="1:51">
      <c r="A913" t="s">
        <v>3939</v>
      </c>
      <c r="B913">
        <f t="shared" si="431"/>
        <v>1</v>
      </c>
      <c r="C913" t="s">
        <v>3314</v>
      </c>
      <c r="D913" s="3">
        <v>45742</v>
      </c>
      <c r="E913" t="str">
        <f t="shared" si="432"/>
        <v>2025/03/26</v>
      </c>
      <c r="F913" t="str">
        <f t="shared" si="441"/>
        <v>March</v>
      </c>
      <c r="G913">
        <f t="shared" si="442"/>
        <v>2025</v>
      </c>
      <c r="H913" t="s">
        <v>3940</v>
      </c>
      <c r="I913" s="4">
        <v>45747</v>
      </c>
      <c r="J913" s="8">
        <f t="shared" si="433"/>
        <v>5</v>
      </c>
      <c r="K913" s="8" t="str">
        <f t="shared" si="443"/>
        <v>OK</v>
      </c>
      <c r="L913" t="s">
        <v>3941</v>
      </c>
      <c r="M913" t="s">
        <v>141</v>
      </c>
      <c r="N913" t="str">
        <f t="shared" si="434"/>
        <v>Priya Menon</v>
      </c>
      <c r="O913" t="s">
        <v>40</v>
      </c>
      <c r="P913" t="str">
        <f t="shared" si="457"/>
        <v>Small Business</v>
      </c>
      <c r="Q913" t="s">
        <v>41</v>
      </c>
      <c r="R913" t="str">
        <f t="shared" si="456"/>
        <v>East</v>
      </c>
      <c r="S913" t="str">
        <f t="shared" si="444"/>
        <v>OK</v>
      </c>
      <c r="T913" t="s">
        <v>310</v>
      </c>
      <c r="U913" t="str">
        <f t="shared" si="435"/>
        <v>Jharkhand</v>
      </c>
      <c r="V913" t="s">
        <v>311</v>
      </c>
      <c r="W913" t="str">
        <f t="shared" si="436"/>
        <v>Ranchi</v>
      </c>
      <c r="X913" t="str">
        <f t="shared" si="437"/>
        <v>Office Supplies</v>
      </c>
      <c r="Y913" t="s">
        <v>29</v>
      </c>
      <c r="Z913" t="s">
        <v>197</v>
      </c>
      <c r="AA913" t="str">
        <f t="shared" si="438"/>
        <v>Binders</v>
      </c>
      <c r="AB913" t="s">
        <v>3942</v>
      </c>
      <c r="AC913" t="s">
        <v>55</v>
      </c>
      <c r="AD913" t="str">
        <f t="shared" si="458"/>
        <v>First Class</v>
      </c>
      <c r="AE913" t="str">
        <f t="shared" si="445"/>
        <v>OK</v>
      </c>
      <c r="AF913">
        <v>5</v>
      </c>
      <c r="AG913">
        <v>1395.14</v>
      </c>
      <c r="AH913">
        <v>0</v>
      </c>
      <c r="AI913">
        <f t="shared" si="446"/>
        <v>0</v>
      </c>
      <c r="AJ913" t="str">
        <f t="shared" si="447"/>
        <v>OK</v>
      </c>
      <c r="AK913">
        <v>6975.7</v>
      </c>
      <c r="AL913">
        <v>4797.88</v>
      </c>
      <c r="AM913">
        <v>2177.8200000000002</v>
      </c>
      <c r="AN913" t="s">
        <v>33</v>
      </c>
      <c r="AO913" t="str">
        <f t="shared" si="439"/>
        <v>PAID</v>
      </c>
      <c r="AP913" t="str">
        <f t="shared" si="448"/>
        <v>OK</v>
      </c>
      <c r="AQ913" t="s">
        <v>77</v>
      </c>
      <c r="AR913" t="str">
        <f t="shared" si="440"/>
        <v>CANCELLED</v>
      </c>
      <c r="AS913" t="str">
        <f t="shared" si="449"/>
        <v>EXCLUDE_FROM_SALES</v>
      </c>
      <c r="AT913">
        <f t="shared" si="450"/>
        <v>6975.7000000000007</v>
      </c>
      <c r="AU913">
        <f t="shared" si="451"/>
        <v>2177.8200000000006</v>
      </c>
      <c r="AV913" s="6">
        <f t="shared" si="452"/>
        <v>0</v>
      </c>
      <c r="AW913" t="str">
        <f t="shared" si="453"/>
        <v>CLEAN</v>
      </c>
      <c r="AX913" s="10" t="str">
        <f t="shared" si="454"/>
        <v>MATCH</v>
      </c>
      <c r="AY913" t="str">
        <f t="shared" si="455"/>
        <v>MATCH</v>
      </c>
    </row>
    <row r="914" spans="1:51">
      <c r="A914" t="s">
        <v>3943</v>
      </c>
      <c r="B914">
        <f t="shared" si="431"/>
        <v>1</v>
      </c>
      <c r="C914" t="s">
        <v>3944</v>
      </c>
      <c r="D914" s="3">
        <v>45817</v>
      </c>
      <c r="E914" t="str">
        <f t="shared" si="432"/>
        <v>2025/06/09</v>
      </c>
      <c r="F914" t="str">
        <f t="shared" si="441"/>
        <v>June</v>
      </c>
      <c r="G914">
        <f t="shared" si="442"/>
        <v>2025</v>
      </c>
      <c r="H914" t="s">
        <v>2731</v>
      </c>
      <c r="I914" s="4">
        <v>45908</v>
      </c>
      <c r="J914" s="8">
        <f t="shared" si="433"/>
        <v>91</v>
      </c>
      <c r="K914" s="8" t="str">
        <f t="shared" si="443"/>
        <v>OK</v>
      </c>
      <c r="L914" t="s">
        <v>3945</v>
      </c>
      <c r="M914" t="s">
        <v>161</v>
      </c>
      <c r="N914" t="str">
        <f t="shared" si="434"/>
        <v>Aarav Sharma</v>
      </c>
      <c r="O914" t="s">
        <v>114</v>
      </c>
      <c r="P914" t="str">
        <f t="shared" si="457"/>
        <v>Home Office</v>
      </c>
      <c r="Q914" t="s">
        <v>72</v>
      </c>
      <c r="R914" t="str">
        <f t="shared" si="456"/>
        <v>West</v>
      </c>
      <c r="S914" t="str">
        <f t="shared" si="444"/>
        <v>OK</v>
      </c>
      <c r="T914" t="s">
        <v>83</v>
      </c>
      <c r="U914" t="str">
        <f t="shared" si="435"/>
        <v>Madhya Pradesh</v>
      </c>
      <c r="V914" t="s">
        <v>84</v>
      </c>
      <c r="W914" t="str">
        <f t="shared" si="436"/>
        <v>Indore</v>
      </c>
      <c r="X914" t="str">
        <f t="shared" si="437"/>
        <v>Furniture</v>
      </c>
      <c r="Y914" t="s">
        <v>44</v>
      </c>
      <c r="Z914" t="s">
        <v>64</v>
      </c>
      <c r="AA914" t="str">
        <f t="shared" si="438"/>
        <v>Furnishings</v>
      </c>
      <c r="AB914" t="s">
        <v>3946</v>
      </c>
      <c r="AC914" t="s">
        <v>47</v>
      </c>
      <c r="AD914" t="str">
        <f t="shared" si="458"/>
        <v>Same Day</v>
      </c>
      <c r="AE914" t="str">
        <f t="shared" si="445"/>
        <v>OK</v>
      </c>
      <c r="AF914">
        <v>3</v>
      </c>
      <c r="AG914">
        <v>2937.23</v>
      </c>
      <c r="AH914">
        <v>0</v>
      </c>
      <c r="AI914">
        <f t="shared" si="446"/>
        <v>0</v>
      </c>
      <c r="AJ914" t="str">
        <f t="shared" si="447"/>
        <v>OK</v>
      </c>
      <c r="AK914">
        <v>8811.69</v>
      </c>
      <c r="AL914">
        <v>6765.91</v>
      </c>
      <c r="AM914">
        <v>2045.78</v>
      </c>
      <c r="AN914" t="s">
        <v>33</v>
      </c>
      <c r="AO914" t="str">
        <f t="shared" si="439"/>
        <v>PAID</v>
      </c>
      <c r="AP914" t="str">
        <f t="shared" si="448"/>
        <v>OK</v>
      </c>
      <c r="AQ914" t="s">
        <v>34</v>
      </c>
      <c r="AR914" t="str">
        <f t="shared" si="440"/>
        <v>COMPLETED</v>
      </c>
      <c r="AS914" t="str">
        <f t="shared" si="449"/>
        <v>OK</v>
      </c>
      <c r="AT914">
        <f t="shared" si="450"/>
        <v>8811.69</v>
      </c>
      <c r="AU914">
        <f t="shared" si="451"/>
        <v>2045.7800000000007</v>
      </c>
      <c r="AV914" s="6">
        <f t="shared" si="452"/>
        <v>0</v>
      </c>
      <c r="AW914" t="str">
        <f t="shared" si="453"/>
        <v>CLEAN</v>
      </c>
      <c r="AX914" s="10" t="str">
        <f t="shared" si="454"/>
        <v>MATCH</v>
      </c>
      <c r="AY914" t="str">
        <f t="shared" si="455"/>
        <v>MATCH</v>
      </c>
    </row>
    <row r="915" spans="1:51">
      <c r="A915" t="s">
        <v>3947</v>
      </c>
      <c r="B915">
        <f t="shared" si="431"/>
        <v>1</v>
      </c>
      <c r="C915" t="s">
        <v>3948</v>
      </c>
      <c r="D915" s="2">
        <v>45697</v>
      </c>
      <c r="E915" t="str">
        <f t="shared" si="432"/>
        <v>2025/02/09</v>
      </c>
      <c r="F915" t="str">
        <f t="shared" si="441"/>
        <v>February</v>
      </c>
      <c r="G915">
        <f t="shared" si="442"/>
        <v>2025</v>
      </c>
      <c r="H915" t="s">
        <v>571</v>
      </c>
      <c r="I915" s="4">
        <v>45786</v>
      </c>
      <c r="J915" s="8">
        <f t="shared" si="433"/>
        <v>89</v>
      </c>
      <c r="K915" s="8" t="str">
        <f t="shared" si="443"/>
        <v>OK</v>
      </c>
      <c r="L915" t="s">
        <v>3949</v>
      </c>
      <c r="M915" t="s">
        <v>82</v>
      </c>
      <c r="N915" t="str">
        <f t="shared" si="434"/>
        <v>Vikram Iyer</v>
      </c>
      <c r="O915" t="s">
        <v>25</v>
      </c>
      <c r="P915" t="str">
        <f t="shared" si="457"/>
        <v>Consumer</v>
      </c>
      <c r="Q915" t="s">
        <v>61</v>
      </c>
      <c r="R915" t="str">
        <f t="shared" si="456"/>
        <v>South</v>
      </c>
      <c r="S915" t="str">
        <f t="shared" si="444"/>
        <v>OK</v>
      </c>
      <c r="T915" t="s">
        <v>338</v>
      </c>
      <c r="U915" t="str">
        <f t="shared" si="435"/>
        <v>Tamil Nadu</v>
      </c>
      <c r="V915" t="s">
        <v>339</v>
      </c>
      <c r="W915" t="str">
        <f t="shared" si="436"/>
        <v>Chennai</v>
      </c>
      <c r="X915" t="str">
        <f t="shared" si="437"/>
        <v>Technology</v>
      </c>
      <c r="Y915" t="s">
        <v>85</v>
      </c>
      <c r="Z915" t="s">
        <v>222</v>
      </c>
      <c r="AA915" t="str">
        <f t="shared" si="438"/>
        <v>Phones</v>
      </c>
      <c r="AB915" t="s">
        <v>3950</v>
      </c>
      <c r="AC915" t="s">
        <v>55</v>
      </c>
      <c r="AD915" t="str">
        <f t="shared" si="458"/>
        <v>First Class</v>
      </c>
      <c r="AE915" t="str">
        <f t="shared" si="445"/>
        <v>OK</v>
      </c>
      <c r="AF915">
        <v>5</v>
      </c>
      <c r="AG915">
        <v>3406.87</v>
      </c>
      <c r="AH915">
        <v>0</v>
      </c>
      <c r="AI915">
        <f t="shared" si="446"/>
        <v>0</v>
      </c>
      <c r="AJ915" t="str">
        <f t="shared" si="447"/>
        <v>OK</v>
      </c>
      <c r="AK915">
        <v>17034.349999999999</v>
      </c>
      <c r="AL915">
        <v>14631.36</v>
      </c>
      <c r="AM915">
        <v>2402.9899999999998</v>
      </c>
      <c r="AN915" t="s">
        <v>33</v>
      </c>
      <c r="AO915" t="str">
        <f t="shared" si="439"/>
        <v>PAID</v>
      </c>
      <c r="AP915" t="str">
        <f t="shared" si="448"/>
        <v>OK</v>
      </c>
      <c r="AQ915" t="s">
        <v>34</v>
      </c>
      <c r="AR915" t="str">
        <f t="shared" si="440"/>
        <v>COMPLETED</v>
      </c>
      <c r="AS915" t="str">
        <f t="shared" si="449"/>
        <v>OK</v>
      </c>
      <c r="AT915">
        <f t="shared" si="450"/>
        <v>17034.349999999999</v>
      </c>
      <c r="AU915">
        <f t="shared" si="451"/>
        <v>2402.989999999998</v>
      </c>
      <c r="AV915" s="6">
        <f t="shared" si="452"/>
        <v>0</v>
      </c>
      <c r="AW915" t="str">
        <f t="shared" si="453"/>
        <v>CLEAN</v>
      </c>
      <c r="AX915" s="10" t="str">
        <f t="shared" si="454"/>
        <v>MATCH</v>
      </c>
      <c r="AY915" t="str">
        <f t="shared" si="455"/>
        <v>MATCH</v>
      </c>
    </row>
    <row r="916" spans="1:51">
      <c r="A916" t="s">
        <v>3951</v>
      </c>
      <c r="B916">
        <f t="shared" si="431"/>
        <v>1</v>
      </c>
      <c r="C916" t="s">
        <v>3765</v>
      </c>
      <c r="D916" s="3">
        <v>45694</v>
      </c>
      <c r="E916" t="str">
        <f t="shared" si="432"/>
        <v>2025/02/06</v>
      </c>
      <c r="F916" t="str">
        <f t="shared" si="441"/>
        <v>February</v>
      </c>
      <c r="G916">
        <f t="shared" si="442"/>
        <v>2025</v>
      </c>
      <c r="H916" t="s">
        <v>1919</v>
      </c>
      <c r="I916" s="4">
        <v>45702</v>
      </c>
      <c r="J916" s="8">
        <f t="shared" si="433"/>
        <v>8</v>
      </c>
      <c r="K916" s="8" t="str">
        <f t="shared" si="443"/>
        <v>OK</v>
      </c>
      <c r="L916" t="s">
        <v>3952</v>
      </c>
      <c r="M916" t="s">
        <v>365</v>
      </c>
      <c r="N916" t="str">
        <f t="shared" si="434"/>
        <v>Kabir Singh</v>
      </c>
      <c r="O916" t="s">
        <v>25</v>
      </c>
      <c r="P916" t="str">
        <f t="shared" si="457"/>
        <v>Consumer</v>
      </c>
      <c r="Q916" t="s">
        <v>72</v>
      </c>
      <c r="R916" t="str">
        <f t="shared" si="456"/>
        <v>West</v>
      </c>
      <c r="S916" t="str">
        <f t="shared" si="444"/>
        <v>OK</v>
      </c>
      <c r="T916" t="s">
        <v>73</v>
      </c>
      <c r="U916" t="str">
        <f t="shared" si="435"/>
        <v>Maharashtra</v>
      </c>
      <c r="V916" t="s">
        <v>74</v>
      </c>
      <c r="W916" t="str">
        <f t="shared" si="436"/>
        <v>Mumbai</v>
      </c>
      <c r="X916" t="str">
        <f t="shared" si="437"/>
        <v>Office Supplies</v>
      </c>
      <c r="Y916" t="s">
        <v>29</v>
      </c>
      <c r="Z916" t="s">
        <v>108</v>
      </c>
      <c r="AA916" t="str">
        <f t="shared" si="438"/>
        <v>Labels</v>
      </c>
      <c r="AB916" t="s">
        <v>3953</v>
      </c>
      <c r="AC916" t="s">
        <v>32</v>
      </c>
      <c r="AD916" t="str">
        <f t="shared" si="458"/>
        <v>Second Class</v>
      </c>
      <c r="AE916" t="str">
        <f t="shared" si="445"/>
        <v>OK</v>
      </c>
      <c r="AF916">
        <v>2</v>
      </c>
      <c r="AG916">
        <v>3992.04</v>
      </c>
      <c r="AH916">
        <v>0</v>
      </c>
      <c r="AI916">
        <f t="shared" si="446"/>
        <v>0</v>
      </c>
      <c r="AJ916" t="str">
        <f t="shared" si="447"/>
        <v>OK</v>
      </c>
      <c r="AK916">
        <v>7984.08</v>
      </c>
      <c r="AL916">
        <v>5658.05</v>
      </c>
      <c r="AM916">
        <v>2326.0300000000002</v>
      </c>
      <c r="AN916" t="s">
        <v>33</v>
      </c>
      <c r="AO916" t="str">
        <f t="shared" si="439"/>
        <v>PAID</v>
      </c>
      <c r="AP916" t="str">
        <f t="shared" si="448"/>
        <v>OK</v>
      </c>
      <c r="AQ916" t="s">
        <v>34</v>
      </c>
      <c r="AR916" t="str">
        <f t="shared" si="440"/>
        <v>COMPLETED</v>
      </c>
      <c r="AS916" t="str">
        <f t="shared" si="449"/>
        <v>OK</v>
      </c>
      <c r="AT916">
        <f t="shared" si="450"/>
        <v>7984.08</v>
      </c>
      <c r="AU916">
        <f t="shared" si="451"/>
        <v>2326.0299999999997</v>
      </c>
      <c r="AV916" s="6">
        <f t="shared" si="452"/>
        <v>0</v>
      </c>
      <c r="AW916" t="str">
        <f t="shared" si="453"/>
        <v>CLEAN</v>
      </c>
      <c r="AX916" s="10" t="str">
        <f t="shared" si="454"/>
        <v>MATCH</v>
      </c>
      <c r="AY916" t="str">
        <f t="shared" si="455"/>
        <v>MATCH</v>
      </c>
    </row>
    <row r="917" spans="1:51">
      <c r="A917" t="s">
        <v>3954</v>
      </c>
      <c r="B917">
        <f t="shared" si="431"/>
        <v>1</v>
      </c>
      <c r="C917" t="s">
        <v>1185</v>
      </c>
      <c r="D917" s="3">
        <v>45714</v>
      </c>
      <c r="E917" t="str">
        <f t="shared" si="432"/>
        <v>2025/02/26</v>
      </c>
      <c r="F917" t="str">
        <f t="shared" si="441"/>
        <v>February</v>
      </c>
      <c r="G917">
        <f t="shared" si="442"/>
        <v>2025</v>
      </c>
      <c r="H917" t="s">
        <v>3955</v>
      </c>
      <c r="I917" s="4">
        <v>45722</v>
      </c>
      <c r="J917" s="8">
        <f t="shared" si="433"/>
        <v>8</v>
      </c>
      <c r="K917" s="8" t="str">
        <f t="shared" si="443"/>
        <v>OK</v>
      </c>
      <c r="L917" t="s">
        <v>3956</v>
      </c>
      <c r="M917" t="s">
        <v>141</v>
      </c>
      <c r="N917" t="str">
        <f t="shared" si="434"/>
        <v>Priya Menon</v>
      </c>
      <c r="O917" t="s">
        <v>25</v>
      </c>
      <c r="P917" t="str">
        <f t="shared" si="457"/>
        <v>Consumer</v>
      </c>
      <c r="Q917" t="s">
        <v>41</v>
      </c>
      <c r="R917" t="str">
        <f t="shared" si="456"/>
        <v>East</v>
      </c>
      <c r="S917" t="str">
        <f t="shared" si="444"/>
        <v>OK</v>
      </c>
      <c r="T917" t="s">
        <v>185</v>
      </c>
      <c r="U917" t="str">
        <f t="shared" si="435"/>
        <v>Bihar</v>
      </c>
      <c r="V917" t="s">
        <v>186</v>
      </c>
      <c r="W917" t="str">
        <f t="shared" si="436"/>
        <v>Patna</v>
      </c>
      <c r="X917" t="str">
        <f t="shared" si="437"/>
        <v>Furniture</v>
      </c>
      <c r="Y917" t="s">
        <v>44</v>
      </c>
      <c r="Z917" t="s">
        <v>203</v>
      </c>
      <c r="AA917" t="str">
        <f t="shared" si="438"/>
        <v>Bookcases</v>
      </c>
      <c r="AB917" t="s">
        <v>3957</v>
      </c>
      <c r="AC917" t="s">
        <v>55</v>
      </c>
      <c r="AD917" t="str">
        <f t="shared" si="458"/>
        <v>First Class</v>
      </c>
      <c r="AE917" t="str">
        <f t="shared" si="445"/>
        <v>OK</v>
      </c>
      <c r="AF917">
        <v>9</v>
      </c>
      <c r="AG917">
        <v>3043.37</v>
      </c>
      <c r="AH917">
        <v>0.2</v>
      </c>
      <c r="AI917">
        <f t="shared" si="446"/>
        <v>0.2</v>
      </c>
      <c r="AJ917" t="str">
        <f t="shared" si="447"/>
        <v>OK</v>
      </c>
      <c r="AK917">
        <v>21912.26</v>
      </c>
      <c r="AL917">
        <v>16367.78</v>
      </c>
      <c r="AM917">
        <v>5544.48</v>
      </c>
      <c r="AN917" t="s">
        <v>136</v>
      </c>
      <c r="AO917" t="str">
        <f t="shared" si="439"/>
        <v>PENDING</v>
      </c>
      <c r="AP917" t="str">
        <f t="shared" si="448"/>
        <v>OK</v>
      </c>
      <c r="AQ917" t="s">
        <v>77</v>
      </c>
      <c r="AR917" t="str">
        <f t="shared" si="440"/>
        <v>CANCELLED</v>
      </c>
      <c r="AS917" t="str">
        <f t="shared" si="449"/>
        <v>EXCLUDE_FROM_SALES</v>
      </c>
      <c r="AT917">
        <f t="shared" si="450"/>
        <v>21912.263999999999</v>
      </c>
      <c r="AU917">
        <f t="shared" si="451"/>
        <v>5544.4839999999986</v>
      </c>
      <c r="AV917" s="6">
        <f t="shared" si="452"/>
        <v>0</v>
      </c>
      <c r="AW917" t="str">
        <f t="shared" si="453"/>
        <v>CLEAN</v>
      </c>
      <c r="AX917" s="10" t="str">
        <f t="shared" si="454"/>
        <v>MATCH</v>
      </c>
      <c r="AY917" t="str">
        <f t="shared" si="455"/>
        <v>MATCH</v>
      </c>
    </row>
    <row r="918" spans="1:51">
      <c r="A918" t="s">
        <v>3963</v>
      </c>
      <c r="B918">
        <f t="shared" si="431"/>
        <v>1</v>
      </c>
      <c r="C918" t="s">
        <v>813</v>
      </c>
      <c r="D918" s="3">
        <v>45758</v>
      </c>
      <c r="E918" t="str">
        <f t="shared" si="432"/>
        <v>2025/04/11</v>
      </c>
      <c r="F918" t="str">
        <f t="shared" si="441"/>
        <v>April</v>
      </c>
      <c r="G918">
        <f t="shared" si="442"/>
        <v>2025</v>
      </c>
      <c r="H918" t="s">
        <v>2142</v>
      </c>
      <c r="I918" s="4">
        <v>45762</v>
      </c>
      <c r="J918" s="8">
        <f t="shared" si="433"/>
        <v>4</v>
      </c>
      <c r="K918" s="8" t="str">
        <f t="shared" si="443"/>
        <v>OK</v>
      </c>
      <c r="L918" t="s">
        <v>3964</v>
      </c>
      <c r="M918" t="s">
        <v>82</v>
      </c>
      <c r="N918" t="str">
        <f t="shared" si="434"/>
        <v>Vikram Iyer</v>
      </c>
      <c r="O918" t="s">
        <v>114</v>
      </c>
      <c r="P918" t="str">
        <f t="shared" si="457"/>
        <v>Home Office</v>
      </c>
      <c r="Q918" t="s">
        <v>61</v>
      </c>
      <c r="R918" t="str">
        <f t="shared" si="456"/>
        <v>South</v>
      </c>
      <c r="S918" t="str">
        <f t="shared" si="444"/>
        <v>OK</v>
      </c>
      <c r="T918" t="s">
        <v>228</v>
      </c>
      <c r="U918" t="str">
        <f t="shared" si="435"/>
        <v>Karnataka</v>
      </c>
      <c r="V918" t="s">
        <v>229</v>
      </c>
      <c r="W918" t="str">
        <f t="shared" si="436"/>
        <v>Bengaluru</v>
      </c>
      <c r="X918" t="str">
        <f t="shared" si="437"/>
        <v>Office Supplies</v>
      </c>
      <c r="Y918" t="s">
        <v>29</v>
      </c>
      <c r="Z918" t="s">
        <v>155</v>
      </c>
      <c r="AA918" t="str">
        <f t="shared" si="438"/>
        <v>Storage</v>
      </c>
      <c r="AB918" t="s">
        <v>3965</v>
      </c>
      <c r="AC918" t="s">
        <v>47</v>
      </c>
      <c r="AD918" t="str">
        <f t="shared" si="458"/>
        <v>Same Day</v>
      </c>
      <c r="AE918" t="str">
        <f t="shared" si="445"/>
        <v>OK</v>
      </c>
      <c r="AF918">
        <v>9</v>
      </c>
      <c r="AG918">
        <v>224.94</v>
      </c>
      <c r="AH918">
        <v>0.05</v>
      </c>
      <c r="AI918">
        <f t="shared" si="446"/>
        <v>0.05</v>
      </c>
      <c r="AJ918" t="str">
        <f t="shared" si="447"/>
        <v>OK</v>
      </c>
      <c r="AK918">
        <v>1923.24</v>
      </c>
      <c r="AL918">
        <v>1093.6600000000001</v>
      </c>
      <c r="AM918">
        <v>829.58</v>
      </c>
      <c r="AN918" t="s">
        <v>33</v>
      </c>
      <c r="AO918" t="str">
        <f t="shared" si="439"/>
        <v>PAID</v>
      </c>
      <c r="AP918" t="str">
        <f t="shared" si="448"/>
        <v>OK</v>
      </c>
      <c r="AQ918" t="s">
        <v>34</v>
      </c>
      <c r="AR918" t="str">
        <f t="shared" si="440"/>
        <v>COMPLETED</v>
      </c>
      <c r="AS918" t="str">
        <f t="shared" si="449"/>
        <v>OK</v>
      </c>
      <c r="AT918">
        <f t="shared" si="450"/>
        <v>1923.2369999999999</v>
      </c>
      <c r="AU918">
        <f t="shared" si="451"/>
        <v>829.57699999999977</v>
      </c>
      <c r="AV918" s="6">
        <f t="shared" si="452"/>
        <v>0</v>
      </c>
      <c r="AW918" t="str">
        <f t="shared" si="453"/>
        <v>CLEAN</v>
      </c>
      <c r="AX918" s="10" t="str">
        <f t="shared" si="454"/>
        <v>MATCH</v>
      </c>
      <c r="AY918" t="str">
        <f t="shared" si="455"/>
        <v>MATCH</v>
      </c>
    </row>
    <row r="919" spans="1:51">
      <c r="A919" t="s">
        <v>3966</v>
      </c>
      <c r="B919">
        <f t="shared" si="431"/>
        <v>1</v>
      </c>
      <c r="C919" t="s">
        <v>3967</v>
      </c>
      <c r="D919" s="3">
        <v>45811</v>
      </c>
      <c r="E919" t="str">
        <f t="shared" si="432"/>
        <v>2025/06/03</v>
      </c>
      <c r="F919" t="str">
        <f t="shared" si="441"/>
        <v>June</v>
      </c>
      <c r="G919">
        <f t="shared" si="442"/>
        <v>2025</v>
      </c>
      <c r="H919" t="s">
        <v>786</v>
      </c>
      <c r="I919" s="4">
        <v>45841</v>
      </c>
      <c r="J919" s="8">
        <f t="shared" si="433"/>
        <v>30</v>
      </c>
      <c r="K919" s="8" t="str">
        <f t="shared" si="443"/>
        <v>OK</v>
      </c>
      <c r="L919" t="s">
        <v>3968</v>
      </c>
      <c r="M919" t="s">
        <v>179</v>
      </c>
      <c r="N919" t="str">
        <f t="shared" si="434"/>
        <v>Rohan Mehta</v>
      </c>
      <c r="O919" t="s">
        <v>114</v>
      </c>
      <c r="P919" t="str">
        <f t="shared" si="457"/>
        <v>Home Office</v>
      </c>
      <c r="R919" t="s">
        <v>4109</v>
      </c>
      <c r="S919" t="str">
        <f t="shared" si="444"/>
        <v>MISSING_REGION</v>
      </c>
      <c r="T919" t="s">
        <v>505</v>
      </c>
      <c r="U919" t="str">
        <f t="shared" si="435"/>
        <v>Delhi</v>
      </c>
      <c r="V919" t="s">
        <v>506</v>
      </c>
      <c r="W919" t="str">
        <f t="shared" si="436"/>
        <v>New Delhi</v>
      </c>
      <c r="X919" t="str">
        <f t="shared" si="437"/>
        <v>Furniture</v>
      </c>
      <c r="Y919" t="s">
        <v>44</v>
      </c>
      <c r="Z919" t="s">
        <v>75</v>
      </c>
      <c r="AA919" t="str">
        <f t="shared" si="438"/>
        <v>Chairs</v>
      </c>
      <c r="AB919" t="s">
        <v>1751</v>
      </c>
      <c r="AC919" t="s">
        <v>47</v>
      </c>
      <c r="AD919" t="str">
        <f t="shared" si="458"/>
        <v>Same Day</v>
      </c>
      <c r="AE919" t="str">
        <f t="shared" si="445"/>
        <v>OK</v>
      </c>
      <c r="AF919">
        <v>6</v>
      </c>
      <c r="AG919">
        <v>796.65</v>
      </c>
      <c r="AH919">
        <v>0.1</v>
      </c>
      <c r="AI919">
        <f t="shared" si="446"/>
        <v>0.1</v>
      </c>
      <c r="AJ919" t="str">
        <f t="shared" si="447"/>
        <v>OK</v>
      </c>
      <c r="AK919">
        <v>4301.91</v>
      </c>
      <c r="AL919">
        <v>2374.4</v>
      </c>
      <c r="AM919">
        <v>1927.51</v>
      </c>
      <c r="AN919" t="s">
        <v>33</v>
      </c>
      <c r="AO919" t="str">
        <f t="shared" si="439"/>
        <v>PAID</v>
      </c>
      <c r="AP919" t="str">
        <f t="shared" si="448"/>
        <v>OK</v>
      </c>
      <c r="AQ919" t="s">
        <v>34</v>
      </c>
      <c r="AR919" t="str">
        <f t="shared" si="440"/>
        <v>COMPLETED</v>
      </c>
      <c r="AS919" t="str">
        <f t="shared" si="449"/>
        <v>OK</v>
      </c>
      <c r="AT919">
        <f t="shared" si="450"/>
        <v>4301.91</v>
      </c>
      <c r="AU919">
        <f t="shared" si="451"/>
        <v>1927.5099999999998</v>
      </c>
      <c r="AV919" s="6">
        <f t="shared" si="452"/>
        <v>0</v>
      </c>
      <c r="AW919" t="str">
        <f t="shared" si="453"/>
        <v>WARNING</v>
      </c>
      <c r="AX919" s="10" t="str">
        <f t="shared" si="454"/>
        <v>MATCH</v>
      </c>
      <c r="AY919" t="str">
        <f t="shared" si="455"/>
        <v>MATCH</v>
      </c>
    </row>
    <row r="920" spans="1:51">
      <c r="A920" t="s">
        <v>3969</v>
      </c>
      <c r="B920">
        <f t="shared" si="431"/>
        <v>1</v>
      </c>
      <c r="C920" t="s">
        <v>3970</v>
      </c>
      <c r="D920" s="2">
        <v>45814</v>
      </c>
      <c r="E920" t="str">
        <f t="shared" si="432"/>
        <v>2025/06/06</v>
      </c>
      <c r="F920" t="str">
        <f t="shared" si="441"/>
        <v>June</v>
      </c>
      <c r="G920">
        <f t="shared" si="442"/>
        <v>2025</v>
      </c>
      <c r="H920" t="s">
        <v>3971</v>
      </c>
      <c r="I920" s="4">
        <v>45815</v>
      </c>
      <c r="J920" s="8">
        <f t="shared" si="433"/>
        <v>1</v>
      </c>
      <c r="K920" s="8" t="str">
        <f t="shared" si="443"/>
        <v>OK</v>
      </c>
      <c r="L920" t="s">
        <v>3972</v>
      </c>
      <c r="M920" t="s">
        <v>82</v>
      </c>
      <c r="N920" t="str">
        <f t="shared" si="434"/>
        <v>Vikram Iyer</v>
      </c>
      <c r="O920" t="s">
        <v>107</v>
      </c>
      <c r="P920" t="str">
        <f t="shared" si="457"/>
        <v>Corporate</v>
      </c>
      <c r="Q920" t="s">
        <v>72</v>
      </c>
      <c r="R920" t="str">
        <f t="shared" ref="R920:R933" si="459">PROPER(TRIM(SUBSTITUTE(Q920,CHAR(160)," ")))</f>
        <v>West</v>
      </c>
      <c r="S920" t="str">
        <f t="shared" si="444"/>
        <v>OK</v>
      </c>
      <c r="T920" t="s">
        <v>248</v>
      </c>
      <c r="U920" t="str">
        <f t="shared" si="435"/>
        <v>Goa</v>
      </c>
      <c r="V920" t="s">
        <v>249</v>
      </c>
      <c r="W920" t="str">
        <f t="shared" si="436"/>
        <v>Panaji</v>
      </c>
      <c r="X920" t="str">
        <f t="shared" si="437"/>
        <v>Furniture</v>
      </c>
      <c r="Y920" t="s">
        <v>44</v>
      </c>
      <c r="Z920" t="s">
        <v>45</v>
      </c>
      <c r="AA920" t="str">
        <f t="shared" si="438"/>
        <v>Tables</v>
      </c>
      <c r="AB920" t="s">
        <v>3973</v>
      </c>
      <c r="AC920" t="s">
        <v>66</v>
      </c>
      <c r="AD920" t="str">
        <f t="shared" si="458"/>
        <v>Standard Class</v>
      </c>
      <c r="AE920" t="str">
        <f t="shared" si="445"/>
        <v>OK</v>
      </c>
      <c r="AF920">
        <v>9</v>
      </c>
      <c r="AG920">
        <v>2932.92</v>
      </c>
      <c r="AH920">
        <v>0.15</v>
      </c>
      <c r="AI920">
        <f t="shared" si="446"/>
        <v>0.15</v>
      </c>
      <c r="AJ920" t="str">
        <f t="shared" si="447"/>
        <v>OK</v>
      </c>
      <c r="AK920">
        <v>22436.84</v>
      </c>
      <c r="AL920">
        <v>17454.669999999998</v>
      </c>
      <c r="AM920">
        <v>4982.17</v>
      </c>
      <c r="AN920" t="s">
        <v>33</v>
      </c>
      <c r="AO920" t="str">
        <f t="shared" si="439"/>
        <v>PAID</v>
      </c>
      <c r="AP920" t="str">
        <f t="shared" si="448"/>
        <v>OK</v>
      </c>
      <c r="AQ920" t="s">
        <v>77</v>
      </c>
      <c r="AR920" t="str">
        <f t="shared" si="440"/>
        <v>CANCELLED</v>
      </c>
      <c r="AS920" t="str">
        <f t="shared" si="449"/>
        <v>EXCLUDE_FROM_SALES</v>
      </c>
      <c r="AT920">
        <f t="shared" si="450"/>
        <v>22436.838</v>
      </c>
      <c r="AU920">
        <f t="shared" si="451"/>
        <v>4982.1680000000015</v>
      </c>
      <c r="AV920" s="6">
        <f t="shared" si="452"/>
        <v>0</v>
      </c>
      <c r="AW920" t="str">
        <f t="shared" si="453"/>
        <v>CLEAN</v>
      </c>
      <c r="AX920" s="10" t="str">
        <f t="shared" si="454"/>
        <v>MATCH</v>
      </c>
      <c r="AY920" t="str">
        <f t="shared" si="455"/>
        <v>MATCH</v>
      </c>
    </row>
    <row r="921" spans="1:51">
      <c r="A921" t="s">
        <v>3980</v>
      </c>
      <c r="B921">
        <f t="shared" si="431"/>
        <v>1</v>
      </c>
      <c r="C921" t="s">
        <v>3981</v>
      </c>
      <c r="D921" s="2">
        <v>45659</v>
      </c>
      <c r="E921" t="str">
        <f t="shared" si="432"/>
        <v>2025/01/02</v>
      </c>
      <c r="F921" t="str">
        <f t="shared" si="441"/>
        <v>January</v>
      </c>
      <c r="G921">
        <f t="shared" si="442"/>
        <v>2025</v>
      </c>
      <c r="H921" t="s">
        <v>3982</v>
      </c>
      <c r="I921" s="4">
        <v>45871</v>
      </c>
      <c r="J921" s="8">
        <f t="shared" si="433"/>
        <v>212</v>
      </c>
      <c r="K921" s="8" t="str">
        <f t="shared" si="443"/>
        <v>OK</v>
      </c>
      <c r="L921" t="s">
        <v>3983</v>
      </c>
      <c r="M921" t="s">
        <v>106</v>
      </c>
      <c r="N921" t="str">
        <f t="shared" si="434"/>
        <v>Aditi Sen</v>
      </c>
      <c r="O921" t="s">
        <v>114</v>
      </c>
      <c r="P921" t="str">
        <f t="shared" si="457"/>
        <v>Home Office</v>
      </c>
      <c r="Q921" t="s">
        <v>72</v>
      </c>
      <c r="R921" t="str">
        <f t="shared" si="459"/>
        <v>West</v>
      </c>
      <c r="S921" t="str">
        <f t="shared" si="444"/>
        <v>OK</v>
      </c>
      <c r="T921" t="s">
        <v>234</v>
      </c>
      <c r="U921" t="str">
        <f t="shared" si="435"/>
        <v>Gujarat</v>
      </c>
      <c r="V921" t="s">
        <v>235</v>
      </c>
      <c r="W921" t="str">
        <f t="shared" si="436"/>
        <v>Ahmedabad</v>
      </c>
      <c r="X921" t="str">
        <f t="shared" si="437"/>
        <v>Office Supplies</v>
      </c>
      <c r="Y921" t="s">
        <v>29</v>
      </c>
      <c r="Z921" t="s">
        <v>155</v>
      </c>
      <c r="AA921" t="str">
        <f t="shared" si="438"/>
        <v>Storage</v>
      </c>
      <c r="AB921" t="s">
        <v>3984</v>
      </c>
      <c r="AC921" t="s">
        <v>32</v>
      </c>
      <c r="AD921" t="str">
        <f t="shared" si="458"/>
        <v>Second Class</v>
      </c>
      <c r="AE921" t="str">
        <f t="shared" si="445"/>
        <v>OK</v>
      </c>
      <c r="AF921">
        <v>8</v>
      </c>
      <c r="AG921">
        <v>623.30999999999995</v>
      </c>
      <c r="AH921">
        <v>0.1</v>
      </c>
      <c r="AI921">
        <f t="shared" si="446"/>
        <v>0.1</v>
      </c>
      <c r="AJ921" t="str">
        <f t="shared" si="447"/>
        <v>OK</v>
      </c>
      <c r="AK921">
        <v>4487.83</v>
      </c>
      <c r="AL921">
        <v>2633.78</v>
      </c>
      <c r="AM921">
        <v>1854.05</v>
      </c>
      <c r="AN921" t="s">
        <v>33</v>
      </c>
      <c r="AO921" t="str">
        <f t="shared" si="439"/>
        <v>PAID</v>
      </c>
      <c r="AP921" t="str">
        <f t="shared" si="448"/>
        <v>OK</v>
      </c>
      <c r="AQ921" t="s">
        <v>34</v>
      </c>
      <c r="AR921" t="str">
        <f t="shared" si="440"/>
        <v>COMPLETED</v>
      </c>
      <c r="AS921" t="str">
        <f t="shared" si="449"/>
        <v>OK</v>
      </c>
      <c r="AT921">
        <f t="shared" si="450"/>
        <v>4487.8319999999994</v>
      </c>
      <c r="AU921">
        <f t="shared" si="451"/>
        <v>1854.0519999999992</v>
      </c>
      <c r="AV921" s="6">
        <f t="shared" si="452"/>
        <v>0</v>
      </c>
      <c r="AW921" t="str">
        <f t="shared" si="453"/>
        <v>CLEAN</v>
      </c>
      <c r="AX921" s="10" t="str">
        <f t="shared" si="454"/>
        <v>MATCH</v>
      </c>
      <c r="AY921" t="str">
        <f t="shared" si="455"/>
        <v>MATCH</v>
      </c>
    </row>
    <row r="922" spans="1:51">
      <c r="A922" t="s">
        <v>3985</v>
      </c>
      <c r="B922">
        <f t="shared" si="431"/>
        <v>1</v>
      </c>
      <c r="C922" t="s">
        <v>2907</v>
      </c>
      <c r="D922" s="2">
        <v>45853</v>
      </c>
      <c r="E922" t="str">
        <f t="shared" si="432"/>
        <v>2025/07/15</v>
      </c>
      <c r="F922" t="str">
        <f t="shared" si="441"/>
        <v>July</v>
      </c>
      <c r="G922">
        <f t="shared" si="442"/>
        <v>2025</v>
      </c>
      <c r="H922" t="s">
        <v>1510</v>
      </c>
      <c r="I922" s="4">
        <v>45854</v>
      </c>
      <c r="J922" s="8">
        <f t="shared" si="433"/>
        <v>1</v>
      </c>
      <c r="K922" s="8" t="str">
        <f t="shared" si="443"/>
        <v>OK</v>
      </c>
      <c r="L922" t="s">
        <v>3986</v>
      </c>
      <c r="M922" t="s">
        <v>82</v>
      </c>
      <c r="N922" t="str">
        <f t="shared" si="434"/>
        <v>Vikram Iyer</v>
      </c>
      <c r="O922" t="s">
        <v>40</v>
      </c>
      <c r="P922" t="str">
        <f t="shared" si="457"/>
        <v>Small Business</v>
      </c>
      <c r="Q922" t="s">
        <v>72</v>
      </c>
      <c r="R922" t="str">
        <f t="shared" si="459"/>
        <v>West</v>
      </c>
      <c r="S922" t="str">
        <f t="shared" si="444"/>
        <v>OK</v>
      </c>
      <c r="T922" t="s">
        <v>73</v>
      </c>
      <c r="U922" t="str">
        <f t="shared" si="435"/>
        <v>Maharashtra</v>
      </c>
      <c r="V922" t="s">
        <v>74</v>
      </c>
      <c r="W922" t="str">
        <f t="shared" si="436"/>
        <v>Mumbai</v>
      </c>
      <c r="X922" t="str">
        <f t="shared" si="437"/>
        <v>Office Supplies</v>
      </c>
      <c r="Y922" t="s">
        <v>29</v>
      </c>
      <c r="Z922" t="s">
        <v>30</v>
      </c>
      <c r="AA922" t="str">
        <f t="shared" si="438"/>
        <v>Paper</v>
      </c>
      <c r="AB922" t="s">
        <v>3987</v>
      </c>
      <c r="AC922" t="s">
        <v>66</v>
      </c>
      <c r="AD922" t="str">
        <f t="shared" si="458"/>
        <v>Standard Class</v>
      </c>
      <c r="AE922" t="str">
        <f t="shared" si="445"/>
        <v>OK</v>
      </c>
      <c r="AF922">
        <v>8</v>
      </c>
      <c r="AG922">
        <v>3924.88</v>
      </c>
      <c r="AH922">
        <v>0.05</v>
      </c>
      <c r="AI922">
        <f t="shared" si="446"/>
        <v>0.05</v>
      </c>
      <c r="AJ922" t="str">
        <f t="shared" si="447"/>
        <v>OK</v>
      </c>
      <c r="AK922">
        <v>29829.09</v>
      </c>
      <c r="AL922">
        <v>20710.18</v>
      </c>
      <c r="AM922">
        <v>9118.91</v>
      </c>
      <c r="AN922" t="s">
        <v>33</v>
      </c>
      <c r="AO922" t="str">
        <f t="shared" si="439"/>
        <v>PAID</v>
      </c>
      <c r="AP922" t="str">
        <f t="shared" si="448"/>
        <v>OK</v>
      </c>
      <c r="AQ922" t="s">
        <v>34</v>
      </c>
      <c r="AR922" t="str">
        <f t="shared" si="440"/>
        <v>COMPLETED</v>
      </c>
      <c r="AS922" t="str">
        <f t="shared" si="449"/>
        <v>OK</v>
      </c>
      <c r="AT922">
        <f t="shared" si="450"/>
        <v>29829.088</v>
      </c>
      <c r="AU922">
        <f t="shared" si="451"/>
        <v>9118.9079999999994</v>
      </c>
      <c r="AV922" s="6">
        <f t="shared" si="452"/>
        <v>0</v>
      </c>
      <c r="AW922" t="str">
        <f t="shared" si="453"/>
        <v>CLEAN</v>
      </c>
      <c r="AX922" s="10" t="str">
        <f t="shared" si="454"/>
        <v>MATCH</v>
      </c>
      <c r="AY922" t="str">
        <f t="shared" si="455"/>
        <v>MATCH</v>
      </c>
    </row>
    <row r="923" spans="1:51">
      <c r="A923" t="s">
        <v>3997</v>
      </c>
      <c r="B923">
        <f t="shared" si="431"/>
        <v>1</v>
      </c>
      <c r="C923" t="s">
        <v>3998</v>
      </c>
      <c r="D923" s="3">
        <v>45895</v>
      </c>
      <c r="E923" t="str">
        <f t="shared" si="432"/>
        <v>2025/08/26</v>
      </c>
      <c r="F923" t="str">
        <f t="shared" si="441"/>
        <v>August</v>
      </c>
      <c r="G923">
        <f t="shared" si="442"/>
        <v>2025</v>
      </c>
      <c r="H923" t="s">
        <v>2766</v>
      </c>
      <c r="I923" s="4">
        <v>45903</v>
      </c>
      <c r="J923" s="8">
        <f t="shared" si="433"/>
        <v>8</v>
      </c>
      <c r="K923" s="8" t="str">
        <f t="shared" si="443"/>
        <v>OK</v>
      </c>
      <c r="L923" t="s">
        <v>3999</v>
      </c>
      <c r="M923" t="s">
        <v>161</v>
      </c>
      <c r="N923" t="str">
        <f t="shared" si="434"/>
        <v>Aarav Sharma</v>
      </c>
      <c r="O923" t="s">
        <v>25</v>
      </c>
      <c r="P923" t="str">
        <f t="shared" si="457"/>
        <v>Consumer</v>
      </c>
      <c r="Q923" t="s">
        <v>72</v>
      </c>
      <c r="R923" t="str">
        <f t="shared" si="459"/>
        <v>West</v>
      </c>
      <c r="S923" t="str">
        <f t="shared" si="444"/>
        <v>OK</v>
      </c>
      <c r="T923" t="s">
        <v>27</v>
      </c>
      <c r="U923" t="str">
        <f t="shared" si="435"/>
        <v>Rajasthan</v>
      </c>
      <c r="V923" t="s">
        <v>134</v>
      </c>
      <c r="W923" t="str">
        <f t="shared" si="436"/>
        <v>Udaipur</v>
      </c>
      <c r="X923" t="str">
        <f t="shared" si="437"/>
        <v>Office Supplies</v>
      </c>
      <c r="Y923" t="s">
        <v>29</v>
      </c>
      <c r="Z923" t="s">
        <v>155</v>
      </c>
      <c r="AA923" t="str">
        <f t="shared" si="438"/>
        <v>Storage</v>
      </c>
      <c r="AB923" t="s">
        <v>4000</v>
      </c>
      <c r="AC923" t="s">
        <v>32</v>
      </c>
      <c r="AD923" t="str">
        <f t="shared" si="458"/>
        <v>Second Class</v>
      </c>
      <c r="AE923" t="str">
        <f t="shared" si="445"/>
        <v>OK</v>
      </c>
      <c r="AF923">
        <v>6</v>
      </c>
      <c r="AG923">
        <v>674.36</v>
      </c>
      <c r="AH923">
        <v>0.1</v>
      </c>
      <c r="AI923">
        <f t="shared" si="446"/>
        <v>0.1</v>
      </c>
      <c r="AJ923" t="str">
        <f t="shared" si="447"/>
        <v>OK</v>
      </c>
      <c r="AK923">
        <v>3641.54</v>
      </c>
      <c r="AL923">
        <v>2690.37</v>
      </c>
      <c r="AM923">
        <v>951.17</v>
      </c>
      <c r="AN923" t="s">
        <v>33</v>
      </c>
      <c r="AO923" t="str">
        <f t="shared" si="439"/>
        <v>PAID</v>
      </c>
      <c r="AP923" t="str">
        <f t="shared" si="448"/>
        <v>OK</v>
      </c>
      <c r="AQ923" t="s">
        <v>34</v>
      </c>
      <c r="AR923" t="str">
        <f t="shared" si="440"/>
        <v>COMPLETED</v>
      </c>
      <c r="AS923" t="str">
        <f t="shared" si="449"/>
        <v>OK</v>
      </c>
      <c r="AT923">
        <f t="shared" si="450"/>
        <v>3641.5439999999999</v>
      </c>
      <c r="AU923">
        <f t="shared" si="451"/>
        <v>951.17399999999998</v>
      </c>
      <c r="AV923" s="6">
        <f t="shared" si="452"/>
        <v>0</v>
      </c>
      <c r="AW923" t="str">
        <f t="shared" si="453"/>
        <v>CLEAN</v>
      </c>
      <c r="AX923" s="10" t="str">
        <f t="shared" si="454"/>
        <v>MATCH</v>
      </c>
      <c r="AY923" t="str">
        <f t="shared" si="455"/>
        <v>MATCH</v>
      </c>
    </row>
    <row r="924" spans="1:51">
      <c r="A924" t="s">
        <v>4004</v>
      </c>
      <c r="B924">
        <f t="shared" si="431"/>
        <v>1</v>
      </c>
      <c r="C924" t="s">
        <v>4005</v>
      </c>
      <c r="D924" s="3">
        <v>45896</v>
      </c>
      <c r="E924" t="str">
        <f t="shared" si="432"/>
        <v>2025/08/27</v>
      </c>
      <c r="F924" t="str">
        <f t="shared" si="441"/>
        <v>August</v>
      </c>
      <c r="G924">
        <f t="shared" si="442"/>
        <v>2025</v>
      </c>
      <c r="H924" t="s">
        <v>434</v>
      </c>
      <c r="I924" s="4">
        <v>45897</v>
      </c>
      <c r="J924" s="8">
        <f t="shared" si="433"/>
        <v>1</v>
      </c>
      <c r="K924" s="8" t="str">
        <f t="shared" si="443"/>
        <v>OK</v>
      </c>
      <c r="L924" t="s">
        <v>4006</v>
      </c>
      <c r="M924" t="s">
        <v>71</v>
      </c>
      <c r="N924" t="str">
        <f t="shared" si="434"/>
        <v>Ananya Rao</v>
      </c>
      <c r="O924" t="s">
        <v>114</v>
      </c>
      <c r="P924" t="str">
        <f t="shared" si="457"/>
        <v>Home Office</v>
      </c>
      <c r="Q924" t="s">
        <v>26</v>
      </c>
      <c r="R924" t="str">
        <f t="shared" si="459"/>
        <v>North</v>
      </c>
      <c r="S924" t="str">
        <f t="shared" si="444"/>
        <v>OK</v>
      </c>
      <c r="T924" t="s">
        <v>173</v>
      </c>
      <c r="U924" t="str">
        <f t="shared" si="435"/>
        <v>Uttar Pradesh</v>
      </c>
      <c r="V924" t="s">
        <v>174</v>
      </c>
      <c r="W924" t="str">
        <f t="shared" si="436"/>
        <v>Noida</v>
      </c>
      <c r="X924" t="str">
        <f t="shared" si="437"/>
        <v>Office Supplies</v>
      </c>
      <c r="Y924" t="s">
        <v>29</v>
      </c>
      <c r="Z924" t="s">
        <v>53</v>
      </c>
      <c r="AA924" t="str">
        <f t="shared" si="438"/>
        <v>Art</v>
      </c>
      <c r="AB924" t="s">
        <v>4007</v>
      </c>
      <c r="AC924" t="s">
        <v>66</v>
      </c>
      <c r="AD924" t="str">
        <f t="shared" si="458"/>
        <v>Standard Class</v>
      </c>
      <c r="AE924" t="str">
        <f t="shared" si="445"/>
        <v>OK</v>
      </c>
      <c r="AF924">
        <v>6</v>
      </c>
      <c r="AG924">
        <v>1182.03</v>
      </c>
      <c r="AH924">
        <v>0.15</v>
      </c>
      <c r="AI924">
        <f t="shared" si="446"/>
        <v>0.15</v>
      </c>
      <c r="AJ924" t="str">
        <f t="shared" si="447"/>
        <v>OK</v>
      </c>
      <c r="AK924">
        <v>6028.35</v>
      </c>
      <c r="AL924">
        <v>4433.63</v>
      </c>
      <c r="AM924">
        <v>1594.72</v>
      </c>
      <c r="AN924" t="s">
        <v>33</v>
      </c>
      <c r="AO924" t="str">
        <f t="shared" si="439"/>
        <v>PAID</v>
      </c>
      <c r="AP924" t="str">
        <f t="shared" si="448"/>
        <v>OK</v>
      </c>
      <c r="AQ924" t="s">
        <v>34</v>
      </c>
      <c r="AR924" t="str">
        <f t="shared" si="440"/>
        <v>COMPLETED</v>
      </c>
      <c r="AS924" t="str">
        <f t="shared" si="449"/>
        <v>OK</v>
      </c>
      <c r="AT924">
        <f t="shared" si="450"/>
        <v>6028.3530000000001</v>
      </c>
      <c r="AU924">
        <f t="shared" si="451"/>
        <v>1594.723</v>
      </c>
      <c r="AV924" s="6">
        <f t="shared" si="452"/>
        <v>0</v>
      </c>
      <c r="AW924" t="str">
        <f t="shared" si="453"/>
        <v>CLEAN</v>
      </c>
      <c r="AX924" s="10" t="str">
        <f t="shared" si="454"/>
        <v>MATCH</v>
      </c>
      <c r="AY924" t="str">
        <f t="shared" si="455"/>
        <v>MATCH</v>
      </c>
    </row>
    <row r="925" spans="1:51">
      <c r="A925" t="s">
        <v>4016</v>
      </c>
      <c r="B925">
        <f t="shared" si="431"/>
        <v>1</v>
      </c>
      <c r="C925" t="s">
        <v>4017</v>
      </c>
      <c r="D925" s="2">
        <v>45690</v>
      </c>
      <c r="E925" t="str">
        <f t="shared" si="432"/>
        <v>2025/02/02</v>
      </c>
      <c r="F925" t="str">
        <f t="shared" si="441"/>
        <v>February</v>
      </c>
      <c r="G925">
        <f t="shared" si="442"/>
        <v>2025</v>
      </c>
      <c r="H925" t="s">
        <v>1334</v>
      </c>
      <c r="I925" s="4">
        <v>45698</v>
      </c>
      <c r="J925" s="8">
        <f t="shared" si="433"/>
        <v>8</v>
      </c>
      <c r="K925" s="8" t="str">
        <f t="shared" si="443"/>
        <v>OK</v>
      </c>
      <c r="L925" t="s">
        <v>4018</v>
      </c>
      <c r="M925" t="s">
        <v>167</v>
      </c>
      <c r="N925" t="str">
        <f t="shared" si="434"/>
        <v>Sneha Kapoor</v>
      </c>
      <c r="O925" t="s">
        <v>107</v>
      </c>
      <c r="P925" t="str">
        <f t="shared" si="457"/>
        <v>Corporate</v>
      </c>
      <c r="Q925" t="s">
        <v>41</v>
      </c>
      <c r="R925" t="str">
        <f t="shared" si="459"/>
        <v>East</v>
      </c>
      <c r="S925" t="str">
        <f t="shared" si="444"/>
        <v>OK</v>
      </c>
      <c r="T925" t="s">
        <v>185</v>
      </c>
      <c r="U925" t="str">
        <f t="shared" si="435"/>
        <v>Bihar</v>
      </c>
      <c r="V925" t="s">
        <v>186</v>
      </c>
      <c r="W925" t="str">
        <f t="shared" si="436"/>
        <v>Patna</v>
      </c>
      <c r="X925" t="str">
        <f t="shared" si="437"/>
        <v>Technology</v>
      </c>
      <c r="Y925" t="s">
        <v>85</v>
      </c>
      <c r="Z925" t="s">
        <v>86</v>
      </c>
      <c r="AA925" t="str">
        <f t="shared" si="438"/>
        <v>Accessories</v>
      </c>
      <c r="AB925" t="s">
        <v>4019</v>
      </c>
      <c r="AC925" t="s">
        <v>66</v>
      </c>
      <c r="AD925" t="str">
        <f t="shared" si="458"/>
        <v>Standard Class</v>
      </c>
      <c r="AE925" t="str">
        <f t="shared" si="445"/>
        <v>OK</v>
      </c>
      <c r="AF925">
        <v>4</v>
      </c>
      <c r="AG925">
        <v>1912.45</v>
      </c>
      <c r="AH925">
        <v>0</v>
      </c>
      <c r="AI925">
        <f t="shared" si="446"/>
        <v>0</v>
      </c>
      <c r="AJ925" t="str">
        <f t="shared" si="447"/>
        <v>OK</v>
      </c>
      <c r="AK925">
        <v>7649.8</v>
      </c>
      <c r="AL925">
        <v>4894.53</v>
      </c>
      <c r="AM925">
        <v>2755.27</v>
      </c>
      <c r="AN925" t="s">
        <v>136</v>
      </c>
      <c r="AO925" t="str">
        <f t="shared" si="439"/>
        <v>PENDING</v>
      </c>
      <c r="AP925" t="str">
        <f t="shared" si="448"/>
        <v>OK</v>
      </c>
      <c r="AQ925" t="s">
        <v>124</v>
      </c>
      <c r="AR925" t="str">
        <f t="shared" si="440"/>
        <v>RETURNED</v>
      </c>
      <c r="AS925" t="str">
        <f t="shared" si="449"/>
        <v>RETURNED_ORDER</v>
      </c>
      <c r="AT925">
        <f t="shared" si="450"/>
        <v>7649.8</v>
      </c>
      <c r="AU925">
        <f t="shared" si="451"/>
        <v>2755.2700000000004</v>
      </c>
      <c r="AV925" s="6">
        <f t="shared" si="452"/>
        <v>0</v>
      </c>
      <c r="AW925" t="str">
        <f t="shared" si="453"/>
        <v>CLEAN</v>
      </c>
      <c r="AX925" s="10" t="str">
        <f t="shared" si="454"/>
        <v>MATCH</v>
      </c>
      <c r="AY925" t="str">
        <f t="shared" si="455"/>
        <v>MATCH</v>
      </c>
    </row>
    <row r="926" spans="1:51">
      <c r="A926" t="s">
        <v>4020</v>
      </c>
      <c r="B926">
        <f t="shared" si="431"/>
        <v>1</v>
      </c>
      <c r="C926" t="s">
        <v>4021</v>
      </c>
      <c r="D926" s="2">
        <v>45775</v>
      </c>
      <c r="E926" t="str">
        <f t="shared" si="432"/>
        <v>2025/04/28</v>
      </c>
      <c r="F926" t="str">
        <f t="shared" si="441"/>
        <v>April</v>
      </c>
      <c r="G926">
        <f t="shared" si="442"/>
        <v>2025</v>
      </c>
      <c r="H926" t="s">
        <v>4022</v>
      </c>
      <c r="I926" s="4">
        <v>45778</v>
      </c>
      <c r="J926" s="8">
        <f t="shared" si="433"/>
        <v>3</v>
      </c>
      <c r="K926" s="8" t="str">
        <f t="shared" si="443"/>
        <v>OK</v>
      </c>
      <c r="L926" t="s">
        <v>4023</v>
      </c>
      <c r="M926" t="s">
        <v>161</v>
      </c>
      <c r="N926" t="str">
        <f t="shared" si="434"/>
        <v>Aarav Sharma</v>
      </c>
      <c r="O926" t="s">
        <v>40</v>
      </c>
      <c r="P926" t="str">
        <f t="shared" si="457"/>
        <v>Small Business</v>
      </c>
      <c r="Q926" t="s">
        <v>72</v>
      </c>
      <c r="R926" t="str">
        <f t="shared" si="459"/>
        <v>West</v>
      </c>
      <c r="S926" t="str">
        <f t="shared" si="444"/>
        <v>OK</v>
      </c>
      <c r="T926" t="s">
        <v>248</v>
      </c>
      <c r="U926" t="str">
        <f t="shared" si="435"/>
        <v>Goa</v>
      </c>
      <c r="V926" t="s">
        <v>249</v>
      </c>
      <c r="W926" t="str">
        <f t="shared" si="436"/>
        <v>Panaji</v>
      </c>
      <c r="X926" t="str">
        <f t="shared" si="437"/>
        <v>Office Supplies</v>
      </c>
      <c r="Y926" t="s">
        <v>29</v>
      </c>
      <c r="Z926" t="s">
        <v>155</v>
      </c>
      <c r="AA926" t="str">
        <f t="shared" si="438"/>
        <v>Storage</v>
      </c>
      <c r="AB926" t="s">
        <v>4024</v>
      </c>
      <c r="AC926" t="s">
        <v>47</v>
      </c>
      <c r="AD926" t="str">
        <f t="shared" si="458"/>
        <v>Same Day</v>
      </c>
      <c r="AE926" t="str">
        <f t="shared" si="445"/>
        <v>OK</v>
      </c>
      <c r="AF926">
        <v>1</v>
      </c>
      <c r="AG926">
        <v>1620.87</v>
      </c>
      <c r="AH926">
        <v>0</v>
      </c>
      <c r="AI926">
        <f t="shared" si="446"/>
        <v>0</v>
      </c>
      <c r="AJ926" t="str">
        <f t="shared" si="447"/>
        <v>OK</v>
      </c>
      <c r="AK926">
        <v>1620.87</v>
      </c>
      <c r="AL926">
        <v>1103.6099999999999</v>
      </c>
      <c r="AM926">
        <v>517.26</v>
      </c>
      <c r="AN926" t="s">
        <v>33</v>
      </c>
      <c r="AO926" t="str">
        <f t="shared" si="439"/>
        <v>PAID</v>
      </c>
      <c r="AP926" t="str">
        <f t="shared" si="448"/>
        <v>OK</v>
      </c>
      <c r="AQ926" t="s">
        <v>34</v>
      </c>
      <c r="AR926" t="str">
        <f t="shared" si="440"/>
        <v>COMPLETED</v>
      </c>
      <c r="AS926" t="str">
        <f t="shared" si="449"/>
        <v>OK</v>
      </c>
      <c r="AT926">
        <f t="shared" si="450"/>
        <v>1620.87</v>
      </c>
      <c r="AU926">
        <f t="shared" si="451"/>
        <v>517.26</v>
      </c>
      <c r="AV926" s="6">
        <f t="shared" si="452"/>
        <v>0</v>
      </c>
      <c r="AW926" t="str">
        <f t="shared" si="453"/>
        <v>CLEAN</v>
      </c>
      <c r="AX926" s="10" t="str">
        <f t="shared" si="454"/>
        <v>MATCH</v>
      </c>
      <c r="AY926" t="str">
        <f t="shared" si="455"/>
        <v>MATCH</v>
      </c>
    </row>
    <row r="927" spans="1:51">
      <c r="A927" t="s">
        <v>4025</v>
      </c>
      <c r="B927">
        <f t="shared" si="431"/>
        <v>1</v>
      </c>
      <c r="C927" t="s">
        <v>4026</v>
      </c>
      <c r="D927" s="3">
        <v>45675</v>
      </c>
      <c r="E927" t="str">
        <f t="shared" si="432"/>
        <v>2025/01/18</v>
      </c>
      <c r="F927" t="str">
        <f t="shared" si="441"/>
        <v>January</v>
      </c>
      <c r="G927">
        <f t="shared" si="442"/>
        <v>2025</v>
      </c>
      <c r="H927" t="s">
        <v>4027</v>
      </c>
      <c r="I927" s="4">
        <v>45682</v>
      </c>
      <c r="J927" s="8">
        <f t="shared" si="433"/>
        <v>7</v>
      </c>
      <c r="K927" s="8" t="str">
        <f t="shared" si="443"/>
        <v>OK</v>
      </c>
      <c r="L927" t="s">
        <v>4028</v>
      </c>
      <c r="M927" t="s">
        <v>92</v>
      </c>
      <c r="N927" t="str">
        <f t="shared" si="434"/>
        <v>Neha Gupta</v>
      </c>
      <c r="O927" t="s">
        <v>114</v>
      </c>
      <c r="P927" t="str">
        <f t="shared" si="457"/>
        <v>Home Office</v>
      </c>
      <c r="Q927" t="s">
        <v>61</v>
      </c>
      <c r="R927" t="str">
        <f t="shared" si="459"/>
        <v>South</v>
      </c>
      <c r="S927" t="str">
        <f t="shared" si="444"/>
        <v>OK</v>
      </c>
      <c r="T927" t="s">
        <v>228</v>
      </c>
      <c r="U927" t="str">
        <f t="shared" si="435"/>
        <v>Karnataka</v>
      </c>
      <c r="V927" t="s">
        <v>229</v>
      </c>
      <c r="W927" t="str">
        <f t="shared" si="436"/>
        <v>Bengaluru</v>
      </c>
      <c r="X927" t="str">
        <f t="shared" si="437"/>
        <v>Office Supplies</v>
      </c>
      <c r="Y927" t="s">
        <v>29</v>
      </c>
      <c r="Z927" t="s">
        <v>155</v>
      </c>
      <c r="AA927" t="str">
        <f t="shared" si="438"/>
        <v>Storage</v>
      </c>
      <c r="AB927" t="s">
        <v>4029</v>
      </c>
      <c r="AC927" t="s">
        <v>47</v>
      </c>
      <c r="AD927" t="str">
        <f t="shared" si="458"/>
        <v>Same Day</v>
      </c>
      <c r="AE927" t="str">
        <f t="shared" si="445"/>
        <v>OK</v>
      </c>
      <c r="AF927">
        <v>2</v>
      </c>
      <c r="AG927">
        <v>2098.54</v>
      </c>
      <c r="AH927">
        <v>0.15</v>
      </c>
      <c r="AI927">
        <f t="shared" si="446"/>
        <v>0.15</v>
      </c>
      <c r="AJ927" t="str">
        <f t="shared" si="447"/>
        <v>OK</v>
      </c>
      <c r="AK927">
        <v>3567.52</v>
      </c>
      <c r="AL927">
        <v>2411.8000000000002</v>
      </c>
      <c r="AM927">
        <v>1155.72</v>
      </c>
      <c r="AN927" t="s">
        <v>33</v>
      </c>
      <c r="AO927" t="str">
        <f t="shared" si="439"/>
        <v>PAID</v>
      </c>
      <c r="AP927" t="str">
        <f t="shared" si="448"/>
        <v>OK</v>
      </c>
      <c r="AQ927" t="s">
        <v>34</v>
      </c>
      <c r="AR927" t="str">
        <f t="shared" si="440"/>
        <v>COMPLETED</v>
      </c>
      <c r="AS927" t="str">
        <f t="shared" si="449"/>
        <v>OK</v>
      </c>
      <c r="AT927">
        <f t="shared" si="450"/>
        <v>3567.518</v>
      </c>
      <c r="AU927">
        <f t="shared" si="451"/>
        <v>1155.7179999999998</v>
      </c>
      <c r="AV927" s="6">
        <f t="shared" si="452"/>
        <v>0</v>
      </c>
      <c r="AW927" t="str">
        <f t="shared" si="453"/>
        <v>CLEAN</v>
      </c>
      <c r="AX927" s="10" t="str">
        <f t="shared" si="454"/>
        <v>MATCH</v>
      </c>
      <c r="AY927" t="str">
        <f t="shared" si="455"/>
        <v>MATCH</v>
      </c>
    </row>
    <row r="928" spans="1:51">
      <c r="A928" t="s">
        <v>4034</v>
      </c>
      <c r="B928">
        <f t="shared" si="431"/>
        <v>1</v>
      </c>
      <c r="C928" t="s">
        <v>4035</v>
      </c>
      <c r="D928" s="3">
        <v>45773</v>
      </c>
      <c r="E928" t="str">
        <f t="shared" si="432"/>
        <v>2025/04/26</v>
      </c>
      <c r="F928" t="str">
        <f t="shared" si="441"/>
        <v>April</v>
      </c>
      <c r="G928">
        <f t="shared" si="442"/>
        <v>2025</v>
      </c>
      <c r="H928" t="s">
        <v>4036</v>
      </c>
      <c r="I928" s="4">
        <v>45721</v>
      </c>
      <c r="J928" s="8">
        <f t="shared" si="433"/>
        <v>-52</v>
      </c>
      <c r="K928" s="8" t="str">
        <f t="shared" si="443"/>
        <v>INVAILD_SHIPPING</v>
      </c>
      <c r="L928" t="s">
        <v>4037</v>
      </c>
      <c r="M928" t="s">
        <v>60</v>
      </c>
      <c r="N928" t="str">
        <f t="shared" si="434"/>
        <v>Arjun Bose</v>
      </c>
      <c r="O928" t="s">
        <v>114</v>
      </c>
      <c r="P928" t="str">
        <f t="shared" si="457"/>
        <v>Home Office</v>
      </c>
      <c r="Q928" t="s">
        <v>61</v>
      </c>
      <c r="R928" t="str">
        <f t="shared" si="459"/>
        <v>South</v>
      </c>
      <c r="S928" t="str">
        <f t="shared" si="444"/>
        <v>OK</v>
      </c>
      <c r="T928" t="s">
        <v>338</v>
      </c>
      <c r="U928" t="str">
        <f t="shared" si="435"/>
        <v>Tamil Nadu</v>
      </c>
      <c r="V928" t="s">
        <v>339</v>
      </c>
      <c r="W928" t="str">
        <f t="shared" si="436"/>
        <v>Chennai</v>
      </c>
      <c r="X928" t="str">
        <f t="shared" si="437"/>
        <v>Technology</v>
      </c>
      <c r="Y928" t="s">
        <v>85</v>
      </c>
      <c r="Z928" t="s">
        <v>86</v>
      </c>
      <c r="AA928" t="str">
        <f t="shared" si="438"/>
        <v>Accessories</v>
      </c>
      <c r="AB928" t="s">
        <v>4038</v>
      </c>
      <c r="AC928" t="s">
        <v>55</v>
      </c>
      <c r="AD928" t="str">
        <f t="shared" si="458"/>
        <v>First Class</v>
      </c>
      <c r="AE928" t="str">
        <f t="shared" si="445"/>
        <v>OK</v>
      </c>
      <c r="AF928">
        <v>7</v>
      </c>
      <c r="AG928">
        <v>3989.9</v>
      </c>
      <c r="AH928">
        <v>0.15</v>
      </c>
      <c r="AI928">
        <f t="shared" si="446"/>
        <v>0.15</v>
      </c>
      <c r="AJ928" t="str">
        <f t="shared" si="447"/>
        <v>OK</v>
      </c>
      <c r="AK928">
        <v>23739.9</v>
      </c>
      <c r="AL928">
        <v>17716.52</v>
      </c>
      <c r="AM928">
        <v>6023.38</v>
      </c>
      <c r="AN928" t="s">
        <v>33</v>
      </c>
      <c r="AO928" t="str">
        <f t="shared" si="439"/>
        <v>PAID</v>
      </c>
      <c r="AP928" t="str">
        <f t="shared" si="448"/>
        <v>OK</v>
      </c>
      <c r="AQ928" t="s">
        <v>77</v>
      </c>
      <c r="AR928" t="str">
        <f t="shared" si="440"/>
        <v>CANCELLED</v>
      </c>
      <c r="AS928" t="str">
        <f t="shared" si="449"/>
        <v>EXCLUDE_FROM_SALES</v>
      </c>
      <c r="AT928">
        <f t="shared" si="450"/>
        <v>23739.904999999999</v>
      </c>
      <c r="AU928">
        <f t="shared" si="451"/>
        <v>6023.3849999999984</v>
      </c>
      <c r="AV928" s="6">
        <f t="shared" si="452"/>
        <v>0</v>
      </c>
      <c r="AW928" t="str">
        <f t="shared" si="453"/>
        <v>CLEAN</v>
      </c>
      <c r="AX928" s="10" t="str">
        <f t="shared" si="454"/>
        <v>MISMATCH</v>
      </c>
      <c r="AY928" t="str">
        <f t="shared" si="455"/>
        <v>MISMATCH</v>
      </c>
    </row>
    <row r="929" spans="1:51">
      <c r="A929" t="s">
        <v>4042</v>
      </c>
      <c r="B929">
        <f t="shared" si="431"/>
        <v>1</v>
      </c>
      <c r="C929" t="s">
        <v>4043</v>
      </c>
      <c r="D929" s="3">
        <v>45875</v>
      </c>
      <c r="E929" t="str">
        <f t="shared" si="432"/>
        <v>2025/08/06</v>
      </c>
      <c r="F929" t="str">
        <f t="shared" si="441"/>
        <v>August</v>
      </c>
      <c r="G929">
        <f t="shared" si="442"/>
        <v>2025</v>
      </c>
      <c r="H929" t="s">
        <v>3577</v>
      </c>
      <c r="I929" s="4">
        <v>45846</v>
      </c>
      <c r="J929" s="8">
        <f t="shared" si="433"/>
        <v>-29</v>
      </c>
      <c r="K929" s="8" t="str">
        <f t="shared" si="443"/>
        <v>INVAILD_SHIPPING</v>
      </c>
      <c r="L929" t="s">
        <v>4044</v>
      </c>
      <c r="M929" t="s">
        <v>147</v>
      </c>
      <c r="N929" t="str">
        <f t="shared" si="434"/>
        <v>Rahul Verma</v>
      </c>
      <c r="O929" t="s">
        <v>40</v>
      </c>
      <c r="P929" t="str">
        <f t="shared" si="457"/>
        <v>Small Business</v>
      </c>
      <c r="Q929" t="s">
        <v>72</v>
      </c>
      <c r="R929" t="str">
        <f t="shared" si="459"/>
        <v>West</v>
      </c>
      <c r="S929" t="str">
        <f t="shared" si="444"/>
        <v>OK</v>
      </c>
      <c r="T929" t="s">
        <v>73</v>
      </c>
      <c r="U929" t="str">
        <f t="shared" si="435"/>
        <v>Maharashtra</v>
      </c>
      <c r="V929" t="s">
        <v>74</v>
      </c>
      <c r="W929" t="str">
        <f t="shared" si="436"/>
        <v>Mumbai</v>
      </c>
      <c r="X929" t="str">
        <f t="shared" si="437"/>
        <v>Office Supplies</v>
      </c>
      <c r="Y929" t="s">
        <v>29</v>
      </c>
      <c r="Z929" t="s">
        <v>53</v>
      </c>
      <c r="AA929" t="str">
        <f t="shared" si="438"/>
        <v>Art</v>
      </c>
      <c r="AB929" t="s">
        <v>4045</v>
      </c>
      <c r="AC929" t="s">
        <v>66</v>
      </c>
      <c r="AD929" t="str">
        <f t="shared" si="458"/>
        <v>Standard Class</v>
      </c>
      <c r="AE929" t="str">
        <f t="shared" si="445"/>
        <v>OK</v>
      </c>
      <c r="AF929">
        <v>4</v>
      </c>
      <c r="AG929">
        <v>3523.64</v>
      </c>
      <c r="AH929">
        <v>0.1</v>
      </c>
      <c r="AI929">
        <f t="shared" si="446"/>
        <v>0.1</v>
      </c>
      <c r="AJ929" t="str">
        <f t="shared" si="447"/>
        <v>OK</v>
      </c>
      <c r="AK929">
        <v>12685.1</v>
      </c>
      <c r="AL929">
        <v>10779.56</v>
      </c>
      <c r="AM929">
        <v>1905.54</v>
      </c>
      <c r="AN929" t="s">
        <v>123</v>
      </c>
      <c r="AO929" t="str">
        <f t="shared" si="439"/>
        <v>REFUNDED</v>
      </c>
      <c r="AP929" t="str">
        <f t="shared" si="448"/>
        <v>REFUNDED_PAYMENT</v>
      </c>
      <c r="AQ929" t="s">
        <v>77</v>
      </c>
      <c r="AR929" t="str">
        <f t="shared" si="440"/>
        <v>CANCELLED</v>
      </c>
      <c r="AS929" t="str">
        <f t="shared" si="449"/>
        <v>EXCLUDE_FROM_SALES</v>
      </c>
      <c r="AT929">
        <f t="shared" si="450"/>
        <v>12685.103999999999</v>
      </c>
      <c r="AU929">
        <f t="shared" si="451"/>
        <v>1905.5439999999999</v>
      </c>
      <c r="AV929" s="6">
        <f t="shared" si="452"/>
        <v>0</v>
      </c>
      <c r="AW929" t="str">
        <f t="shared" si="453"/>
        <v>CLEAN</v>
      </c>
      <c r="AX929" s="10" t="str">
        <f t="shared" si="454"/>
        <v>MATCH</v>
      </c>
      <c r="AY929" t="str">
        <f t="shared" si="455"/>
        <v>MATCH</v>
      </c>
    </row>
    <row r="930" spans="1:51">
      <c r="A930" t="s">
        <v>4046</v>
      </c>
      <c r="B930">
        <f t="shared" si="431"/>
        <v>1</v>
      </c>
      <c r="C930" t="s">
        <v>4047</v>
      </c>
      <c r="D930" s="2">
        <v>45933</v>
      </c>
      <c r="E930" t="str">
        <f t="shared" si="432"/>
        <v>2025/10/03</v>
      </c>
      <c r="F930" t="str">
        <f t="shared" si="441"/>
        <v>October</v>
      </c>
      <c r="G930">
        <f t="shared" si="442"/>
        <v>2025</v>
      </c>
      <c r="H930" t="s">
        <v>4048</v>
      </c>
      <c r="I930" s="4">
        <v>45727</v>
      </c>
      <c r="J930" s="8">
        <f t="shared" si="433"/>
        <v>-206</v>
      </c>
      <c r="K930" s="8" t="str">
        <f t="shared" si="443"/>
        <v>INVAILD_SHIPPING</v>
      </c>
      <c r="L930" t="s">
        <v>1348</v>
      </c>
      <c r="M930" t="s">
        <v>106</v>
      </c>
      <c r="N930" t="str">
        <f t="shared" si="434"/>
        <v>Aditi Sen</v>
      </c>
      <c r="O930" t="s">
        <v>114</v>
      </c>
      <c r="P930" t="str">
        <f t="shared" si="457"/>
        <v>Home Office</v>
      </c>
      <c r="Q930" t="s">
        <v>72</v>
      </c>
      <c r="R930" t="str">
        <f t="shared" si="459"/>
        <v>West</v>
      </c>
      <c r="S930" t="str">
        <f t="shared" si="444"/>
        <v>OK</v>
      </c>
      <c r="T930" t="s">
        <v>83</v>
      </c>
      <c r="U930" t="str">
        <f t="shared" si="435"/>
        <v>Madhya Pradesh</v>
      </c>
      <c r="V930" t="s">
        <v>84</v>
      </c>
      <c r="W930" t="str">
        <f t="shared" si="436"/>
        <v>Indore</v>
      </c>
      <c r="X930" t="str">
        <f t="shared" si="437"/>
        <v>Office Supplies</v>
      </c>
      <c r="Y930" t="s">
        <v>29</v>
      </c>
      <c r="Z930" t="s">
        <v>155</v>
      </c>
      <c r="AA930" t="str">
        <f t="shared" si="438"/>
        <v>Storage</v>
      </c>
      <c r="AB930" t="s">
        <v>4049</v>
      </c>
      <c r="AC930" t="s">
        <v>55</v>
      </c>
      <c r="AD930" t="str">
        <f t="shared" si="458"/>
        <v>First Class</v>
      </c>
      <c r="AE930" t="str">
        <f t="shared" si="445"/>
        <v>OK</v>
      </c>
      <c r="AF930">
        <v>2</v>
      </c>
      <c r="AG930">
        <v>3922.08</v>
      </c>
      <c r="AH930">
        <v>0.25</v>
      </c>
      <c r="AI930">
        <f t="shared" si="446"/>
        <v>0.25</v>
      </c>
      <c r="AJ930" t="str">
        <f t="shared" si="447"/>
        <v>OK</v>
      </c>
      <c r="AK930">
        <v>5883.12</v>
      </c>
      <c r="AL930">
        <v>4647.91</v>
      </c>
      <c r="AM930">
        <v>1235.21</v>
      </c>
      <c r="AN930" t="s">
        <v>33</v>
      </c>
      <c r="AO930" t="str">
        <f t="shared" si="439"/>
        <v>PAID</v>
      </c>
      <c r="AP930" t="str">
        <f t="shared" si="448"/>
        <v>OK</v>
      </c>
      <c r="AQ930" t="s">
        <v>124</v>
      </c>
      <c r="AR930" t="str">
        <f t="shared" si="440"/>
        <v>RETURNED</v>
      </c>
      <c r="AS930" t="str">
        <f t="shared" si="449"/>
        <v>RETURNED_ORDER</v>
      </c>
      <c r="AT930">
        <f t="shared" si="450"/>
        <v>5883.12</v>
      </c>
      <c r="AU930">
        <f t="shared" si="451"/>
        <v>1235.21</v>
      </c>
      <c r="AV930" s="6">
        <f t="shared" si="452"/>
        <v>0</v>
      </c>
      <c r="AW930" t="str">
        <f t="shared" si="453"/>
        <v>CLEAN</v>
      </c>
      <c r="AX930" s="10" t="str">
        <f t="shared" si="454"/>
        <v>MATCH</v>
      </c>
      <c r="AY930" t="str">
        <f t="shared" si="455"/>
        <v>MATCH</v>
      </c>
    </row>
    <row r="931" spans="1:51">
      <c r="A931" t="s">
        <v>4056</v>
      </c>
      <c r="B931">
        <f t="shared" si="431"/>
        <v>1</v>
      </c>
      <c r="C931" t="s">
        <v>4057</v>
      </c>
      <c r="D931" s="3">
        <v>45995</v>
      </c>
      <c r="E931" t="str">
        <f t="shared" si="432"/>
        <v>2025/12/04</v>
      </c>
      <c r="F931" t="str">
        <f t="shared" si="441"/>
        <v>December</v>
      </c>
      <c r="G931">
        <f t="shared" si="442"/>
        <v>2025</v>
      </c>
      <c r="H931" t="s">
        <v>2999</v>
      </c>
      <c r="I931" s="4">
        <v>45765</v>
      </c>
      <c r="J931" s="8">
        <f t="shared" si="433"/>
        <v>-230</v>
      </c>
      <c r="K931" s="8" t="str">
        <f t="shared" si="443"/>
        <v>INVAILD_SHIPPING</v>
      </c>
      <c r="L931" t="s">
        <v>4058</v>
      </c>
      <c r="M931" t="s">
        <v>52</v>
      </c>
      <c r="N931" t="str">
        <f t="shared" si="434"/>
        <v>Isha Nair</v>
      </c>
      <c r="O931" t="s">
        <v>40</v>
      </c>
      <c r="P931" t="str">
        <f t="shared" si="457"/>
        <v>Small Business</v>
      </c>
      <c r="Q931" t="s">
        <v>41</v>
      </c>
      <c r="R931" t="str">
        <f t="shared" si="459"/>
        <v>East</v>
      </c>
      <c r="S931" t="str">
        <f t="shared" si="444"/>
        <v>OK</v>
      </c>
      <c r="T931" t="s">
        <v>310</v>
      </c>
      <c r="U931" t="str">
        <f t="shared" si="435"/>
        <v>Jharkhand</v>
      </c>
      <c r="V931" t="s">
        <v>311</v>
      </c>
      <c r="W931" t="str">
        <f t="shared" si="436"/>
        <v>Ranchi</v>
      </c>
      <c r="X931" t="str">
        <f t="shared" si="437"/>
        <v>Technology</v>
      </c>
      <c r="Y931" t="s">
        <v>85</v>
      </c>
      <c r="Z931" t="s">
        <v>93</v>
      </c>
      <c r="AA931" t="str">
        <f t="shared" si="438"/>
        <v>Copiers</v>
      </c>
      <c r="AB931" t="s">
        <v>4059</v>
      </c>
      <c r="AC931" t="s">
        <v>47</v>
      </c>
      <c r="AD931" t="str">
        <f t="shared" si="458"/>
        <v>Same Day</v>
      </c>
      <c r="AE931" t="str">
        <f t="shared" si="445"/>
        <v>OK</v>
      </c>
      <c r="AF931">
        <v>1</v>
      </c>
      <c r="AG931">
        <v>726.89</v>
      </c>
      <c r="AH931">
        <v>0.2</v>
      </c>
      <c r="AI931">
        <f t="shared" si="446"/>
        <v>0.2</v>
      </c>
      <c r="AJ931" t="str">
        <f t="shared" si="447"/>
        <v>OK</v>
      </c>
      <c r="AK931">
        <v>581.51</v>
      </c>
      <c r="AL931">
        <v>423.86</v>
      </c>
      <c r="AM931">
        <v>157.65</v>
      </c>
      <c r="AN931" t="s">
        <v>33</v>
      </c>
      <c r="AO931" t="str">
        <f t="shared" si="439"/>
        <v>PAID</v>
      </c>
      <c r="AP931" t="str">
        <f t="shared" si="448"/>
        <v>OK</v>
      </c>
      <c r="AQ931" t="s">
        <v>34</v>
      </c>
      <c r="AR931" t="str">
        <f t="shared" si="440"/>
        <v>COMPLETED</v>
      </c>
      <c r="AS931" t="str">
        <f t="shared" si="449"/>
        <v>OK</v>
      </c>
      <c r="AT931">
        <f t="shared" si="450"/>
        <v>581.51200000000006</v>
      </c>
      <c r="AU931">
        <f t="shared" si="451"/>
        <v>157.65200000000004</v>
      </c>
      <c r="AV931" s="6">
        <f t="shared" si="452"/>
        <v>0</v>
      </c>
      <c r="AW931" t="str">
        <f t="shared" si="453"/>
        <v>CLEAN</v>
      </c>
      <c r="AX931" s="10" t="str">
        <f t="shared" si="454"/>
        <v>MATCH</v>
      </c>
      <c r="AY931" t="str">
        <f t="shared" si="455"/>
        <v>MATCH</v>
      </c>
    </row>
    <row r="932" spans="1:51">
      <c r="A932" t="s">
        <v>4077</v>
      </c>
      <c r="B932">
        <f t="shared" si="431"/>
        <v>1</v>
      </c>
      <c r="C932" t="s">
        <v>1180</v>
      </c>
      <c r="D932" s="3">
        <v>45776</v>
      </c>
      <c r="E932" t="str">
        <f t="shared" si="432"/>
        <v>2025/04/29</v>
      </c>
      <c r="F932" t="str">
        <f t="shared" si="441"/>
        <v>April</v>
      </c>
      <c r="G932">
        <f t="shared" si="442"/>
        <v>2025</v>
      </c>
      <c r="H932" t="s">
        <v>4078</v>
      </c>
      <c r="I932" s="4">
        <v>45780</v>
      </c>
      <c r="J932" s="8">
        <f t="shared" si="433"/>
        <v>4</v>
      </c>
      <c r="K932" s="8" t="str">
        <f t="shared" si="443"/>
        <v>OK</v>
      </c>
      <c r="L932" t="s">
        <v>3199</v>
      </c>
      <c r="M932" t="s">
        <v>179</v>
      </c>
      <c r="N932" t="str">
        <f t="shared" si="434"/>
        <v>Rohan Mehta</v>
      </c>
      <c r="O932" t="s">
        <v>107</v>
      </c>
      <c r="P932" t="str">
        <f t="shared" si="457"/>
        <v>Corporate</v>
      </c>
      <c r="Q932" t="s">
        <v>26</v>
      </c>
      <c r="R932" t="str">
        <f t="shared" si="459"/>
        <v>North</v>
      </c>
      <c r="S932" t="str">
        <f t="shared" si="444"/>
        <v>OK</v>
      </c>
      <c r="T932" t="s">
        <v>322</v>
      </c>
      <c r="U932" t="str">
        <f t="shared" si="435"/>
        <v>Haryana</v>
      </c>
      <c r="V932" t="s">
        <v>323</v>
      </c>
      <c r="W932" t="str">
        <f t="shared" si="436"/>
        <v>Gurugram</v>
      </c>
      <c r="X932" t="str">
        <f t="shared" si="437"/>
        <v>Office Supplies</v>
      </c>
      <c r="Y932" t="s">
        <v>29</v>
      </c>
      <c r="Z932" t="s">
        <v>30</v>
      </c>
      <c r="AA932" t="str">
        <f t="shared" si="438"/>
        <v>Paper</v>
      </c>
      <c r="AB932" t="s">
        <v>4079</v>
      </c>
      <c r="AC932" t="s">
        <v>55</v>
      </c>
      <c r="AD932" t="str">
        <f t="shared" si="458"/>
        <v>First Class</v>
      </c>
      <c r="AE932" t="str">
        <f t="shared" si="445"/>
        <v>OK</v>
      </c>
      <c r="AF932">
        <v>4</v>
      </c>
      <c r="AG932">
        <v>1786.65</v>
      </c>
      <c r="AH932">
        <v>0.05</v>
      </c>
      <c r="AI932">
        <f t="shared" si="446"/>
        <v>0.05</v>
      </c>
      <c r="AJ932" t="str">
        <f t="shared" si="447"/>
        <v>OK</v>
      </c>
      <c r="AK932">
        <v>6789.27</v>
      </c>
      <c r="AL932">
        <v>5626.43</v>
      </c>
      <c r="AM932">
        <v>1162.8399999999999</v>
      </c>
      <c r="AN932" t="s">
        <v>33</v>
      </c>
      <c r="AO932" t="str">
        <f t="shared" si="439"/>
        <v>PAID</v>
      </c>
      <c r="AP932" t="str">
        <f t="shared" si="448"/>
        <v>OK</v>
      </c>
      <c r="AQ932" t="s">
        <v>34</v>
      </c>
      <c r="AR932" t="str">
        <f t="shared" si="440"/>
        <v>COMPLETED</v>
      </c>
      <c r="AS932" t="str">
        <f t="shared" si="449"/>
        <v>OK</v>
      </c>
      <c r="AT932">
        <f t="shared" si="450"/>
        <v>6789.27</v>
      </c>
      <c r="AU932">
        <f t="shared" si="451"/>
        <v>1162.8400000000001</v>
      </c>
      <c r="AV932" s="6">
        <f t="shared" si="452"/>
        <v>0</v>
      </c>
      <c r="AW932" t="str">
        <f t="shared" si="453"/>
        <v>CLEAN</v>
      </c>
      <c r="AX932" s="10" t="str">
        <f t="shared" si="454"/>
        <v>MATCH</v>
      </c>
      <c r="AY932" t="str">
        <f t="shared" si="455"/>
        <v>MATCH</v>
      </c>
    </row>
    <row r="933" spans="1:51">
      <c r="A933" t="s">
        <v>4083</v>
      </c>
      <c r="B933">
        <f t="shared" si="431"/>
        <v>1</v>
      </c>
      <c r="C933" t="s">
        <v>1681</v>
      </c>
      <c r="D933" s="2">
        <v>45804</v>
      </c>
      <c r="E933" t="str">
        <f t="shared" si="432"/>
        <v>2025/05/27</v>
      </c>
      <c r="F933" t="str">
        <f t="shared" si="441"/>
        <v>May</v>
      </c>
      <c r="G933">
        <f t="shared" si="442"/>
        <v>2025</v>
      </c>
      <c r="H933" t="s">
        <v>4084</v>
      </c>
      <c r="I933" s="4">
        <v>45811</v>
      </c>
      <c r="J933" s="8">
        <f t="shared" si="433"/>
        <v>7</v>
      </c>
      <c r="K933" s="8" t="str">
        <f t="shared" si="443"/>
        <v>OK</v>
      </c>
      <c r="L933" t="s">
        <v>4085</v>
      </c>
      <c r="M933" t="s">
        <v>24</v>
      </c>
      <c r="N933" t="str">
        <f t="shared" si="434"/>
        <v>Karan Malhotra</v>
      </c>
      <c r="O933" t="s">
        <v>25</v>
      </c>
      <c r="P933" t="str">
        <f t="shared" si="457"/>
        <v>Consumer</v>
      </c>
      <c r="Q933" t="s">
        <v>26</v>
      </c>
      <c r="R933" t="str">
        <f t="shared" si="459"/>
        <v>North</v>
      </c>
      <c r="S933" t="str">
        <f t="shared" si="444"/>
        <v>OK</v>
      </c>
      <c r="T933" t="s">
        <v>153</v>
      </c>
      <c r="U933" t="str">
        <f t="shared" si="435"/>
        <v>Punjab</v>
      </c>
      <c r="V933" t="s">
        <v>154</v>
      </c>
      <c r="W933" t="str">
        <f t="shared" si="436"/>
        <v>Ludhiana</v>
      </c>
      <c r="X933" t="str">
        <f t="shared" si="437"/>
        <v>Furniture</v>
      </c>
      <c r="Y933" t="s">
        <v>44</v>
      </c>
      <c r="Z933" t="s">
        <v>75</v>
      </c>
      <c r="AA933" t="str">
        <f t="shared" si="438"/>
        <v>Chairs</v>
      </c>
      <c r="AB933" t="s">
        <v>4086</v>
      </c>
      <c r="AC933" t="s">
        <v>55</v>
      </c>
      <c r="AD933" t="str">
        <f t="shared" si="458"/>
        <v>First Class</v>
      </c>
      <c r="AE933" t="str">
        <f t="shared" si="445"/>
        <v>OK</v>
      </c>
      <c r="AF933">
        <v>5</v>
      </c>
      <c r="AG933">
        <v>881.08</v>
      </c>
      <c r="AH933">
        <v>0.25</v>
      </c>
      <c r="AI933">
        <f t="shared" si="446"/>
        <v>0.25</v>
      </c>
      <c r="AJ933" t="str">
        <f t="shared" si="447"/>
        <v>OK</v>
      </c>
      <c r="AK933">
        <v>3304.05</v>
      </c>
      <c r="AL933">
        <v>2279.41</v>
      </c>
      <c r="AM933">
        <v>1024.6400000000001</v>
      </c>
      <c r="AN933" t="s">
        <v>199</v>
      </c>
      <c r="AO933" t="str">
        <f t="shared" si="439"/>
        <v>FAILED</v>
      </c>
      <c r="AP933" t="str">
        <f t="shared" si="448"/>
        <v>EXCLUDE_FROM_SALES</v>
      </c>
      <c r="AQ933" t="s">
        <v>77</v>
      </c>
      <c r="AR933" t="str">
        <f t="shared" si="440"/>
        <v>CANCELLED</v>
      </c>
      <c r="AS933" t="str">
        <f t="shared" si="449"/>
        <v>EXCLUDE_FROM_SALES</v>
      </c>
      <c r="AT933">
        <f t="shared" si="450"/>
        <v>3304.05</v>
      </c>
      <c r="AU933">
        <f t="shared" si="451"/>
        <v>1024.6400000000003</v>
      </c>
      <c r="AV933" s="6">
        <f t="shared" si="452"/>
        <v>0</v>
      </c>
      <c r="AW933" t="str">
        <f t="shared" si="453"/>
        <v>CLEAN</v>
      </c>
      <c r="AX933" s="10" t="str">
        <f t="shared" si="454"/>
        <v>MATCH</v>
      </c>
      <c r="AY933" t="str">
        <f t="shared" si="455"/>
        <v>MATCH</v>
      </c>
    </row>
  </sheetData>
  <autoFilter ref="A1:AY933" xr:uid="{F8530805-DE35-4E02-B8C7-3D68557D28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2514-F084-4FCF-8B12-4D0EA9A6A187}">
  <dimension ref="A1:B63"/>
  <sheetViews>
    <sheetView workbookViewId="0">
      <selection sqref="A1:XFD1048576"/>
    </sheetView>
  </sheetViews>
  <sheetFormatPr defaultRowHeight="14.4"/>
  <cols>
    <col min="1" max="1" width="16.88671875" bestFit="1" customWidth="1"/>
    <col min="2" max="2" width="26.33203125" customWidth="1"/>
  </cols>
  <sheetData>
    <row r="1" spans="1:2">
      <c r="A1" s="11" t="s">
        <v>4117</v>
      </c>
      <c r="B1" s="11" t="s">
        <v>4118</v>
      </c>
    </row>
    <row r="2" spans="1:2" ht="55.8">
      <c r="A2" s="12" t="s">
        <v>4119</v>
      </c>
      <c r="B2" s="12" t="s">
        <v>4120</v>
      </c>
    </row>
    <row r="3" spans="1:2" ht="28.2">
      <c r="A3" s="12" t="s">
        <v>4121</v>
      </c>
      <c r="B3" s="12" t="s">
        <v>4122</v>
      </c>
    </row>
    <row r="4" spans="1:2" ht="28.2">
      <c r="A4" s="12" t="s">
        <v>4123</v>
      </c>
      <c r="B4" s="12" t="s">
        <v>4122</v>
      </c>
    </row>
    <row r="5" spans="1:2" ht="42">
      <c r="A5" s="12" t="s">
        <v>4124</v>
      </c>
      <c r="B5" s="12" t="s">
        <v>4125</v>
      </c>
    </row>
    <row r="6" spans="1:2" ht="42">
      <c r="A6" s="12" t="s">
        <v>4126</v>
      </c>
      <c r="B6" s="12" t="s">
        <v>4127</v>
      </c>
    </row>
    <row r="7" spans="1:2" ht="55.8">
      <c r="A7" s="12" t="s">
        <v>4128</v>
      </c>
      <c r="B7" s="12" t="s">
        <v>4129</v>
      </c>
    </row>
    <row r="8" spans="1:2" ht="28.2">
      <c r="A8" s="12" t="s">
        <v>4130</v>
      </c>
      <c r="B8" s="12" t="s">
        <v>4131</v>
      </c>
    </row>
    <row r="9" spans="1:2" ht="42">
      <c r="A9" s="12" t="s">
        <v>4132</v>
      </c>
      <c r="B9" s="12" t="s">
        <v>4133</v>
      </c>
    </row>
    <row r="10" spans="1:2" ht="83.4">
      <c r="A10" s="12" t="s">
        <v>4134</v>
      </c>
      <c r="B10" s="12" t="s">
        <v>4135</v>
      </c>
    </row>
    <row r="11" spans="1:2">
      <c r="A11" s="13"/>
    </row>
    <row r="12" spans="1:2">
      <c r="A12" s="13"/>
    </row>
    <row r="13" spans="1:2">
      <c r="A13" s="13"/>
    </row>
    <row r="14" spans="1:2">
      <c r="A14" s="13"/>
    </row>
    <row r="15" spans="1:2">
      <c r="A15" s="13"/>
    </row>
    <row r="16" spans="1:2">
      <c r="A16" s="13"/>
    </row>
    <row r="17" spans="1:1">
      <c r="A17" s="13"/>
    </row>
    <row r="18" spans="1:1">
      <c r="A18" s="13"/>
    </row>
    <row r="19" spans="1:1">
      <c r="A19" s="13"/>
    </row>
    <row r="20" spans="1:1">
      <c r="A20" s="13"/>
    </row>
    <row r="21" spans="1:1">
      <c r="A21" s="13"/>
    </row>
    <row r="22" spans="1:1">
      <c r="A22" s="13"/>
    </row>
    <row r="23" spans="1:1">
      <c r="A23" s="13"/>
    </row>
    <row r="24" spans="1:1">
      <c r="A24" s="13"/>
    </row>
    <row r="25" spans="1:1">
      <c r="A25" s="13"/>
    </row>
    <row r="26" spans="1:1">
      <c r="A26" s="13"/>
    </row>
    <row r="27" spans="1:1">
      <c r="A27" s="13"/>
    </row>
    <row r="28" spans="1:1">
      <c r="A28" s="13"/>
    </row>
    <row r="29" spans="1:1">
      <c r="A29" s="13"/>
    </row>
    <row r="30" spans="1:1">
      <c r="A30" s="13"/>
    </row>
    <row r="31" spans="1:1">
      <c r="A31" s="13"/>
    </row>
    <row r="32" spans="1:1">
      <c r="A32" s="13"/>
    </row>
    <row r="33" spans="1:1">
      <c r="A33" s="13"/>
    </row>
    <row r="34" spans="1:1">
      <c r="A34" s="13"/>
    </row>
    <row r="35" spans="1:1">
      <c r="A35" s="13"/>
    </row>
    <row r="36" spans="1:1">
      <c r="A36" s="13"/>
    </row>
    <row r="37" spans="1:1">
      <c r="A37" s="13"/>
    </row>
    <row r="38" spans="1:1">
      <c r="A38" s="13"/>
    </row>
    <row r="39" spans="1:1">
      <c r="A39" s="13"/>
    </row>
    <row r="40" spans="1:1">
      <c r="A40" s="13"/>
    </row>
    <row r="41" spans="1:1">
      <c r="A41" s="13"/>
    </row>
    <row r="42" spans="1:1">
      <c r="A42" s="13"/>
    </row>
    <row r="43" spans="1:1">
      <c r="A43" s="13"/>
    </row>
    <row r="44" spans="1:1">
      <c r="A44" s="13"/>
    </row>
    <row r="45" spans="1:1">
      <c r="A45" s="13"/>
    </row>
    <row r="46" spans="1:1">
      <c r="A46" s="13"/>
    </row>
    <row r="47" spans="1:1">
      <c r="A47" s="13"/>
    </row>
    <row r="48" spans="1:1">
      <c r="A48" s="13"/>
    </row>
    <row r="49" spans="1:1">
      <c r="A49" s="13"/>
    </row>
    <row r="50" spans="1:1">
      <c r="A50" s="13"/>
    </row>
    <row r="51" spans="1:1">
      <c r="A51" s="13"/>
    </row>
    <row r="52" spans="1:1">
      <c r="A52" s="13"/>
    </row>
    <row r="53" spans="1:1">
      <c r="A53" s="13"/>
    </row>
    <row r="54" spans="1:1">
      <c r="A54" s="13"/>
    </row>
    <row r="55" spans="1:1">
      <c r="A55" s="13"/>
    </row>
    <row r="56" spans="1:1">
      <c r="A56" s="13"/>
    </row>
    <row r="57" spans="1:1">
      <c r="A57" s="13"/>
    </row>
    <row r="58" spans="1:1">
      <c r="A58" s="13"/>
    </row>
    <row r="59" spans="1:1">
      <c r="A59" s="13"/>
    </row>
    <row r="60" spans="1:1">
      <c r="A60" s="13"/>
    </row>
    <row r="61" spans="1:1">
      <c r="A61" s="13"/>
    </row>
    <row r="62" spans="1:1">
      <c r="A62" s="13"/>
    </row>
    <row r="63" spans="1:1">
      <c r="A6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Business_Rules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GATTANI</dc:creator>
  <cp:lastModifiedBy>KAVYA GATTANI</cp:lastModifiedBy>
  <dcterms:created xsi:type="dcterms:W3CDTF">2026-06-26T05:33:28Z</dcterms:created>
  <dcterms:modified xsi:type="dcterms:W3CDTF">2026-06-26T09:32:52Z</dcterms:modified>
</cp:coreProperties>
</file>